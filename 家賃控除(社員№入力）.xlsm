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UNS-Kikaku\ホアイ\毎月使用ファイル\"/>
    </mc:Choice>
  </mc:AlternateContent>
  <xr:revisionPtr revIDLastSave="0" documentId="13_ncr:1_{3FEB47FD-62CC-44E5-A733-9EB98264E8C3}" xr6:coauthVersionLast="47" xr6:coauthVersionMax="47" xr10:uidLastSave="{00000000-0000-0000-0000-000000000000}"/>
  <bookViews>
    <workbookView xWindow="-120" yWindow="-120" windowWidth="38640" windowHeight="15840" firstSheet="3" activeTab="4" xr2:uid="{37E11A7A-9AC0-4A56-B4C5-E67C2F4A8705}"/>
  </bookViews>
  <sheets>
    <sheet name="UkeoiT" sheetId="10" state="hidden" r:id="rId1"/>
    <sheet name="DBStaff" sheetId="9" state="hidden" r:id="rId2"/>
    <sheet name="DBGenzai" sheetId="8" state="hidden" r:id="rId3"/>
    <sheet name="社員台帳" sheetId="11" r:id="rId4"/>
    <sheet name="Sheet1" sheetId="1" r:id="rId5"/>
    <sheet name="編集" sheetId="7" r:id="rId6"/>
    <sheet name="Sheet4" sheetId="6" r:id="rId7"/>
    <sheet name="FilteredCopy" sheetId="20" r:id="rId8"/>
  </sheets>
  <definedNames>
    <definedName name="ExternalData_1" localSheetId="2" hidden="1">DBGenzai!$A$1:$E$1078</definedName>
    <definedName name="ExternalData_2" localSheetId="1" hidden="1">DBStaff!$A$1:$E$20</definedName>
    <definedName name="ExternalData_2" localSheetId="3" hidden="1">社員台帳!$A$1:$E$1243</definedName>
    <definedName name="ExternalData_3" localSheetId="0" hidden="1">UkeoiT!$A$1:$E$147</definedName>
    <definedName name="_xlnm.Print_Area" localSheetId="4">Sheet1!$A$5:$AJ$1207</definedName>
    <definedName name="_xlnm.Print_Area" localSheetId="5">編集!$A$1:$K$206</definedName>
    <definedName name="_xlnm.Print_Titles" localSheetId="4">Sheet1!$5:$5</definedName>
    <definedName name="_xlnm.Print_Titles" localSheetId="5">編集!$1:$1</definedName>
    <definedName name="カナ">社員台帳!$D$2:$D$1243</definedName>
    <definedName name="氏名">社員台帳!$C$2:$C$1243</definedName>
    <definedName name="社員№">社員台帳!$A$2:$A$1243</definedName>
    <definedName name="派遣先">社員台帳!$B$2:$B$1243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70" i="1" l="1"/>
  <c r="E770" i="1"/>
  <c r="F770" i="1"/>
  <c r="D41" i="1"/>
  <c r="E41" i="1"/>
  <c r="F41" i="1"/>
  <c r="K4" i="20"/>
  <c r="K2" i="20"/>
  <c r="D383" i="20"/>
  <c r="F808" i="1"/>
  <c r="F5" i="1" l="1"/>
  <c r="D10" i="1"/>
  <c r="E10" i="1"/>
  <c r="F10" i="1"/>
  <c r="D20" i="1"/>
  <c r="E20" i="1"/>
  <c r="F20" i="1"/>
  <c r="D21" i="1"/>
  <c r="E21" i="1"/>
  <c r="F21" i="1"/>
  <c r="D27" i="1"/>
  <c r="E27" i="1"/>
  <c r="F27" i="1"/>
  <c r="D28" i="1"/>
  <c r="E28" i="1"/>
  <c r="F28" i="1"/>
  <c r="D33" i="1"/>
  <c r="E33" i="1"/>
  <c r="F33" i="1"/>
  <c r="D34" i="1"/>
  <c r="E34" i="1"/>
  <c r="F34" i="1"/>
  <c r="D35" i="1"/>
  <c r="E35" i="1"/>
  <c r="F35" i="1"/>
  <c r="D40" i="1"/>
  <c r="E40" i="1"/>
  <c r="F40" i="1"/>
  <c r="D46" i="1"/>
  <c r="E46" i="1"/>
  <c r="F46" i="1"/>
  <c r="D47" i="1"/>
  <c r="E47" i="1"/>
  <c r="F47" i="1"/>
  <c r="D52" i="1"/>
  <c r="D53" i="1"/>
  <c r="D54" i="1"/>
  <c r="E52" i="1"/>
  <c r="F52" i="1"/>
  <c r="E53" i="1"/>
  <c r="F53" i="1"/>
  <c r="D58" i="1"/>
  <c r="E58" i="1"/>
  <c r="F58" i="1"/>
  <c r="D63" i="1"/>
  <c r="E63" i="1"/>
  <c r="F63" i="1"/>
  <c r="D68" i="1"/>
  <c r="E68" i="1"/>
  <c r="F68" i="1"/>
  <c r="D73" i="1"/>
  <c r="E73" i="1"/>
  <c r="F73" i="1"/>
  <c r="D86" i="1"/>
  <c r="E86" i="1"/>
  <c r="F86" i="1"/>
  <c r="D87" i="1"/>
  <c r="E87" i="1"/>
  <c r="F87" i="1"/>
  <c r="D92" i="1"/>
  <c r="E92" i="1"/>
  <c r="F92" i="1"/>
  <c r="D93" i="1"/>
  <c r="E93" i="1"/>
  <c r="F93" i="1"/>
  <c r="D94" i="1"/>
  <c r="E94" i="1"/>
  <c r="F94" i="1"/>
  <c r="D109" i="1"/>
  <c r="E109" i="1"/>
  <c r="F109" i="1"/>
  <c r="D114" i="1"/>
  <c r="E114" i="1"/>
  <c r="F114" i="1"/>
  <c r="D127" i="1"/>
  <c r="E127" i="1"/>
  <c r="F127" i="1"/>
  <c r="D128" i="1"/>
  <c r="E128" i="1"/>
  <c r="F128" i="1"/>
  <c r="D133" i="1"/>
  <c r="E133" i="1"/>
  <c r="F133" i="1"/>
  <c r="D134" i="1"/>
  <c r="E134" i="1"/>
  <c r="F134" i="1"/>
  <c r="D139" i="1"/>
  <c r="E139" i="1"/>
  <c r="F139" i="1"/>
  <c r="D140" i="1"/>
  <c r="E140" i="1"/>
  <c r="F140" i="1"/>
  <c r="D149" i="1"/>
  <c r="E149" i="1"/>
  <c r="F149" i="1"/>
  <c r="D150" i="1"/>
  <c r="E150" i="1"/>
  <c r="F150" i="1"/>
  <c r="D151" i="1"/>
  <c r="E151" i="1"/>
  <c r="F151" i="1"/>
  <c r="D152" i="1"/>
  <c r="E152" i="1"/>
  <c r="F152" i="1"/>
  <c r="D153" i="1"/>
  <c r="E153" i="1"/>
  <c r="F153" i="1"/>
  <c r="D158" i="1"/>
  <c r="E158" i="1"/>
  <c r="F158" i="1"/>
  <c r="D163" i="1"/>
  <c r="E163" i="1"/>
  <c r="F163" i="1"/>
  <c r="D164" i="1"/>
  <c r="E164" i="1"/>
  <c r="F164" i="1"/>
  <c r="D169" i="1"/>
  <c r="E169" i="1"/>
  <c r="F169" i="1"/>
  <c r="D170" i="1"/>
  <c r="E170" i="1"/>
  <c r="F170" i="1"/>
  <c r="D175" i="1"/>
  <c r="E175" i="1"/>
  <c r="F175" i="1"/>
  <c r="D176" i="1"/>
  <c r="E176" i="1"/>
  <c r="F176" i="1"/>
  <c r="D181" i="1"/>
  <c r="E181" i="1"/>
  <c r="F181" i="1"/>
  <c r="D182" i="1"/>
  <c r="E182" i="1"/>
  <c r="F182" i="1"/>
  <c r="D183" i="1"/>
  <c r="E183" i="1"/>
  <c r="F183" i="1"/>
  <c r="D188" i="1"/>
  <c r="E188" i="1"/>
  <c r="F188" i="1"/>
  <c r="D189" i="1"/>
  <c r="E189" i="1"/>
  <c r="F189" i="1"/>
  <c r="D190" i="1"/>
  <c r="E190" i="1"/>
  <c r="F190" i="1"/>
  <c r="D195" i="1"/>
  <c r="E195" i="1"/>
  <c r="F195" i="1"/>
  <c r="D196" i="1"/>
  <c r="E196" i="1"/>
  <c r="F196" i="1"/>
  <c r="D201" i="1"/>
  <c r="E201" i="1"/>
  <c r="F201" i="1"/>
  <c r="D202" i="1"/>
  <c r="E202" i="1"/>
  <c r="F202" i="1"/>
  <c r="D203" i="1"/>
  <c r="E203" i="1"/>
  <c r="F203" i="1"/>
  <c r="D204" i="1"/>
  <c r="E204" i="1"/>
  <c r="F204" i="1"/>
  <c r="D209" i="1"/>
  <c r="E209" i="1"/>
  <c r="F209" i="1"/>
  <c r="D210" i="1"/>
  <c r="E210" i="1"/>
  <c r="F210" i="1"/>
  <c r="D215" i="1"/>
  <c r="E215" i="1"/>
  <c r="F215" i="1"/>
  <c r="D216" i="1"/>
  <c r="E216" i="1"/>
  <c r="F216" i="1"/>
  <c r="D221" i="1"/>
  <c r="E221" i="1"/>
  <c r="F221" i="1"/>
  <c r="D226" i="1"/>
  <c r="E226" i="1"/>
  <c r="F226" i="1"/>
  <c r="D227" i="1"/>
  <c r="E227" i="1"/>
  <c r="F227" i="1"/>
  <c r="D233" i="1"/>
  <c r="E233" i="1"/>
  <c r="F233" i="1"/>
  <c r="D238" i="1"/>
  <c r="E238" i="1"/>
  <c r="F238" i="1"/>
  <c r="D239" i="1"/>
  <c r="E239" i="1"/>
  <c r="F239" i="1"/>
  <c r="D256" i="1"/>
  <c r="E256" i="1"/>
  <c r="F256" i="1"/>
  <c r="D257" i="1"/>
  <c r="E257" i="1"/>
  <c r="F257" i="1"/>
  <c r="D258" i="1"/>
  <c r="E258" i="1"/>
  <c r="F258" i="1"/>
  <c r="D267" i="1"/>
  <c r="E267" i="1"/>
  <c r="F267" i="1"/>
  <c r="D272" i="1"/>
  <c r="E272" i="1"/>
  <c r="F272" i="1"/>
  <c r="D282" i="1"/>
  <c r="E282" i="1"/>
  <c r="F282" i="1"/>
  <c r="D283" i="1"/>
  <c r="E283" i="1"/>
  <c r="F283" i="1"/>
  <c r="D284" i="1"/>
  <c r="E284" i="1"/>
  <c r="F284" i="1"/>
  <c r="D289" i="1"/>
  <c r="E289" i="1"/>
  <c r="F289" i="1"/>
  <c r="D290" i="1"/>
  <c r="E290" i="1"/>
  <c r="F290" i="1"/>
  <c r="D291" i="1"/>
  <c r="E291" i="1"/>
  <c r="F291" i="1"/>
  <c r="D296" i="1"/>
  <c r="E296" i="1"/>
  <c r="F296" i="1"/>
  <c r="D297" i="1"/>
  <c r="E297" i="1"/>
  <c r="F297" i="1"/>
  <c r="D302" i="1"/>
  <c r="E302" i="1"/>
  <c r="F302" i="1"/>
  <c r="D303" i="1"/>
  <c r="E303" i="1"/>
  <c r="F303" i="1"/>
  <c r="D304" i="1"/>
  <c r="E304" i="1"/>
  <c r="F304" i="1"/>
  <c r="D309" i="1"/>
  <c r="E309" i="1"/>
  <c r="F309" i="1"/>
  <c r="D319" i="1"/>
  <c r="E319" i="1"/>
  <c r="F319" i="1"/>
  <c r="D320" i="1"/>
  <c r="E320" i="1"/>
  <c r="F320" i="1"/>
  <c r="D325" i="1"/>
  <c r="E325" i="1"/>
  <c r="F325" i="1"/>
  <c r="D326" i="1"/>
  <c r="E326" i="1"/>
  <c r="F326" i="1"/>
  <c r="D327" i="1"/>
  <c r="E327" i="1"/>
  <c r="F327" i="1"/>
  <c r="D333" i="1"/>
  <c r="E333" i="1"/>
  <c r="F333" i="1"/>
  <c r="D334" i="1"/>
  <c r="E334" i="1"/>
  <c r="F334" i="1"/>
  <c r="D335" i="1"/>
  <c r="E335" i="1"/>
  <c r="F335" i="1"/>
  <c r="D336" i="1"/>
  <c r="E336" i="1"/>
  <c r="F336" i="1"/>
  <c r="D337" i="1"/>
  <c r="E337" i="1"/>
  <c r="F337" i="1"/>
  <c r="D342" i="1"/>
  <c r="E342" i="1"/>
  <c r="F342" i="1"/>
  <c r="D343" i="1"/>
  <c r="E343" i="1"/>
  <c r="F343" i="1"/>
  <c r="D344" i="1"/>
  <c r="E344" i="1"/>
  <c r="F344" i="1"/>
  <c r="D345" i="1"/>
  <c r="E345" i="1"/>
  <c r="F345" i="1"/>
  <c r="D350" i="1"/>
  <c r="E350" i="1"/>
  <c r="F350" i="1"/>
  <c r="D351" i="1"/>
  <c r="E351" i="1"/>
  <c r="F351" i="1"/>
  <c r="D352" i="1"/>
  <c r="E352" i="1"/>
  <c r="F352" i="1"/>
  <c r="D357" i="1"/>
  <c r="E357" i="1"/>
  <c r="F357" i="1"/>
  <c r="D362" i="1"/>
  <c r="E362" i="1"/>
  <c r="F362" i="1"/>
  <c r="D363" i="1"/>
  <c r="E363" i="1"/>
  <c r="F363" i="1"/>
  <c r="D368" i="1"/>
  <c r="E368" i="1"/>
  <c r="F368" i="1"/>
  <c r="D369" i="1"/>
  <c r="E369" i="1"/>
  <c r="F369" i="1"/>
  <c r="D374" i="1"/>
  <c r="E374" i="1"/>
  <c r="F374" i="1"/>
  <c r="D375" i="1"/>
  <c r="E375" i="1"/>
  <c r="F375" i="1"/>
  <c r="D376" i="1"/>
  <c r="E376" i="1"/>
  <c r="F376" i="1"/>
  <c r="D381" i="1"/>
  <c r="D382" i="1"/>
  <c r="D383" i="1"/>
  <c r="D384" i="1"/>
  <c r="E381" i="1"/>
  <c r="F381" i="1"/>
  <c r="E382" i="1"/>
  <c r="F382" i="1"/>
  <c r="E383" i="1"/>
  <c r="F383" i="1"/>
  <c r="D388" i="1"/>
  <c r="E388" i="1"/>
  <c r="F388" i="1"/>
  <c r="D393" i="1"/>
  <c r="E393" i="1"/>
  <c r="F393" i="1"/>
  <c r="D394" i="1"/>
  <c r="E394" i="1"/>
  <c r="F394" i="1"/>
  <c r="D399" i="1"/>
  <c r="E399" i="1"/>
  <c r="F399" i="1"/>
  <c r="D404" i="1"/>
  <c r="E404" i="1"/>
  <c r="F404" i="1"/>
  <c r="D409" i="1"/>
  <c r="E409" i="1"/>
  <c r="F409" i="1"/>
  <c r="D414" i="1"/>
  <c r="E414" i="1"/>
  <c r="F414" i="1"/>
  <c r="D415" i="1"/>
  <c r="E415" i="1"/>
  <c r="F415" i="1"/>
  <c r="D420" i="1"/>
  <c r="E420" i="1"/>
  <c r="F420" i="1"/>
  <c r="D421" i="1"/>
  <c r="E421" i="1"/>
  <c r="F421" i="1"/>
  <c r="D422" i="1"/>
  <c r="E422" i="1"/>
  <c r="F422" i="1"/>
  <c r="D428" i="1"/>
  <c r="E428" i="1"/>
  <c r="F428" i="1"/>
  <c r="D429" i="1"/>
  <c r="E429" i="1"/>
  <c r="F429" i="1"/>
  <c r="D430" i="1"/>
  <c r="E430" i="1"/>
  <c r="F430" i="1"/>
  <c r="D435" i="1"/>
  <c r="E435" i="1"/>
  <c r="F435" i="1"/>
  <c r="D436" i="1"/>
  <c r="E436" i="1"/>
  <c r="F436" i="1"/>
  <c r="D442" i="1"/>
  <c r="E442" i="1"/>
  <c r="F442" i="1"/>
  <c r="D447" i="1"/>
  <c r="E447" i="1"/>
  <c r="F447" i="1"/>
  <c r="D448" i="1"/>
  <c r="E448" i="1"/>
  <c r="F448" i="1"/>
  <c r="D453" i="1"/>
  <c r="E453" i="1"/>
  <c r="F453" i="1"/>
  <c r="D458" i="1"/>
  <c r="E458" i="1"/>
  <c r="F458" i="1"/>
  <c r="D459" i="1"/>
  <c r="E459" i="1"/>
  <c r="F459" i="1"/>
  <c r="D460" i="1"/>
  <c r="E460" i="1"/>
  <c r="F460" i="1"/>
  <c r="D465" i="1"/>
  <c r="E465" i="1"/>
  <c r="F465" i="1"/>
  <c r="D474" i="1"/>
  <c r="E474" i="1"/>
  <c r="F474" i="1"/>
  <c r="D475" i="1"/>
  <c r="E475" i="1"/>
  <c r="F475" i="1"/>
  <c r="D476" i="1"/>
  <c r="E476" i="1"/>
  <c r="F476" i="1"/>
  <c r="D477" i="1"/>
  <c r="E477" i="1"/>
  <c r="F477" i="1"/>
  <c r="D478" i="1"/>
  <c r="E478" i="1"/>
  <c r="F478" i="1"/>
  <c r="D479" i="1"/>
  <c r="E479" i="1"/>
  <c r="F479" i="1"/>
  <c r="D496" i="1"/>
  <c r="E496" i="1"/>
  <c r="F496" i="1"/>
  <c r="D501" i="1"/>
  <c r="E501" i="1"/>
  <c r="F501" i="1"/>
  <c r="D506" i="1"/>
  <c r="E506" i="1"/>
  <c r="F506" i="1"/>
  <c r="D507" i="1"/>
  <c r="E507" i="1"/>
  <c r="F507" i="1"/>
  <c r="D508" i="1"/>
  <c r="E508" i="1"/>
  <c r="F508" i="1"/>
  <c r="D517" i="1"/>
  <c r="E517" i="1"/>
  <c r="F517" i="1"/>
  <c r="D518" i="1"/>
  <c r="E518" i="1"/>
  <c r="F518" i="1"/>
  <c r="D523" i="1"/>
  <c r="E523" i="1"/>
  <c r="F523" i="1"/>
  <c r="D524" i="1"/>
  <c r="E524" i="1"/>
  <c r="F524" i="1"/>
  <c r="D533" i="1"/>
  <c r="E533" i="1"/>
  <c r="F533" i="1"/>
  <c r="D534" i="1"/>
  <c r="E534" i="1"/>
  <c r="F534" i="1"/>
  <c r="D535" i="1"/>
  <c r="E535" i="1"/>
  <c r="F535" i="1"/>
  <c r="D540" i="1"/>
  <c r="E540" i="1"/>
  <c r="F540" i="1"/>
  <c r="D541" i="1"/>
  <c r="E541" i="1"/>
  <c r="F541" i="1"/>
  <c r="D546" i="1"/>
  <c r="E546" i="1"/>
  <c r="F546" i="1"/>
  <c r="D547" i="1"/>
  <c r="E547" i="1"/>
  <c r="F547" i="1"/>
  <c r="D552" i="1"/>
  <c r="E552" i="1"/>
  <c r="F552" i="1"/>
  <c r="D569" i="1"/>
  <c r="E569" i="1"/>
  <c r="F569" i="1"/>
  <c r="D574" i="1"/>
  <c r="E574" i="1"/>
  <c r="F574" i="1"/>
  <c r="D579" i="1"/>
  <c r="E579" i="1"/>
  <c r="F579" i="1"/>
  <c r="D584" i="1"/>
  <c r="E584" i="1"/>
  <c r="F584" i="1"/>
  <c r="D589" i="1"/>
  <c r="E589" i="1"/>
  <c r="F589" i="1"/>
  <c r="D590" i="1"/>
  <c r="E590" i="1"/>
  <c r="F590" i="1"/>
  <c r="D591" i="1"/>
  <c r="E591" i="1"/>
  <c r="F591" i="1"/>
  <c r="D596" i="1"/>
  <c r="E596" i="1"/>
  <c r="F596" i="1"/>
  <c r="D597" i="1"/>
  <c r="E597" i="1"/>
  <c r="F597" i="1"/>
  <c r="D598" i="1"/>
  <c r="E598" i="1"/>
  <c r="F598" i="1"/>
  <c r="D599" i="1"/>
  <c r="E599" i="1"/>
  <c r="F599" i="1"/>
  <c r="D604" i="1"/>
  <c r="E604" i="1"/>
  <c r="F604" i="1"/>
  <c r="D605" i="1"/>
  <c r="E605" i="1"/>
  <c r="F605" i="1"/>
  <c r="D610" i="1"/>
  <c r="E610" i="1"/>
  <c r="F610" i="1"/>
  <c r="D616" i="1"/>
  <c r="E616" i="1"/>
  <c r="F616" i="1"/>
  <c r="D617" i="1"/>
  <c r="E617" i="1"/>
  <c r="F617" i="1"/>
  <c r="D623" i="1"/>
  <c r="E623" i="1"/>
  <c r="F623" i="1"/>
  <c r="D632" i="1"/>
  <c r="E632" i="1"/>
  <c r="F632" i="1"/>
  <c r="D633" i="1"/>
  <c r="E633" i="1"/>
  <c r="F633" i="1"/>
  <c r="D634" i="1"/>
  <c r="E634" i="1"/>
  <c r="F634" i="1"/>
  <c r="D639" i="1"/>
  <c r="E639" i="1"/>
  <c r="F639" i="1"/>
  <c r="D640" i="1"/>
  <c r="E640" i="1"/>
  <c r="F640" i="1"/>
  <c r="D641" i="1"/>
  <c r="E641" i="1"/>
  <c r="F641" i="1"/>
  <c r="D646" i="1"/>
  <c r="E646" i="1"/>
  <c r="F646" i="1"/>
  <c r="D647" i="1"/>
  <c r="E647" i="1"/>
  <c r="F647" i="1"/>
  <c r="D648" i="1"/>
  <c r="E648" i="1"/>
  <c r="F648" i="1"/>
  <c r="D649" i="1"/>
  <c r="E649" i="1"/>
  <c r="F649" i="1"/>
  <c r="D650" i="1"/>
  <c r="E650" i="1"/>
  <c r="F650" i="1"/>
  <c r="D655" i="1"/>
  <c r="E655" i="1"/>
  <c r="F655" i="1"/>
  <c r="D656" i="1"/>
  <c r="E656" i="1"/>
  <c r="F656" i="1"/>
  <c r="D661" i="1"/>
  <c r="E661" i="1"/>
  <c r="F661" i="1"/>
  <c r="D662" i="1"/>
  <c r="E662" i="1"/>
  <c r="F662" i="1"/>
  <c r="D663" i="1"/>
  <c r="E663" i="1"/>
  <c r="F663" i="1"/>
  <c r="D672" i="1"/>
  <c r="E672" i="1"/>
  <c r="F672" i="1"/>
  <c r="D673" i="1"/>
  <c r="E673" i="1"/>
  <c r="F673" i="1"/>
  <c r="D678" i="1"/>
  <c r="E678" i="1"/>
  <c r="F678" i="1"/>
  <c r="D679" i="1"/>
  <c r="E679" i="1"/>
  <c r="F679" i="1"/>
  <c r="D680" i="1"/>
  <c r="E680" i="1"/>
  <c r="F680" i="1"/>
  <c r="D697" i="1"/>
  <c r="E697" i="1"/>
  <c r="F697" i="1"/>
  <c r="D698" i="1"/>
  <c r="E698" i="1"/>
  <c r="F698" i="1"/>
  <c r="D703" i="1"/>
  <c r="E703" i="1"/>
  <c r="F703" i="1"/>
  <c r="D704" i="1"/>
  <c r="E704" i="1"/>
  <c r="F704" i="1"/>
  <c r="D705" i="1"/>
  <c r="E705" i="1"/>
  <c r="F705" i="1"/>
  <c r="D712" i="1"/>
  <c r="E712" i="1"/>
  <c r="F712" i="1"/>
  <c r="D713" i="1"/>
  <c r="E713" i="1"/>
  <c r="F713" i="1"/>
  <c r="D722" i="1"/>
  <c r="E722" i="1"/>
  <c r="F722" i="1"/>
  <c r="D727" i="1"/>
  <c r="E727" i="1"/>
  <c r="F727" i="1"/>
  <c r="D728" i="1"/>
  <c r="E728" i="1"/>
  <c r="F728" i="1"/>
  <c r="D729" i="1"/>
  <c r="E729" i="1"/>
  <c r="F729" i="1"/>
  <c r="D734" i="1"/>
  <c r="E734" i="1"/>
  <c r="F734" i="1"/>
  <c r="D748" i="1"/>
  <c r="E748" i="1"/>
  <c r="F748" i="1"/>
  <c r="D753" i="1"/>
  <c r="E753" i="1"/>
  <c r="F753" i="1"/>
  <c r="D754" i="1"/>
  <c r="E754" i="1"/>
  <c r="F754" i="1"/>
  <c r="D755" i="1"/>
  <c r="E755" i="1"/>
  <c r="F755" i="1"/>
  <c r="D760" i="1"/>
  <c r="E760" i="1"/>
  <c r="F760" i="1"/>
  <c r="D761" i="1"/>
  <c r="E761" i="1"/>
  <c r="F761" i="1"/>
  <c r="D766" i="1"/>
  <c r="E766" i="1"/>
  <c r="F766" i="1"/>
  <c r="D767" i="1"/>
  <c r="E767" i="1"/>
  <c r="F767" i="1"/>
  <c r="D768" i="1"/>
  <c r="E768" i="1"/>
  <c r="F768" i="1"/>
  <c r="D769" i="1"/>
  <c r="E769" i="1"/>
  <c r="F769" i="1"/>
  <c r="D774" i="1"/>
  <c r="E774" i="1"/>
  <c r="F774" i="1"/>
  <c r="D775" i="1"/>
  <c r="E775" i="1"/>
  <c r="F775" i="1"/>
  <c r="D776" i="1"/>
  <c r="E776" i="1"/>
  <c r="F776" i="1"/>
  <c r="D777" i="1"/>
  <c r="E777" i="1"/>
  <c r="F777" i="1"/>
  <c r="D782" i="1"/>
  <c r="E782" i="1"/>
  <c r="F782" i="1"/>
  <c r="D783" i="1"/>
  <c r="E783" i="1"/>
  <c r="F783" i="1"/>
  <c r="D784" i="1"/>
  <c r="E784" i="1"/>
  <c r="F784" i="1"/>
  <c r="D785" i="1"/>
  <c r="E785" i="1"/>
  <c r="F785" i="1"/>
  <c r="D791" i="1"/>
  <c r="E791" i="1"/>
  <c r="F791" i="1"/>
  <c r="D796" i="1"/>
  <c r="E796" i="1"/>
  <c r="F796" i="1"/>
  <c r="D797" i="1"/>
  <c r="E797" i="1"/>
  <c r="F797" i="1"/>
  <c r="D802" i="1"/>
  <c r="E802" i="1"/>
  <c r="F802" i="1"/>
  <c r="D807" i="1"/>
  <c r="E807" i="1"/>
  <c r="F807" i="1"/>
  <c r="D808" i="1"/>
  <c r="E808" i="1"/>
  <c r="D816" i="1"/>
  <c r="E816" i="1"/>
  <c r="F816" i="1"/>
  <c r="D817" i="1"/>
  <c r="E817" i="1"/>
  <c r="F817" i="1"/>
  <c r="D826" i="1"/>
  <c r="E826" i="1"/>
  <c r="F826" i="1"/>
  <c r="D831" i="1"/>
  <c r="E831" i="1"/>
  <c r="F831" i="1"/>
  <c r="D836" i="1"/>
  <c r="E836" i="1"/>
  <c r="F836" i="1"/>
  <c r="D837" i="1"/>
  <c r="E837" i="1"/>
  <c r="F837" i="1"/>
  <c r="D838" i="1"/>
  <c r="E838" i="1"/>
  <c r="F838" i="1"/>
  <c r="D843" i="1"/>
  <c r="E843" i="1"/>
  <c r="F843" i="1"/>
  <c r="D848" i="1"/>
  <c r="E848" i="1"/>
  <c r="F848" i="1"/>
  <c r="D849" i="1"/>
  <c r="E849" i="1"/>
  <c r="F849" i="1"/>
  <c r="D854" i="1"/>
  <c r="E854" i="1"/>
  <c r="F854" i="1"/>
  <c r="D859" i="1"/>
  <c r="E859" i="1"/>
  <c r="F859" i="1"/>
  <c r="D860" i="1"/>
  <c r="E860" i="1"/>
  <c r="F860" i="1"/>
  <c r="D865" i="1"/>
  <c r="E865" i="1"/>
  <c r="F865" i="1"/>
  <c r="D866" i="1"/>
  <c r="E866" i="1"/>
  <c r="F866" i="1"/>
  <c r="D871" i="1"/>
  <c r="E871" i="1"/>
  <c r="F871" i="1"/>
  <c r="D872" i="1"/>
  <c r="E872" i="1"/>
  <c r="F872" i="1"/>
  <c r="D873" i="1"/>
  <c r="E873" i="1"/>
  <c r="F873" i="1"/>
  <c r="D878" i="1"/>
  <c r="E878" i="1"/>
  <c r="F878" i="1"/>
  <c r="D881" i="1"/>
  <c r="E881" i="1"/>
  <c r="F881" i="1"/>
  <c r="D882" i="1"/>
  <c r="E882" i="1"/>
  <c r="F882" i="1"/>
  <c r="D887" i="1"/>
  <c r="E887" i="1"/>
  <c r="F887" i="1"/>
  <c r="D888" i="1"/>
  <c r="E888" i="1"/>
  <c r="F888" i="1"/>
  <c r="D893" i="1"/>
  <c r="E893" i="1"/>
  <c r="F893" i="1"/>
  <c r="D894" i="1"/>
  <c r="E894" i="1"/>
  <c r="F894" i="1"/>
  <c r="D895" i="1"/>
  <c r="E895" i="1"/>
  <c r="F895" i="1"/>
  <c r="D900" i="1"/>
  <c r="E900" i="1"/>
  <c r="F900" i="1"/>
  <c r="D906" i="1"/>
  <c r="E906" i="1"/>
  <c r="F906" i="1"/>
  <c r="D907" i="1"/>
  <c r="E907" i="1"/>
  <c r="F907" i="1"/>
  <c r="D908" i="1"/>
  <c r="E908" i="1"/>
  <c r="F908" i="1"/>
  <c r="D913" i="1"/>
  <c r="E913" i="1"/>
  <c r="F913" i="1"/>
  <c r="D914" i="1"/>
  <c r="E914" i="1"/>
  <c r="F914" i="1"/>
  <c r="D915" i="1"/>
  <c r="E915" i="1"/>
  <c r="F915" i="1"/>
  <c r="D920" i="1"/>
  <c r="E920" i="1"/>
  <c r="F920" i="1"/>
  <c r="D921" i="1"/>
  <c r="E921" i="1"/>
  <c r="F921" i="1"/>
  <c r="D922" i="1"/>
  <c r="E922" i="1"/>
  <c r="F922" i="1"/>
  <c r="D923" i="1"/>
  <c r="E923" i="1"/>
  <c r="F923" i="1"/>
  <c r="D928" i="1"/>
  <c r="E928" i="1"/>
  <c r="F928" i="1"/>
  <c r="D929" i="1"/>
  <c r="E929" i="1"/>
  <c r="F929" i="1"/>
  <c r="D930" i="1"/>
  <c r="E930" i="1"/>
  <c r="F930" i="1"/>
  <c r="D939" i="1"/>
  <c r="E939" i="1"/>
  <c r="F939" i="1"/>
  <c r="D944" i="1"/>
  <c r="E944" i="1"/>
  <c r="F944" i="1"/>
  <c r="D945" i="1"/>
  <c r="E945" i="1"/>
  <c r="F945" i="1"/>
  <c r="D946" i="1"/>
  <c r="E946" i="1"/>
  <c r="F946" i="1"/>
  <c r="D947" i="1"/>
  <c r="E947" i="1"/>
  <c r="F947" i="1"/>
  <c r="D954" i="1"/>
  <c r="E954" i="1"/>
  <c r="F954" i="1"/>
  <c r="D955" i="1"/>
  <c r="E955" i="1"/>
  <c r="F955" i="1"/>
  <c r="D960" i="1"/>
  <c r="E960" i="1"/>
  <c r="F960" i="1"/>
  <c r="D961" i="1"/>
  <c r="E961" i="1"/>
  <c r="F961" i="1"/>
  <c r="D962" i="1"/>
  <c r="E962" i="1"/>
  <c r="F962" i="1"/>
  <c r="D963" i="1"/>
  <c r="E963" i="1"/>
  <c r="F963" i="1"/>
  <c r="D968" i="1"/>
  <c r="E968" i="1"/>
  <c r="F968" i="1"/>
  <c r="D969" i="1"/>
  <c r="E969" i="1"/>
  <c r="F969" i="1"/>
  <c r="D978" i="1"/>
  <c r="E978" i="1"/>
  <c r="F978" i="1"/>
  <c r="D983" i="1"/>
  <c r="E983" i="1"/>
  <c r="F983" i="1"/>
  <c r="D988" i="1"/>
  <c r="E988" i="1"/>
  <c r="F988" i="1"/>
  <c r="D989" i="1"/>
  <c r="E989" i="1"/>
  <c r="F989" i="1"/>
  <c r="D994" i="1"/>
  <c r="E994" i="1"/>
  <c r="F994" i="1"/>
  <c r="D995" i="1"/>
  <c r="E995" i="1"/>
  <c r="F995" i="1"/>
  <c r="D996" i="1"/>
  <c r="E996" i="1"/>
  <c r="F996" i="1"/>
  <c r="D997" i="1"/>
  <c r="E997" i="1"/>
  <c r="F997" i="1"/>
  <c r="D1003" i="1"/>
  <c r="E1003" i="1"/>
  <c r="F1003" i="1"/>
  <c r="D1009" i="1"/>
  <c r="E1009" i="1"/>
  <c r="F1009" i="1"/>
  <c r="D1015" i="1"/>
  <c r="E1015" i="1"/>
  <c r="F1015" i="1"/>
  <c r="D1020" i="1"/>
  <c r="E1020" i="1"/>
  <c r="F1020" i="1"/>
  <c r="D1025" i="1"/>
  <c r="E1025" i="1"/>
  <c r="F1025" i="1"/>
  <c r="D1030" i="1"/>
  <c r="E1030" i="1"/>
  <c r="F1030" i="1"/>
  <c r="D1035" i="1"/>
  <c r="E1035" i="1"/>
  <c r="F1035" i="1"/>
  <c r="D1040" i="1"/>
  <c r="E1040" i="1"/>
  <c r="F1040" i="1"/>
  <c r="D1041" i="1"/>
  <c r="E1041" i="1"/>
  <c r="F1041" i="1"/>
  <c r="D1042" i="1"/>
  <c r="E1042" i="1"/>
  <c r="F1042" i="1"/>
  <c r="D1048" i="1"/>
  <c r="E1048" i="1"/>
  <c r="F1048" i="1"/>
  <c r="D1049" i="1"/>
  <c r="E1049" i="1"/>
  <c r="F1049" i="1"/>
  <c r="D1054" i="1"/>
  <c r="E1054" i="1"/>
  <c r="F1054" i="1"/>
  <c r="D1055" i="1"/>
  <c r="E1055" i="1"/>
  <c r="F1055" i="1"/>
  <c r="D1056" i="1"/>
  <c r="E1056" i="1"/>
  <c r="F1056" i="1"/>
  <c r="D1065" i="1"/>
  <c r="E1065" i="1"/>
  <c r="F1065" i="1"/>
  <c r="D1070" i="1"/>
  <c r="E1070" i="1"/>
  <c r="F1070" i="1"/>
  <c r="D1071" i="1"/>
  <c r="E1071" i="1"/>
  <c r="F1071" i="1"/>
  <c r="D1072" i="1"/>
  <c r="E1072" i="1"/>
  <c r="F1072" i="1"/>
  <c r="D1073" i="1"/>
  <c r="E1073" i="1"/>
  <c r="F1073" i="1"/>
  <c r="D1078" i="1"/>
  <c r="E1078" i="1"/>
  <c r="F1078" i="1"/>
  <c r="D1084" i="1"/>
  <c r="E1084" i="1"/>
  <c r="F1084" i="1"/>
  <c r="D1089" i="1"/>
  <c r="E1089" i="1"/>
  <c r="F1089" i="1"/>
  <c r="D1102" i="1"/>
  <c r="E1102" i="1"/>
  <c r="F1102" i="1"/>
  <c r="D1103" i="1"/>
  <c r="E1103" i="1"/>
  <c r="F1103" i="1"/>
  <c r="D1112" i="1"/>
  <c r="E1112" i="1"/>
  <c r="F1112" i="1"/>
  <c r="D1113" i="1"/>
  <c r="E1113" i="1"/>
  <c r="F1113" i="1"/>
  <c r="D1114" i="1"/>
  <c r="E1114" i="1"/>
  <c r="F1114" i="1"/>
  <c r="D1115" i="1"/>
  <c r="E1115" i="1"/>
  <c r="F1115" i="1"/>
  <c r="D1120" i="1"/>
  <c r="E1120" i="1"/>
  <c r="F1120" i="1"/>
  <c r="D1121" i="1"/>
  <c r="E1121" i="1"/>
  <c r="F1121" i="1"/>
  <c r="D1126" i="1"/>
  <c r="E1126" i="1"/>
  <c r="F1126" i="1"/>
  <c r="D1127" i="1"/>
  <c r="E1127" i="1"/>
  <c r="F1127" i="1"/>
  <c r="D1128" i="1"/>
  <c r="E1128" i="1"/>
  <c r="F1128" i="1"/>
  <c r="D1133" i="1"/>
  <c r="E1133" i="1"/>
  <c r="F1133" i="1"/>
  <c r="D1139" i="1"/>
  <c r="E1139" i="1"/>
  <c r="F1139" i="1"/>
  <c r="D1140" i="1"/>
  <c r="E1140" i="1"/>
  <c r="F1140" i="1"/>
  <c r="D1141" i="1"/>
  <c r="E1141" i="1"/>
  <c r="F1141" i="1"/>
  <c r="D1142" i="1"/>
  <c r="E1142" i="1"/>
  <c r="F1142" i="1"/>
  <c r="D1143" i="1"/>
  <c r="E1143" i="1"/>
  <c r="F1143" i="1"/>
  <c r="D1144" i="1"/>
  <c r="E1144" i="1"/>
  <c r="F1144" i="1"/>
  <c r="D1149" i="1"/>
  <c r="E1149" i="1"/>
  <c r="F1149" i="1"/>
  <c r="D1150" i="1"/>
  <c r="E1150" i="1"/>
  <c r="F1150" i="1"/>
  <c r="D1167" i="1"/>
  <c r="E1167" i="1"/>
  <c r="F1167" i="1"/>
  <c r="D1168" i="1"/>
  <c r="E1168" i="1"/>
  <c r="F1168" i="1"/>
  <c r="D1169" i="1"/>
  <c r="E1169" i="1"/>
  <c r="F1169" i="1"/>
  <c r="D1182" i="1"/>
  <c r="E1182" i="1"/>
  <c r="F1182" i="1"/>
  <c r="D1183" i="1"/>
  <c r="E1183" i="1"/>
  <c r="F1183" i="1"/>
  <c r="D1184" i="1"/>
  <c r="E1184" i="1"/>
  <c r="F1184" i="1"/>
  <c r="D1185" i="1"/>
  <c r="E1185" i="1"/>
  <c r="F1185" i="1"/>
  <c r="D1186" i="1"/>
  <c r="E1186" i="1"/>
  <c r="F1186" i="1"/>
  <c r="D1187" i="1"/>
  <c r="E1187" i="1"/>
  <c r="F1187" i="1"/>
  <c r="D1192" i="1"/>
  <c r="E1192" i="1"/>
  <c r="F1192" i="1"/>
  <c r="D1193" i="1"/>
  <c r="E1193" i="1"/>
  <c r="F1193" i="1"/>
  <c r="D1198" i="1"/>
  <c r="E1198" i="1"/>
  <c r="F1198" i="1"/>
  <c r="D1199" i="1"/>
  <c r="E1199" i="1"/>
  <c r="F1199" i="1"/>
  <c r="F835" i="1" l="1"/>
  <c r="E835" i="1"/>
  <c r="D835" i="1"/>
  <c r="D9" i="1"/>
  <c r="E9" i="1"/>
  <c r="F9" i="1"/>
  <c r="D14" i="1"/>
  <c r="E14" i="1"/>
  <c r="F14" i="1"/>
  <c r="D19" i="1"/>
  <c r="E19" i="1"/>
  <c r="F19" i="1"/>
  <c r="D26" i="1"/>
  <c r="E26" i="1"/>
  <c r="F26" i="1"/>
  <c r="D32" i="1"/>
  <c r="E32" i="1"/>
  <c r="F32" i="1"/>
  <c r="D39" i="1"/>
  <c r="E39" i="1"/>
  <c r="F39" i="1"/>
  <c r="D45" i="1"/>
  <c r="E45" i="1"/>
  <c r="F45" i="1"/>
  <c r="D51" i="1"/>
  <c r="E51" i="1"/>
  <c r="F51" i="1"/>
  <c r="D57" i="1"/>
  <c r="E57" i="1"/>
  <c r="F57" i="1"/>
  <c r="D62" i="1"/>
  <c r="E62" i="1"/>
  <c r="F62" i="1"/>
  <c r="D67" i="1"/>
  <c r="E67" i="1"/>
  <c r="F67" i="1"/>
  <c r="D72" i="1"/>
  <c r="E72" i="1"/>
  <c r="F72" i="1"/>
  <c r="D77" i="1"/>
  <c r="E77" i="1"/>
  <c r="F77" i="1"/>
  <c r="D81" i="1"/>
  <c r="E81" i="1"/>
  <c r="F81" i="1"/>
  <c r="D85" i="1"/>
  <c r="E85" i="1"/>
  <c r="F85" i="1"/>
  <c r="D91" i="1"/>
  <c r="E91" i="1"/>
  <c r="F91" i="1"/>
  <c r="D99" i="1"/>
  <c r="E99" i="1"/>
  <c r="F99" i="1"/>
  <c r="D103" i="1"/>
  <c r="E103" i="1"/>
  <c r="F103" i="1"/>
  <c r="D108" i="1"/>
  <c r="E108" i="1"/>
  <c r="F108" i="1"/>
  <c r="D113" i="1"/>
  <c r="E113" i="1"/>
  <c r="F113" i="1"/>
  <c r="D118" i="1"/>
  <c r="E118" i="1"/>
  <c r="F118" i="1"/>
  <c r="D122" i="1"/>
  <c r="E122" i="1"/>
  <c r="F122" i="1"/>
  <c r="D126" i="1"/>
  <c r="E126" i="1"/>
  <c r="F126" i="1"/>
  <c r="D132" i="1"/>
  <c r="E132" i="1"/>
  <c r="F132" i="1"/>
  <c r="D138" i="1"/>
  <c r="E138" i="1"/>
  <c r="F138" i="1"/>
  <c r="D144" i="1"/>
  <c r="E144" i="1"/>
  <c r="F144" i="1"/>
  <c r="D148" i="1"/>
  <c r="E148" i="1"/>
  <c r="F148" i="1"/>
  <c r="D157" i="1"/>
  <c r="E157" i="1"/>
  <c r="F157" i="1"/>
  <c r="D162" i="1"/>
  <c r="E162" i="1"/>
  <c r="F162" i="1"/>
  <c r="D168" i="1"/>
  <c r="E168" i="1"/>
  <c r="F168" i="1"/>
  <c r="D174" i="1"/>
  <c r="E174" i="1"/>
  <c r="F174" i="1"/>
  <c r="D180" i="1"/>
  <c r="E180" i="1"/>
  <c r="F180" i="1"/>
  <c r="D187" i="1"/>
  <c r="E187" i="1"/>
  <c r="F187" i="1"/>
  <c r="D194" i="1"/>
  <c r="E194" i="1"/>
  <c r="F194" i="1"/>
  <c r="D200" i="1"/>
  <c r="E200" i="1"/>
  <c r="F200" i="1"/>
  <c r="D208" i="1"/>
  <c r="E208" i="1"/>
  <c r="F208" i="1"/>
  <c r="D214" i="1"/>
  <c r="E214" i="1"/>
  <c r="F214" i="1"/>
  <c r="D220" i="1"/>
  <c r="E220" i="1"/>
  <c r="F220" i="1"/>
  <c r="D225" i="1"/>
  <c r="E225" i="1"/>
  <c r="F225" i="1"/>
  <c r="D232" i="1"/>
  <c r="E232" i="1"/>
  <c r="F232" i="1"/>
  <c r="D237" i="1"/>
  <c r="E237" i="1"/>
  <c r="F237" i="1"/>
  <c r="D243" i="1"/>
  <c r="E243" i="1"/>
  <c r="F243" i="1"/>
  <c r="D247" i="1"/>
  <c r="E247" i="1"/>
  <c r="F247" i="1"/>
  <c r="D251" i="1"/>
  <c r="E251" i="1"/>
  <c r="F251" i="1"/>
  <c r="D255" i="1"/>
  <c r="E255" i="1"/>
  <c r="F255" i="1"/>
  <c r="D262" i="1"/>
  <c r="E262" i="1"/>
  <c r="F262" i="1"/>
  <c r="D266" i="1"/>
  <c r="E266" i="1"/>
  <c r="F266" i="1"/>
  <c r="D271" i="1"/>
  <c r="E271" i="1"/>
  <c r="F271" i="1"/>
  <c r="D277" i="1"/>
  <c r="E277" i="1"/>
  <c r="F277" i="1"/>
  <c r="D281" i="1"/>
  <c r="E281" i="1"/>
  <c r="F281" i="1"/>
  <c r="D288" i="1"/>
  <c r="E288" i="1"/>
  <c r="F288" i="1"/>
  <c r="D295" i="1"/>
  <c r="E295" i="1"/>
  <c r="F295" i="1"/>
  <c r="D301" i="1"/>
  <c r="E301" i="1"/>
  <c r="F301" i="1"/>
  <c r="D308" i="1"/>
  <c r="E308" i="1"/>
  <c r="F308" i="1"/>
  <c r="D314" i="1"/>
  <c r="E314" i="1"/>
  <c r="F314" i="1"/>
  <c r="D318" i="1"/>
  <c r="E318" i="1"/>
  <c r="F318" i="1"/>
  <c r="D324" i="1"/>
  <c r="E324" i="1"/>
  <c r="F324" i="1"/>
  <c r="D332" i="1"/>
  <c r="E332" i="1"/>
  <c r="F332" i="1"/>
  <c r="D341" i="1"/>
  <c r="E341" i="1"/>
  <c r="F341" i="1"/>
  <c r="D349" i="1"/>
  <c r="E349" i="1"/>
  <c r="F349" i="1"/>
  <c r="D356" i="1"/>
  <c r="E356" i="1"/>
  <c r="F356" i="1"/>
  <c r="D361" i="1"/>
  <c r="E361" i="1"/>
  <c r="F361" i="1"/>
  <c r="D367" i="1"/>
  <c r="E367" i="1"/>
  <c r="F367" i="1"/>
  <c r="D373" i="1"/>
  <c r="E373" i="1"/>
  <c r="F373" i="1"/>
  <c r="D380" i="1"/>
  <c r="E380" i="1"/>
  <c r="F380" i="1"/>
  <c r="D387" i="1"/>
  <c r="E387" i="1"/>
  <c r="F387" i="1"/>
  <c r="D392" i="1"/>
  <c r="E392" i="1"/>
  <c r="F392" i="1"/>
  <c r="D398" i="1"/>
  <c r="E398" i="1"/>
  <c r="F398" i="1"/>
  <c r="D403" i="1"/>
  <c r="E403" i="1"/>
  <c r="F403" i="1"/>
  <c r="D408" i="1"/>
  <c r="E408" i="1"/>
  <c r="F408" i="1"/>
  <c r="D413" i="1"/>
  <c r="E413" i="1"/>
  <c r="F413" i="1"/>
  <c r="D419" i="1"/>
  <c r="E419" i="1"/>
  <c r="F419" i="1"/>
  <c r="D427" i="1"/>
  <c r="E427" i="1"/>
  <c r="F427" i="1"/>
  <c r="D434" i="1"/>
  <c r="E434" i="1"/>
  <c r="F434" i="1"/>
  <c r="D441" i="1"/>
  <c r="E441" i="1"/>
  <c r="F441" i="1"/>
  <c r="D446" i="1"/>
  <c r="E446" i="1"/>
  <c r="F446" i="1"/>
  <c r="D452" i="1"/>
  <c r="E452" i="1"/>
  <c r="F452" i="1"/>
  <c r="D457" i="1"/>
  <c r="E457" i="1"/>
  <c r="F457" i="1"/>
  <c r="D464" i="1"/>
  <c r="E464" i="1"/>
  <c r="F464" i="1"/>
  <c r="D469" i="1"/>
  <c r="E469" i="1"/>
  <c r="F469" i="1"/>
  <c r="D473" i="1"/>
  <c r="E473" i="1"/>
  <c r="F473" i="1"/>
  <c r="D483" i="1"/>
  <c r="E483" i="1"/>
  <c r="F483" i="1"/>
  <c r="D487" i="1"/>
  <c r="E487" i="1"/>
  <c r="F487" i="1"/>
  <c r="D491" i="1"/>
  <c r="E491" i="1"/>
  <c r="F491" i="1"/>
  <c r="D495" i="1"/>
  <c r="E495" i="1"/>
  <c r="F495" i="1"/>
  <c r="D500" i="1"/>
  <c r="E500" i="1"/>
  <c r="F500" i="1"/>
  <c r="D505" i="1"/>
  <c r="E505" i="1"/>
  <c r="F505" i="1"/>
  <c r="D512" i="1"/>
  <c r="E512" i="1"/>
  <c r="F512" i="1"/>
  <c r="D516" i="1"/>
  <c r="E516" i="1"/>
  <c r="F516" i="1"/>
  <c r="D522" i="1"/>
  <c r="E522" i="1"/>
  <c r="F522" i="1"/>
  <c r="D528" i="1"/>
  <c r="E528" i="1"/>
  <c r="F528" i="1"/>
  <c r="D532" i="1"/>
  <c r="E532" i="1"/>
  <c r="F532" i="1"/>
  <c r="D539" i="1"/>
  <c r="E539" i="1"/>
  <c r="F539" i="1"/>
  <c r="D545" i="1"/>
  <c r="E545" i="1"/>
  <c r="F545" i="1"/>
  <c r="D551" i="1"/>
  <c r="E551" i="1"/>
  <c r="F551" i="1"/>
  <c r="D556" i="1"/>
  <c r="E556" i="1"/>
  <c r="F556" i="1"/>
  <c r="D560" i="1"/>
  <c r="E560" i="1"/>
  <c r="F560" i="1"/>
  <c r="D564" i="1"/>
  <c r="E564" i="1"/>
  <c r="F564" i="1"/>
  <c r="D568" i="1"/>
  <c r="E568" i="1"/>
  <c r="F568" i="1"/>
  <c r="D573" i="1"/>
  <c r="E573" i="1"/>
  <c r="F573" i="1"/>
  <c r="D578" i="1"/>
  <c r="E578" i="1"/>
  <c r="F578" i="1"/>
  <c r="D583" i="1"/>
  <c r="E583" i="1"/>
  <c r="F583" i="1"/>
  <c r="D588" i="1"/>
  <c r="E588" i="1"/>
  <c r="F588" i="1"/>
  <c r="D595" i="1"/>
  <c r="E595" i="1"/>
  <c r="F595" i="1"/>
  <c r="D603" i="1"/>
  <c r="E603" i="1"/>
  <c r="F603" i="1"/>
  <c r="D609" i="1"/>
  <c r="E609" i="1"/>
  <c r="F609" i="1"/>
  <c r="D615" i="1"/>
  <c r="E615" i="1"/>
  <c r="F615" i="1"/>
  <c r="D622" i="1"/>
  <c r="E622" i="1"/>
  <c r="F622" i="1"/>
  <c r="D627" i="1"/>
  <c r="E627" i="1"/>
  <c r="F627" i="1"/>
  <c r="D631" i="1"/>
  <c r="E631" i="1"/>
  <c r="F631" i="1"/>
  <c r="D638" i="1"/>
  <c r="E638" i="1"/>
  <c r="F638" i="1"/>
  <c r="D645" i="1"/>
  <c r="E645" i="1"/>
  <c r="F645" i="1"/>
  <c r="D654" i="1"/>
  <c r="E654" i="1"/>
  <c r="F654" i="1"/>
  <c r="D660" i="1"/>
  <c r="E660" i="1"/>
  <c r="F660" i="1"/>
  <c r="D667" i="1"/>
  <c r="E667" i="1"/>
  <c r="F667" i="1"/>
  <c r="D671" i="1"/>
  <c r="E671" i="1"/>
  <c r="F671" i="1"/>
  <c r="D677" i="1"/>
  <c r="E677" i="1"/>
  <c r="F677" i="1"/>
  <c r="D684" i="1"/>
  <c r="E684" i="1"/>
  <c r="F684" i="1"/>
  <c r="D688" i="1"/>
  <c r="E688" i="1"/>
  <c r="F688" i="1"/>
  <c r="D692" i="1"/>
  <c r="E692" i="1"/>
  <c r="F692" i="1"/>
  <c r="D696" i="1"/>
  <c r="E696" i="1"/>
  <c r="F696" i="1"/>
  <c r="D702" i="1"/>
  <c r="E702" i="1"/>
  <c r="F702" i="1"/>
  <c r="D711" i="1"/>
  <c r="E711" i="1"/>
  <c r="F711" i="1"/>
  <c r="D717" i="1"/>
  <c r="E717" i="1"/>
  <c r="F717" i="1"/>
  <c r="D721" i="1"/>
  <c r="E721" i="1"/>
  <c r="F721" i="1"/>
  <c r="D726" i="1"/>
  <c r="E726" i="1"/>
  <c r="F726" i="1"/>
  <c r="D733" i="1"/>
  <c r="E733" i="1"/>
  <c r="F733" i="1"/>
  <c r="D738" i="1"/>
  <c r="E738" i="1"/>
  <c r="F738" i="1"/>
  <c r="D743" i="1"/>
  <c r="E743" i="1"/>
  <c r="F743" i="1"/>
  <c r="D747" i="1"/>
  <c r="E747" i="1"/>
  <c r="F747" i="1"/>
  <c r="D752" i="1"/>
  <c r="E752" i="1"/>
  <c r="F752" i="1"/>
  <c r="D759" i="1"/>
  <c r="E759" i="1"/>
  <c r="F759" i="1"/>
  <c r="D790" i="1"/>
  <c r="E790" i="1"/>
  <c r="F790" i="1"/>
  <c r="D795" i="1"/>
  <c r="E795" i="1"/>
  <c r="F795" i="1"/>
  <c r="D801" i="1"/>
  <c r="E801" i="1"/>
  <c r="F801" i="1"/>
  <c r="D806" i="1"/>
  <c r="E806" i="1"/>
  <c r="F806" i="1"/>
  <c r="D815" i="1"/>
  <c r="E815" i="1"/>
  <c r="F815" i="1"/>
  <c r="D825" i="1"/>
  <c r="E825" i="1"/>
  <c r="F825" i="1"/>
  <c r="D830" i="1"/>
  <c r="E830" i="1"/>
  <c r="F830" i="1"/>
  <c r="D842" i="1"/>
  <c r="E842" i="1"/>
  <c r="F842" i="1"/>
  <c r="D847" i="1"/>
  <c r="E847" i="1"/>
  <c r="F847" i="1"/>
  <c r="D853" i="1"/>
  <c r="E853" i="1"/>
  <c r="F853" i="1"/>
  <c r="D858" i="1"/>
  <c r="E858" i="1"/>
  <c r="F858" i="1"/>
  <c r="D864" i="1"/>
  <c r="E864" i="1"/>
  <c r="F864" i="1"/>
  <c r="D870" i="1"/>
  <c r="E870" i="1"/>
  <c r="F870" i="1"/>
  <c r="D877" i="1"/>
  <c r="E877" i="1"/>
  <c r="F877" i="1"/>
  <c r="D880" i="1"/>
  <c r="E880" i="1"/>
  <c r="F880" i="1"/>
  <c r="D886" i="1"/>
  <c r="E886" i="1"/>
  <c r="F886" i="1"/>
  <c r="D892" i="1"/>
  <c r="E892" i="1"/>
  <c r="F892" i="1"/>
  <c r="D899" i="1"/>
  <c r="E899" i="1"/>
  <c r="F899" i="1"/>
  <c r="D905" i="1"/>
  <c r="E905" i="1"/>
  <c r="F905" i="1"/>
  <c r="D912" i="1"/>
  <c r="E912" i="1"/>
  <c r="F912" i="1"/>
  <c r="D919" i="1"/>
  <c r="E919" i="1"/>
  <c r="F919" i="1"/>
  <c r="D927" i="1"/>
  <c r="E927" i="1"/>
  <c r="F927" i="1"/>
  <c r="D934" i="1"/>
  <c r="E934" i="1"/>
  <c r="F934" i="1"/>
  <c r="D938" i="1"/>
  <c r="E938" i="1"/>
  <c r="F938" i="1"/>
  <c r="D943" i="1"/>
  <c r="E943" i="1"/>
  <c r="F943" i="1"/>
  <c r="D953" i="1"/>
  <c r="E953" i="1"/>
  <c r="F953" i="1"/>
  <c r="D959" i="1"/>
  <c r="E959" i="1"/>
  <c r="F959" i="1"/>
  <c r="D967" i="1"/>
  <c r="E967" i="1"/>
  <c r="F967" i="1"/>
  <c r="D973" i="1"/>
  <c r="E973" i="1"/>
  <c r="F973" i="1"/>
  <c r="D977" i="1"/>
  <c r="E977" i="1"/>
  <c r="F977" i="1"/>
  <c r="D982" i="1"/>
  <c r="E982" i="1"/>
  <c r="F982" i="1"/>
  <c r="D987" i="1"/>
  <c r="E987" i="1"/>
  <c r="F987" i="1"/>
  <c r="D993" i="1"/>
  <c r="E993" i="1"/>
  <c r="F993" i="1"/>
  <c r="D1002" i="1"/>
  <c r="E1002" i="1"/>
  <c r="F1002" i="1"/>
  <c r="D1008" i="1"/>
  <c r="E1008" i="1"/>
  <c r="F1008" i="1"/>
  <c r="D1014" i="1"/>
  <c r="E1014" i="1"/>
  <c r="F1014" i="1"/>
  <c r="D1019" i="1"/>
  <c r="E1019" i="1"/>
  <c r="F1019" i="1"/>
  <c r="D1024" i="1"/>
  <c r="E1024" i="1"/>
  <c r="F1024" i="1"/>
  <c r="D1029" i="1"/>
  <c r="E1029" i="1"/>
  <c r="F1029" i="1"/>
  <c r="D1034" i="1"/>
  <c r="E1034" i="1"/>
  <c r="F1034" i="1"/>
  <c r="D1039" i="1"/>
  <c r="E1039" i="1"/>
  <c r="F1039" i="1"/>
  <c r="D1044" i="1"/>
  <c r="E1044" i="1"/>
  <c r="F1044" i="1"/>
  <c r="D1047" i="1"/>
  <c r="E1047" i="1"/>
  <c r="F1047" i="1"/>
  <c r="D1053" i="1"/>
  <c r="E1053" i="1"/>
  <c r="F1053" i="1"/>
  <c r="D1060" i="1"/>
  <c r="E1060" i="1"/>
  <c r="F1060" i="1"/>
  <c r="D1064" i="1"/>
  <c r="E1064" i="1"/>
  <c r="F1064" i="1"/>
  <c r="D1069" i="1"/>
  <c r="E1069" i="1"/>
  <c r="F1069" i="1"/>
  <c r="D1077" i="1"/>
  <c r="E1077" i="1"/>
  <c r="F1077" i="1"/>
  <c r="D1083" i="1"/>
  <c r="E1083" i="1"/>
  <c r="F1083" i="1"/>
  <c r="D1088" i="1"/>
  <c r="E1088" i="1"/>
  <c r="F1088" i="1"/>
  <c r="D1093" i="1"/>
  <c r="E1093" i="1"/>
  <c r="F1093" i="1"/>
  <c r="D1097" i="1"/>
  <c r="E1097" i="1"/>
  <c r="F1097" i="1"/>
  <c r="D1101" i="1"/>
  <c r="E1101" i="1"/>
  <c r="F1101" i="1"/>
  <c r="D1107" i="1"/>
  <c r="E1107" i="1"/>
  <c r="F1107" i="1"/>
  <c r="D1111" i="1"/>
  <c r="E1111" i="1"/>
  <c r="F1111" i="1"/>
  <c r="D1119" i="1"/>
  <c r="E1119" i="1"/>
  <c r="F1119" i="1"/>
  <c r="D1125" i="1"/>
  <c r="E1125" i="1"/>
  <c r="F1125" i="1"/>
  <c r="D1132" i="1"/>
  <c r="E1132" i="1"/>
  <c r="F1132" i="1"/>
  <c r="D1138" i="1"/>
  <c r="E1138" i="1"/>
  <c r="F1138" i="1"/>
  <c r="D1148" i="1"/>
  <c r="E1148" i="1"/>
  <c r="F1148" i="1"/>
  <c r="D1154" i="1"/>
  <c r="E1154" i="1"/>
  <c r="F1154" i="1"/>
  <c r="D1158" i="1"/>
  <c r="E1158" i="1"/>
  <c r="F1158" i="1"/>
  <c r="D1162" i="1"/>
  <c r="E1162" i="1"/>
  <c r="F1162" i="1"/>
  <c r="D1166" i="1"/>
  <c r="E1166" i="1"/>
  <c r="F1166" i="1"/>
  <c r="D1173" i="1"/>
  <c r="E1173" i="1"/>
  <c r="F1173" i="1"/>
  <c r="D1177" i="1"/>
  <c r="E1177" i="1"/>
  <c r="F1177" i="1"/>
  <c r="D1181" i="1"/>
  <c r="E1181" i="1"/>
  <c r="F1181" i="1"/>
  <c r="D1191" i="1"/>
  <c r="E1191" i="1"/>
  <c r="F1191" i="1"/>
  <c r="D1197" i="1"/>
  <c r="E1197" i="1"/>
  <c r="F1197" i="1"/>
  <c r="D1203" i="1"/>
  <c r="E1203" i="1"/>
  <c r="F1203" i="1"/>
  <c r="AG900" i="1"/>
  <c r="AB1089" i="1" l="1"/>
  <c r="AC376" i="1"/>
  <c r="AC63" i="1" l="1"/>
  <c r="AB1083" i="1" l="1"/>
  <c r="AB86" i="1"/>
  <c r="AB1072" i="1" l="1"/>
  <c r="AB422" i="1" l="1"/>
  <c r="AB946" i="1" l="1"/>
  <c r="AB947" i="1"/>
  <c r="AB865" i="1"/>
  <c r="AB864" i="1"/>
  <c r="AB728" i="1"/>
  <c r="AB843" i="1" l="1"/>
  <c r="AA843" i="1"/>
  <c r="AB662" i="1"/>
  <c r="AB726" i="1"/>
  <c r="AB134" i="1"/>
  <c r="AB428" i="1" l="1"/>
  <c r="AB1088" i="1"/>
  <c r="AB196" i="1"/>
  <c r="AB168" i="1"/>
  <c r="AB127" i="1"/>
  <c r="AB20" i="1" l="1"/>
  <c r="AA688" i="1"/>
  <c r="AA175" i="1"/>
  <c r="AA913" i="1"/>
  <c r="AA914" i="1"/>
  <c r="AA915" i="1"/>
  <c r="AA887" i="1"/>
  <c r="AA886" i="1"/>
  <c r="AA894" i="1" l="1"/>
  <c r="AA865" i="1"/>
  <c r="AA864" i="1"/>
  <c r="AA870" i="1"/>
  <c r="AA858" i="1"/>
  <c r="AA859" i="1"/>
  <c r="AA997" i="1" l="1"/>
  <c r="AA1083" i="1" l="1"/>
  <c r="AA435" i="1"/>
  <c r="AA1025" i="1" l="1"/>
  <c r="AA1064" i="1"/>
  <c r="AA1053" i="1"/>
  <c r="AA1048" i="1"/>
  <c r="AA1060" i="1"/>
  <c r="AA1020" i="1"/>
  <c r="AA1035" i="1"/>
  <c r="AA1034" i="1"/>
  <c r="AA661" i="1" l="1"/>
  <c r="AA660" i="1"/>
  <c r="AA168" i="1" l="1"/>
  <c r="AA369" i="1"/>
  <c r="AA617" i="1" l="1"/>
  <c r="AA616" i="1"/>
  <c r="Z1140" i="1" l="1"/>
  <c r="Z616" i="1"/>
  <c r="Z615" i="1"/>
  <c r="Z459" i="1"/>
  <c r="Z458" i="1"/>
  <c r="Z680" i="1" l="1"/>
  <c r="Z712" i="1" l="1"/>
  <c r="Z1014" i="1"/>
  <c r="Y1071" i="1"/>
  <c r="Z922" i="1" l="1"/>
  <c r="Z915" i="1"/>
  <c r="Z40" i="1"/>
  <c r="Z383" i="1"/>
  <c r="Z367" i="1"/>
  <c r="Z843" i="1" l="1"/>
  <c r="Z677" i="1"/>
  <c r="Z398" i="1"/>
  <c r="Z399" i="1"/>
  <c r="Z327" i="1"/>
  <c r="Z176" i="1"/>
  <c r="Z232" i="1"/>
  <c r="Z233" i="1"/>
  <c r="Z190" i="1" l="1"/>
  <c r="Z157" i="1"/>
  <c r="Z140" i="1"/>
  <c r="Y774" i="1" l="1"/>
  <c r="Y775" i="1"/>
  <c r="Y776" i="1"/>
  <c r="Y782" i="1"/>
  <c r="Y783" i="1"/>
  <c r="Y784" i="1"/>
  <c r="Y768" i="1"/>
  <c r="Y767" i="1"/>
  <c r="Y766" i="1"/>
  <c r="Y598" i="1" l="1"/>
  <c r="Y314" i="1"/>
  <c r="Y1024" i="1"/>
  <c r="Y1054" i="1" l="1"/>
  <c r="Y622" i="1"/>
  <c r="Y677" i="1"/>
  <c r="Y528" i="1"/>
  <c r="Y944" i="1" l="1"/>
  <c r="Y174" i="1"/>
  <c r="Y1177" i="1"/>
  <c r="Y847" i="1" l="1"/>
  <c r="Y673" i="1"/>
  <c r="G5" i="1"/>
  <c r="Y458" i="1" l="1"/>
  <c r="Y420" i="1"/>
  <c r="Y262" i="1"/>
  <c r="Y183" i="1"/>
  <c r="Y239" i="1"/>
  <c r="Y138" i="1"/>
  <c r="Y27" i="1"/>
  <c r="X352" i="1" l="1"/>
  <c r="X349" i="1" l="1"/>
  <c r="X351" i="1"/>
  <c r="X679" i="1" l="1"/>
  <c r="X569" i="1"/>
  <c r="X568" i="1"/>
  <c r="X870" i="1"/>
  <c r="X591" i="1" l="1"/>
  <c r="X590" i="1"/>
  <c r="X627" i="1"/>
  <c r="X1102" i="1" l="1"/>
  <c r="X1203" i="1"/>
  <c r="X1148" i="1"/>
  <c r="X1149" i="1"/>
  <c r="X1139" i="1"/>
  <c r="X1140" i="1"/>
  <c r="X988" i="1" l="1"/>
  <c r="U865" i="1"/>
  <c r="X221" i="1"/>
  <c r="X220" i="1"/>
  <c r="X1112" i="1"/>
  <c r="X237" i="1"/>
  <c r="X238" i="1"/>
  <c r="X1185" i="1" l="1"/>
  <c r="X52" i="1"/>
  <c r="X51" i="1" l="1"/>
  <c r="X26" i="1"/>
  <c r="X189" i="1"/>
  <c r="X181" i="1"/>
  <c r="X85" i="1" l="1"/>
  <c r="X27" i="1" l="1"/>
  <c r="W922" i="1" l="1"/>
  <c r="W92" i="1"/>
  <c r="W960" i="1"/>
  <c r="W961" i="1"/>
  <c r="W900" i="1"/>
  <c r="W907" i="1"/>
  <c r="W906" i="1"/>
  <c r="W921" i="1"/>
  <c r="W703" i="1"/>
  <c r="W752" i="1"/>
  <c r="W588" i="1" l="1"/>
  <c r="W646" i="1"/>
  <c r="W654" i="1"/>
  <c r="W495" i="1"/>
  <c r="W414" i="1" l="1"/>
  <c r="W296" i="1"/>
  <c r="W163" i="1" l="1"/>
  <c r="W162" i="1"/>
  <c r="W164" i="1"/>
  <c r="W201" i="1" l="1"/>
  <c r="W91" i="1" l="1"/>
  <c r="W26" i="1"/>
  <c r="W27" i="1"/>
  <c r="V753" i="1" l="1"/>
  <c r="V1047" i="1"/>
  <c r="V597" i="1" l="1"/>
  <c r="V533" i="1"/>
  <c r="V702" i="1"/>
  <c r="V672" i="1"/>
  <c r="V473" i="1"/>
  <c r="V1138" i="1" l="1"/>
  <c r="V1183" i="1"/>
  <c r="V1112" i="1" l="1"/>
  <c r="V1113" i="1"/>
  <c r="V1114" i="1"/>
  <c r="V953" i="1"/>
  <c r="V943" i="1"/>
  <c r="V919" i="1"/>
  <c r="V920" i="1"/>
  <c r="V906" i="1"/>
  <c r="V907" i="1"/>
  <c r="V350" i="1" l="1"/>
  <c r="V324" i="1"/>
  <c r="V288" i="1" l="1"/>
  <c r="V149" i="1" l="1"/>
  <c r="V91" i="1"/>
  <c r="V92" i="1"/>
  <c r="V85" i="1" l="1"/>
  <c r="U893" i="1" l="1"/>
  <c r="U907" i="1"/>
  <c r="U906" i="1"/>
  <c r="U361" i="1" l="1"/>
  <c r="U188" i="1"/>
  <c r="U85" i="1"/>
  <c r="U51" i="1"/>
  <c r="U717" i="1" l="1"/>
  <c r="U603" i="1"/>
  <c r="U604" i="1"/>
  <c r="U605" i="1"/>
  <c r="U506" i="1"/>
  <c r="U507" i="1"/>
  <c r="U505" i="1"/>
  <c r="U215" i="1"/>
  <c r="U81" i="1"/>
  <c r="B18" i="6"/>
  <c r="C8" i="6" l="1"/>
  <c r="F2" i="6"/>
  <c r="D2" i="6"/>
  <c r="D4" i="6"/>
  <c r="D5" i="6"/>
  <c r="D6" i="6"/>
  <c r="D7" i="6"/>
  <c r="D8" i="6"/>
  <c r="D9" i="6"/>
  <c r="D10" i="6"/>
  <c r="D11" i="6"/>
  <c r="D12" i="6"/>
  <c r="D13" i="6"/>
  <c r="D14" i="6"/>
  <c r="D15" i="6"/>
  <c r="D16" i="6"/>
  <c r="D17" i="6"/>
  <c r="C17" i="6"/>
  <c r="C16" i="6"/>
  <c r="C15" i="6"/>
  <c r="C14" i="6"/>
  <c r="C13" i="6"/>
  <c r="C12" i="6"/>
  <c r="C11" i="6"/>
  <c r="C10" i="6"/>
  <c r="C9" i="6"/>
  <c r="C7" i="6"/>
  <c r="C6" i="6"/>
  <c r="C5" i="6"/>
  <c r="C4" i="6"/>
  <c r="C3" i="6"/>
  <c r="C2" i="6"/>
  <c r="C18" i="6" l="1"/>
  <c r="H205" i="7" l="1"/>
  <c r="J206" i="7" s="1"/>
  <c r="J204" i="7"/>
  <c r="J203" i="7"/>
  <c r="J202" i="7"/>
  <c r="J201" i="7"/>
  <c r="J200" i="7"/>
  <c r="J199" i="7"/>
  <c r="J198" i="7"/>
  <c r="J197" i="7"/>
  <c r="J196" i="7"/>
  <c r="J191" i="7"/>
  <c r="J192" i="7"/>
  <c r="J195" i="7"/>
  <c r="J194" i="7"/>
  <c r="J193" i="7"/>
  <c r="J190" i="7"/>
  <c r="J189" i="7"/>
  <c r="J184" i="7"/>
  <c r="J188" i="7"/>
  <c r="J187" i="7"/>
  <c r="J186" i="7"/>
  <c r="J185" i="7"/>
  <c r="J183" i="7"/>
  <c r="E13" i="6" s="1"/>
  <c r="J182" i="7"/>
  <c r="J181" i="7"/>
  <c r="J180" i="7"/>
  <c r="J179" i="7"/>
  <c r="J178" i="7"/>
  <c r="J177" i="7"/>
  <c r="J176" i="7"/>
  <c r="J175" i="7"/>
  <c r="J174" i="7"/>
  <c r="J173" i="7"/>
  <c r="J172" i="7"/>
  <c r="J171" i="7"/>
  <c r="J170" i="7"/>
  <c r="J169" i="7"/>
  <c r="J168" i="7"/>
  <c r="J162" i="7"/>
  <c r="J167" i="7"/>
  <c r="J166" i="7"/>
  <c r="J165" i="7"/>
  <c r="J164" i="7"/>
  <c r="J160" i="7"/>
  <c r="J163" i="7"/>
  <c r="J161" i="7"/>
  <c r="J159" i="7"/>
  <c r="J152" i="7"/>
  <c r="J158" i="7"/>
  <c r="J151" i="7"/>
  <c r="J157" i="7"/>
  <c r="J156" i="7"/>
  <c r="J150" i="7"/>
  <c r="J149" i="7"/>
  <c r="J148" i="7"/>
  <c r="J155" i="7"/>
  <c r="J153" i="7"/>
  <c r="J147" i="7"/>
  <c r="J154" i="7"/>
  <c r="J146" i="7"/>
  <c r="J145" i="7"/>
  <c r="J93" i="7"/>
  <c r="J143" i="7"/>
  <c r="J88" i="7"/>
  <c r="J87" i="7"/>
  <c r="J86" i="7"/>
  <c r="J85" i="7"/>
  <c r="J84" i="7"/>
  <c r="J83" i="7"/>
  <c r="J82" i="7"/>
  <c r="J81" i="7"/>
  <c r="J90" i="7"/>
  <c r="J89" i="7"/>
  <c r="J105" i="7"/>
  <c r="J92" i="7"/>
  <c r="J96" i="7"/>
  <c r="J95" i="7"/>
  <c r="J103" i="7"/>
  <c r="J75" i="7"/>
  <c r="J102" i="7"/>
  <c r="J101" i="7"/>
  <c r="J100" i="7"/>
  <c r="J99" i="7"/>
  <c r="J104" i="7"/>
  <c r="J78" i="7"/>
  <c r="J109" i="7"/>
  <c r="J108" i="7"/>
  <c r="J107" i="7"/>
  <c r="J115" i="7"/>
  <c r="J114" i="7"/>
  <c r="J113" i="7"/>
  <c r="J77" i="7"/>
  <c r="J106" i="7"/>
  <c r="J112" i="7"/>
  <c r="J79" i="7"/>
  <c r="J111" i="7"/>
  <c r="J110" i="7"/>
  <c r="J121" i="7"/>
  <c r="J120" i="7"/>
  <c r="J119" i="7"/>
  <c r="J118" i="7"/>
  <c r="J117" i="7"/>
  <c r="J116" i="7"/>
  <c r="J128" i="7"/>
  <c r="J127" i="7"/>
  <c r="J126" i="7"/>
  <c r="J125" i="7"/>
  <c r="J124" i="7"/>
  <c r="J132" i="7"/>
  <c r="J131" i="7"/>
  <c r="J130" i="7"/>
  <c r="J129" i="7"/>
  <c r="J76" i="7"/>
  <c r="J91" i="7"/>
  <c r="J144" i="7"/>
  <c r="J98" i="7"/>
  <c r="J97" i="7"/>
  <c r="J94" i="7"/>
  <c r="J123" i="7"/>
  <c r="J122" i="7"/>
  <c r="J133" i="7"/>
  <c r="J80" i="7"/>
  <c r="J137" i="7"/>
  <c r="J136" i="7"/>
  <c r="J142" i="7"/>
  <c r="J135" i="7"/>
  <c r="J134" i="7"/>
  <c r="J141" i="7"/>
  <c r="J140" i="7"/>
  <c r="J139" i="7"/>
  <c r="J138" i="7"/>
  <c r="J74" i="7"/>
  <c r="J73" i="7"/>
  <c r="J50" i="7"/>
  <c r="J72" i="7"/>
  <c r="J71" i="7"/>
  <c r="J70" i="7"/>
  <c r="J69" i="7"/>
  <c r="J49" i="7"/>
  <c r="J68" i="7"/>
  <c r="J67" i="7"/>
  <c r="J66" i="7"/>
  <c r="J65" i="7"/>
  <c r="J64" i="7"/>
  <c r="J48" i="7"/>
  <c r="J63" i="7"/>
  <c r="J62" i="7"/>
  <c r="J61" i="7"/>
  <c r="J60" i="7"/>
  <c r="J59" i="7"/>
  <c r="J58" i="7"/>
  <c r="J57" i="7"/>
  <c r="J56" i="7"/>
  <c r="J55" i="7"/>
  <c r="J47" i="7"/>
  <c r="J54" i="7"/>
  <c r="J53" i="7"/>
  <c r="J52" i="7"/>
  <c r="J51" i="7"/>
  <c r="J21" i="7"/>
  <c r="J46" i="7"/>
  <c r="J45" i="7"/>
  <c r="J44" i="7"/>
  <c r="J43" i="7"/>
  <c r="J20" i="7"/>
  <c r="J42" i="7"/>
  <c r="J41" i="7"/>
  <c r="J40" i="7"/>
  <c r="J39" i="7"/>
  <c r="J38" i="7"/>
  <c r="J37" i="7"/>
  <c r="J36" i="7"/>
  <c r="J35" i="7"/>
  <c r="J34" i="7"/>
  <c r="J33" i="7"/>
  <c r="J32" i="7"/>
  <c r="J31" i="7"/>
  <c r="J19" i="7"/>
  <c r="J30" i="7"/>
  <c r="J29" i="7"/>
  <c r="J28" i="7"/>
  <c r="J27" i="7"/>
  <c r="J26" i="7"/>
  <c r="J25" i="7"/>
  <c r="J24" i="7"/>
  <c r="J23" i="7"/>
  <c r="J22" i="7"/>
  <c r="J14" i="7"/>
  <c r="J18" i="7"/>
  <c r="J17" i="7"/>
  <c r="J16" i="7"/>
  <c r="J15" i="7"/>
  <c r="J13" i="7"/>
  <c r="J12" i="7"/>
  <c r="E4" i="6" s="1"/>
  <c r="J11" i="7"/>
  <c r="J6" i="7"/>
  <c r="J10" i="7"/>
  <c r="J9" i="7"/>
  <c r="I5" i="7"/>
  <c r="J8" i="7"/>
  <c r="J7" i="7"/>
  <c r="J4" i="7"/>
  <c r="J3" i="7"/>
  <c r="J2" i="7"/>
  <c r="E2" i="6" l="1"/>
  <c r="E9" i="6"/>
  <c r="E10" i="6"/>
  <c r="E12" i="6"/>
  <c r="I205" i="7"/>
  <c r="D3" i="6"/>
  <c r="D18" i="6" s="1"/>
  <c r="E6" i="6"/>
  <c r="E7" i="6"/>
  <c r="E8" i="6"/>
  <c r="E16" i="6"/>
  <c r="E17" i="6"/>
  <c r="E11" i="6"/>
  <c r="E14" i="6"/>
  <c r="E5" i="6"/>
  <c r="E15" i="6"/>
  <c r="J5" i="7"/>
  <c r="J205" i="7" s="1"/>
  <c r="F17" i="6"/>
  <c r="F11" i="6"/>
  <c r="F10" i="6"/>
  <c r="G10" i="6" s="1"/>
  <c r="F9" i="6"/>
  <c r="F4" i="6"/>
  <c r="G2" i="6"/>
  <c r="E3" i="6" l="1"/>
  <c r="G11" i="6"/>
  <c r="G4" i="6"/>
  <c r="G9" i="6"/>
  <c r="G17" i="6"/>
  <c r="H17" i="1"/>
  <c r="H5" i="1" s="1"/>
  <c r="T465" i="1"/>
  <c r="E18" i="6" l="1"/>
  <c r="T1044" i="1"/>
  <c r="T733" i="1"/>
  <c r="T830" i="1" l="1"/>
  <c r="T532" i="1"/>
  <c r="T1177" i="1"/>
  <c r="T1111" i="1"/>
  <c r="T1088" i="1"/>
  <c r="T1065" i="1"/>
  <c r="T1064" i="1"/>
  <c r="T1054" i="1"/>
  <c r="F12" i="6" l="1"/>
  <c r="G12" i="6" s="1"/>
  <c r="F8" i="6"/>
  <c r="G8" i="6" s="1"/>
  <c r="F15" i="6"/>
  <c r="G15" i="6" s="1"/>
  <c r="F16" i="6"/>
  <c r="G16" i="6" s="1"/>
  <c r="F14" i="6"/>
  <c r="G14" i="6" s="1"/>
  <c r="T381" i="1"/>
  <c r="T342" i="1"/>
  <c r="T380" i="1"/>
  <c r="F7" i="6" l="1"/>
  <c r="G7" i="6" s="1"/>
  <c r="F13" i="6"/>
  <c r="G13" i="6" s="1"/>
  <c r="F6" i="6" l="1"/>
  <c r="G6" i="6" s="1"/>
  <c r="F3" i="6"/>
  <c r="T81" i="1"/>
  <c r="S698" i="1"/>
  <c r="S697" i="1"/>
  <c r="S696" i="1"/>
  <c r="F5" i="6" l="1"/>
  <c r="G5" i="6" s="1"/>
  <c r="G3" i="6"/>
  <c r="S645" i="1"/>
  <c r="S596" i="1"/>
  <c r="S464" i="1"/>
  <c r="S959" i="1"/>
  <c r="G18" i="6" l="1"/>
  <c r="F18" i="6"/>
  <c r="S995" i="1"/>
  <c r="S63" i="1"/>
  <c r="S1193" i="1"/>
  <c r="S1181" i="1" l="1"/>
  <c r="S1053" i="1"/>
  <c r="S256" i="1"/>
  <c r="S81" i="1" l="1"/>
  <c r="R993" i="1"/>
  <c r="R1093" i="1"/>
  <c r="R1041" i="1" l="1"/>
  <c r="R1040" i="1"/>
  <c r="R1039" i="1"/>
  <c r="R491" i="1"/>
  <c r="R68" i="1" l="1"/>
  <c r="R85" i="1"/>
  <c r="R1019" i="1"/>
  <c r="R409" i="1"/>
  <c r="R357" i="1"/>
  <c r="R350" i="1"/>
  <c r="R233" i="1"/>
  <c r="R114" i="1"/>
  <c r="R81" i="1" l="1"/>
  <c r="Q1127" i="1"/>
  <c r="I243" i="1" l="1"/>
  <c r="Q1009" i="1"/>
  <c r="Q1008" i="1"/>
  <c r="Q1035" i="1"/>
  <c r="Q994" i="1" l="1"/>
  <c r="Q859" i="1"/>
  <c r="Q858" i="1"/>
  <c r="Q738" i="1"/>
  <c r="Q760" i="1"/>
  <c r="Q759" i="1"/>
  <c r="Q790" i="1"/>
  <c r="I247" i="1" l="1"/>
  <c r="Q232" i="1"/>
  <c r="Q85" i="1"/>
  <c r="Q58" i="1" l="1"/>
  <c r="Q81" i="1"/>
  <c r="P81" i="1"/>
  <c r="O118" i="1" l="1"/>
  <c r="O633" i="1" l="1"/>
  <c r="O631" i="1"/>
  <c r="O753" i="1" l="1"/>
  <c r="O81" i="1"/>
  <c r="O232" i="1" l="1"/>
  <c r="N1002" i="1" l="1"/>
  <c r="N227" i="1" l="1"/>
  <c r="M115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Hara</author>
    <author>user</author>
    <author>サウ</author>
    <author>JPUNS</author>
    <author>tc={E7EF64FC-D6DE-4AE4-B8E4-47B97AEBF5F6}</author>
    <author>tc={E7EF64FC-D6DE-4AE5-B8E4-47B97AEBF5F6}</author>
    <author>林UNS</author>
    <author>tc={ABDB6617-09F3-4524-8E48-5F90D7B620E9}</author>
    <author>tc={5CE1AF55-2305-46F3-95CD-B9CD6AB2F8AB}</author>
    <author>クオン</author>
    <author>tc={E17CA785-9B0B-4BBE-91AC-5D7A67C4444A}</author>
    <author>tc={26971D66-C9E2-45CE-8C7E-3D77614A0029}</author>
    <author>tc={9E8D16DA-5952-4D46-8FAC-D77DDC558E51}</author>
    <author>tc={8A05DABF-4A8A-4AFA-9362-C497D69B0FC1}</author>
  </authors>
  <commentList>
    <comment ref="A5" authorId="0" shapeId="0" xr:uid="{1181C2DD-30B4-48A1-B2DA-C1A4ED76B3B0}">
      <text>
        <r>
          <rPr>
            <b/>
            <sz val="11"/>
            <color indexed="81"/>
            <rFont val="MS P ゴシック"/>
            <family val="3"/>
            <charset val="128"/>
          </rPr>
          <t>原よりお願い！請負の番号は0をつけて入力お願いしす。
セルの結合は使用しないで！データ加工不可になるので</t>
        </r>
        <r>
          <rPr>
            <b/>
            <sz val="14"/>
            <color indexed="81"/>
            <rFont val="MS P ゴシック"/>
            <family val="3"/>
            <charset val="128"/>
          </rPr>
          <t xml:space="preserve">
</t>
        </r>
        <r>
          <rPr>
            <b/>
            <sz val="12"/>
            <color indexed="81"/>
            <rFont val="MS P ゴシック"/>
            <family val="3"/>
            <charset val="128"/>
          </rPr>
          <t>アパート名はE列に入力お願いします。</t>
        </r>
      </text>
    </comment>
    <comment ref="AF21" authorId="0" shapeId="0" xr:uid="{CBF344C5-12C0-4B2B-82DC-A5AACA567F9A}">
      <text>
        <r>
          <rPr>
            <b/>
            <sz val="9"/>
            <color indexed="81"/>
            <rFont val="MS P ゴシック"/>
            <family val="3"/>
            <charset val="128"/>
          </rPr>
          <t>Hara:</t>
        </r>
        <r>
          <rPr>
            <sz val="9"/>
            <color indexed="81"/>
            <rFont val="MS P ゴシック"/>
            <family val="3"/>
            <charset val="128"/>
          </rPr>
          <t xml:space="preserve">
11/15給与なし</t>
        </r>
      </text>
    </comment>
    <comment ref="Z27" authorId="1" shapeId="0" xr:uid="{1A25D0DB-AF5A-4EDD-ABF8-F15ED7FBF9A0}">
      <text>
        <r>
          <rPr>
            <b/>
            <sz val="9"/>
            <color indexed="81"/>
            <rFont val="MS P ゴシック"/>
            <family val="3"/>
            <charset val="128"/>
          </rPr>
          <t>プール金から控除してください
4/24 ホアイ</t>
        </r>
      </text>
    </comment>
    <comment ref="AI34" authorId="2" shapeId="0" xr:uid="{6779304B-0556-4F90-994B-334E43383A39}">
      <text>
        <r>
          <rPr>
            <b/>
            <sz val="9"/>
            <color indexed="81"/>
            <rFont val="MS P ゴシック"/>
            <family val="3"/>
            <charset val="128"/>
          </rPr>
          <t xml:space="preserve">サウ退去費用
</t>
        </r>
      </text>
    </comment>
    <comment ref="AI39" authorId="0" shapeId="0" xr:uid="{7D75DFFD-1199-4A64-AECC-D628642B1815}">
      <text>
        <r>
          <rPr>
            <b/>
            <sz val="9"/>
            <color indexed="81"/>
            <rFont val="MS P ゴシック"/>
            <family val="3"/>
            <charset val="128"/>
          </rPr>
          <t xml:space="preserve">Hara:内訳）家賃29500+退去2万+社保31163
</t>
        </r>
      </text>
    </comment>
    <comment ref="AC46" authorId="0" shapeId="0" xr:uid="{6D7ECDAB-DD7D-49C4-B013-DBCAAA710B6E}">
      <text>
        <r>
          <rPr>
            <b/>
            <sz val="9"/>
            <color indexed="81"/>
            <rFont val="MS P ゴシック"/>
            <family val="3"/>
            <charset val="128"/>
          </rPr>
          <t>Hara:</t>
        </r>
        <r>
          <rPr>
            <sz val="9"/>
            <color indexed="81"/>
            <rFont val="MS P ゴシック"/>
            <family val="3"/>
            <charset val="128"/>
          </rPr>
          <t xml:space="preserve">
8/15給与なし</t>
        </r>
      </text>
    </comment>
    <comment ref="AC63" authorId="2" shapeId="0" xr:uid="{B96EE82C-F588-43A6-9C39-0526F82A042A}">
      <text>
        <r>
          <rPr>
            <b/>
            <sz val="9"/>
            <color indexed="81"/>
            <rFont val="MS P ゴシック"/>
            <family val="3"/>
            <charset val="128"/>
          </rPr>
          <t>サウ:</t>
        </r>
        <r>
          <rPr>
            <sz val="9"/>
            <color indexed="81"/>
            <rFont val="MS P ゴシック"/>
            <family val="3"/>
            <charset val="128"/>
          </rPr>
          <t xml:space="preserve">
7/4退社ですが退去は8/19
家賃は8月分を含める
</t>
        </r>
      </text>
    </comment>
    <comment ref="AF67" authorId="2" shapeId="0" xr:uid="{E3984EA4-7157-4DAC-B956-4F16427A854D}">
      <text>
        <r>
          <rPr>
            <b/>
            <sz val="9"/>
            <color indexed="81"/>
            <rFont val="MS P ゴシック"/>
            <family val="3"/>
            <charset val="128"/>
          </rPr>
          <t>サウ:</t>
        </r>
        <r>
          <rPr>
            <sz val="9"/>
            <color indexed="81"/>
            <rFont val="MS P ゴシック"/>
            <family val="3"/>
            <charset val="128"/>
          </rPr>
          <t xml:space="preserve">
9/30退社12/3時点まだ居る。
家賃と光熱費トゥアンさんへ</t>
        </r>
      </text>
    </comment>
    <comment ref="AH68" authorId="2" shapeId="0" xr:uid="{1AF0EE80-5854-4FFA-879D-3B924902AB13}">
      <text>
        <r>
          <rPr>
            <b/>
            <sz val="9"/>
            <color indexed="81"/>
            <rFont val="MS P ゴシック"/>
            <family val="3"/>
            <charset val="128"/>
          </rPr>
          <t>サウ加藤木材へ移動</t>
        </r>
      </text>
    </comment>
    <comment ref="AF77" authorId="3" shapeId="0" xr:uid="{3EB3A13F-60CD-402E-8CF0-3E4D6E0CD339}">
      <text>
        <r>
          <rPr>
            <b/>
            <sz val="9"/>
            <color indexed="81"/>
            <rFont val="MS P ゴシック"/>
            <family val="3"/>
            <charset val="128"/>
          </rPr>
          <t>JPUNS:</t>
        </r>
        <r>
          <rPr>
            <sz val="9"/>
            <color indexed="81"/>
            <rFont val="MS P ゴシック"/>
            <family val="3"/>
            <charset val="128"/>
          </rPr>
          <t xml:space="preserve">
11月9日まで契約本人に１１月末まで引いてください。アパート出るのは、１０月25日ケンジ</t>
        </r>
      </text>
    </comment>
    <comment ref="J91" authorId="1" shapeId="0" xr:uid="{B99541D2-6C12-49EC-B9C6-8837D24AD1DC}">
      <text>
        <r>
          <rPr>
            <b/>
            <sz val="9"/>
            <color indexed="81"/>
            <rFont val="MS P ゴシック"/>
            <family val="3"/>
            <charset val="128"/>
          </rPr>
          <t>user:</t>
        </r>
        <r>
          <rPr>
            <sz val="9"/>
            <color indexed="81"/>
            <rFont val="MS P ゴシック"/>
            <family val="3"/>
            <charset val="128"/>
          </rPr>
          <t xml:space="preserve">
本人たちより2人だけ住みたいから家賃が上がる
トウアンから4/26</t>
        </r>
      </text>
    </comment>
    <comment ref="AI91" authorId="0" shapeId="0" xr:uid="{D9877E69-8624-4220-B635-4805EC83E434}">
      <text>
        <r>
          <rPr>
            <b/>
            <sz val="9"/>
            <color indexed="81"/>
            <rFont val="MS P ゴシック"/>
            <family val="3"/>
            <charset val="128"/>
          </rPr>
          <t>Hara:</t>
        </r>
        <r>
          <rPr>
            <sz val="9"/>
            <color indexed="81"/>
            <rFont val="MS P ゴシック"/>
            <family val="3"/>
            <charset val="128"/>
          </rPr>
          <t xml:space="preserve">
1/15が家賃19000円
退去費2万_計39000円
48500-39000＝差額9500円返金</t>
        </r>
      </text>
    </comment>
    <comment ref="AH128" authorId="0" shapeId="0" xr:uid="{8519F633-1738-4AD6-AE84-C87CB7E0B211}">
      <text>
        <r>
          <rPr>
            <b/>
            <sz val="9"/>
            <color indexed="81"/>
            <rFont val="MS P ゴシック"/>
            <family val="3"/>
            <charset val="128"/>
          </rPr>
          <t>Hara:</t>
        </r>
        <r>
          <rPr>
            <sz val="9"/>
            <color indexed="81"/>
            <rFont val="MS P ゴシック"/>
            <family val="3"/>
            <charset val="128"/>
          </rPr>
          <t xml:space="preserve">
1/15給与なし</t>
        </r>
      </text>
    </comment>
    <comment ref="AH153" authorId="2" shapeId="0" xr:uid="{AE73AD5D-F628-4097-A6FE-7798D57BA529}">
      <text>
        <r>
          <rPr>
            <b/>
            <sz val="9"/>
            <color indexed="81"/>
            <rFont val="MS P ゴシック"/>
            <family val="3"/>
            <charset val="128"/>
          </rPr>
          <t xml:space="preserve">サウ1/15給料なし
</t>
        </r>
      </text>
    </comment>
    <comment ref="AG158" authorId="2" shapeId="0" xr:uid="{B0B91C74-7D8F-4ECF-9750-12E41ED53B5A}">
      <text>
        <r>
          <rPr>
            <b/>
            <sz val="9"/>
            <color indexed="81"/>
            <rFont val="MS P ゴシック"/>
            <family val="3"/>
            <charset val="128"/>
          </rPr>
          <t>サウ:</t>
        </r>
        <r>
          <rPr>
            <sz val="9"/>
            <color indexed="81"/>
            <rFont val="MS P ゴシック"/>
            <family val="3"/>
            <charset val="128"/>
          </rPr>
          <t xml:space="preserve">
11月から一人暮らししたいため全額で払う
</t>
        </r>
      </text>
    </comment>
    <comment ref="AH158" authorId="0" shapeId="0" xr:uid="{EB4F8E27-6F96-49B4-8215-D370C3536751}">
      <text>
        <r>
          <rPr>
            <b/>
            <sz val="9"/>
            <color indexed="81"/>
            <rFont val="MS P ゴシック"/>
            <family val="3"/>
            <charset val="128"/>
          </rPr>
          <t>Hara:12/1一人で住みたい</t>
        </r>
        <r>
          <rPr>
            <sz val="9"/>
            <color indexed="81"/>
            <rFont val="MS P ゴシック"/>
            <family val="3"/>
            <charset val="128"/>
          </rPr>
          <t xml:space="preserve">
25/12/15は26500円で
26/1/15から53000円が正しい。
1/15は調整の為0</t>
        </r>
      </text>
    </comment>
    <comment ref="AI162" authorId="2" shapeId="0" xr:uid="{BFD8F9DD-C0C8-4BD6-A309-E6FBB0653A9C}">
      <text>
        <r>
          <rPr>
            <b/>
            <sz val="9"/>
            <color indexed="81"/>
            <rFont val="MS P ゴシック"/>
            <family val="3"/>
            <charset val="128"/>
          </rPr>
          <t>サウ:</t>
        </r>
        <r>
          <rPr>
            <sz val="9"/>
            <color indexed="81"/>
            <rFont val="MS P ゴシック"/>
            <family val="3"/>
            <charset val="128"/>
          </rPr>
          <t xml:space="preserve">
１月から奥さんと住むで全額を払う</t>
        </r>
      </text>
    </comment>
    <comment ref="AA175" authorId="4" shapeId="0" xr:uid="{E7EF64FC-D6DE-4AE4-B8E4-47B97AEBF5F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年金受取退社25/5/30
25/6/15で家賃二か月分
25/8/15で再入社後初回給与</t>
      </text>
    </comment>
    <comment ref="AB175" authorId="5" shapeId="0" xr:uid="{0CC0F02D-E137-4875-A5D2-6500309610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年金受取退社25/5/30
25/6/15で家賃二か月分
25/8/15で再入社後初回給与</t>
      </text>
    </comment>
    <comment ref="Y190" authorId="0" shapeId="0" xr:uid="{F31E7552-2C01-4664-9308-77073BB87AE4}">
      <text>
        <r>
          <rPr>
            <b/>
            <sz val="9"/>
            <color indexed="81"/>
            <rFont val="MS P ゴシック"/>
            <family val="3"/>
            <charset val="128"/>
          </rPr>
          <t>Hara:4/15給与なし</t>
        </r>
        <r>
          <rPr>
            <sz val="9"/>
            <color indexed="81"/>
            <rFont val="MS P ゴシック"/>
            <family val="3"/>
            <charset val="128"/>
          </rPr>
          <t xml:space="preserve">
</t>
        </r>
      </text>
    </comment>
    <comment ref="AF220" authorId="2" shapeId="0" xr:uid="{F4B7F2F0-1CA2-4FC0-A00F-38AB3020CA0B}">
      <text>
        <r>
          <rPr>
            <b/>
            <sz val="9"/>
            <color indexed="81"/>
            <rFont val="MS P ゴシック"/>
            <family val="3"/>
            <charset val="128"/>
          </rPr>
          <t>サウ:</t>
        </r>
        <r>
          <rPr>
            <sz val="9"/>
            <color indexed="81"/>
            <rFont val="MS P ゴシック"/>
            <family val="3"/>
            <charset val="128"/>
          </rPr>
          <t xml:space="preserve">
9/15退去したが退去費用はまだ引いてないため
</t>
        </r>
      </text>
    </comment>
    <comment ref="G243" authorId="1" shapeId="0" xr:uid="{4779066F-1B57-41FE-A6CC-9B4BAE5F563A}">
      <text>
        <r>
          <rPr>
            <sz val="9"/>
            <color indexed="81"/>
            <rFont val="MS P ゴシック"/>
            <family val="3"/>
            <charset val="128"/>
          </rPr>
          <t xml:space="preserve">7/31 hoai
9/15家賃控除
</t>
        </r>
      </text>
    </comment>
    <comment ref="AI243" authorId="0" shapeId="0" xr:uid="{4B8BB9C9-7CD5-4C54-BECB-17327E4FB584}">
      <text>
        <r>
          <rPr>
            <b/>
            <sz val="12"/>
            <color indexed="81"/>
            <rFont val="MS P ゴシック"/>
            <family val="3"/>
            <charset val="128"/>
          </rPr>
          <t>名義を変更したい!退社日12/26
給与で引けるのは1月分2/15まで
3/15分は現金回収（トゥアンさん）</t>
        </r>
      </text>
    </comment>
    <comment ref="G247" authorId="1" shapeId="0" xr:uid="{2659E109-B1FD-44DB-819D-B31F6242AB4F}">
      <text>
        <r>
          <rPr>
            <b/>
            <sz val="9"/>
            <color indexed="81"/>
            <rFont val="MS P ゴシック"/>
            <family val="3"/>
            <charset val="128"/>
          </rPr>
          <t>7/31 HOAI
10/15家賃控除</t>
        </r>
      </text>
    </comment>
    <comment ref="G251" authorId="1" shapeId="0" xr:uid="{89541D05-1EF6-471A-93D2-9934416F6760}">
      <text>
        <r>
          <rPr>
            <b/>
            <sz val="9"/>
            <color indexed="81"/>
            <rFont val="MS P ゴシック"/>
            <family val="3"/>
            <charset val="128"/>
          </rPr>
          <t>7/31 HOAI
10/15家賃控除</t>
        </r>
      </text>
    </comment>
    <comment ref="AF251" authorId="3" shapeId="0" xr:uid="{E728D5AC-4D3F-481F-80BF-6C918C0A1107}">
      <text>
        <r>
          <rPr>
            <b/>
            <sz val="9"/>
            <color indexed="81"/>
            <rFont val="MS P ゴシック"/>
            <family val="3"/>
            <charset val="128"/>
          </rPr>
          <t>JPUNS:</t>
        </r>
        <r>
          <rPr>
            <sz val="9"/>
            <color indexed="81"/>
            <rFont val="MS P ゴシック"/>
            <family val="3"/>
            <charset val="128"/>
          </rPr>
          <t xml:space="preserve">
９月分と１０月分</t>
        </r>
      </text>
    </comment>
    <comment ref="M262" authorId="1" shapeId="0" xr:uid="{D68092E5-2EAA-47E5-93B2-E0206DCBFEBA}">
      <text>
        <r>
          <rPr>
            <b/>
            <sz val="9"/>
            <color indexed="81"/>
            <rFont val="MS P ゴシック"/>
            <family val="3"/>
            <charset val="128"/>
          </rPr>
          <t>user:</t>
        </r>
        <r>
          <rPr>
            <sz val="9"/>
            <color indexed="81"/>
            <rFont val="MS P ゴシック"/>
            <family val="3"/>
            <charset val="128"/>
          </rPr>
          <t xml:space="preserve">
家賃減免サウさんと相談済</t>
        </r>
      </text>
    </comment>
    <comment ref="AI309" authorId="2" shapeId="0" xr:uid="{387C4216-E801-4357-BDD5-85349D72EB66}">
      <text>
        <r>
          <rPr>
            <b/>
            <sz val="9"/>
            <color indexed="81"/>
            <rFont val="MS P ゴシック"/>
            <family val="3"/>
            <charset val="128"/>
          </rPr>
          <t>サウ:</t>
        </r>
        <r>
          <rPr>
            <sz val="9"/>
            <color indexed="81"/>
            <rFont val="MS P ゴシック"/>
            <family val="3"/>
            <charset val="128"/>
          </rPr>
          <t xml:space="preserve">
1/24～二人暮らし</t>
        </r>
      </text>
    </comment>
    <comment ref="I314" authorId="1" shapeId="0" xr:uid="{6B54B36C-228D-45F2-A8F0-644D4ECF0056}">
      <text>
        <r>
          <rPr>
            <b/>
            <sz val="9"/>
            <color indexed="81"/>
            <rFont val="MS P ゴシック"/>
            <family val="3"/>
            <charset val="128"/>
          </rPr>
          <t>1/1/2025～奥さんと住むから全額控除</t>
        </r>
      </text>
    </comment>
    <comment ref="Y327" authorId="0" shapeId="0" xr:uid="{E07C47F3-B86A-45B7-9049-2D62AA96CF87}">
      <text>
        <r>
          <rPr>
            <b/>
            <sz val="14"/>
            <color indexed="81"/>
            <rFont val="MS P ゴシック"/>
            <family val="3"/>
            <charset val="128"/>
          </rPr>
          <t>Hara：4/15給与なし</t>
        </r>
      </text>
    </comment>
    <comment ref="AF332" authorId="2" shapeId="0" xr:uid="{56565657-B9F7-4103-8201-6980DBF20F53}">
      <text>
        <r>
          <rPr>
            <b/>
            <sz val="9"/>
            <color indexed="81"/>
            <rFont val="MS P ゴシック"/>
            <family val="3"/>
            <charset val="128"/>
          </rPr>
          <t>サウ:</t>
        </r>
        <r>
          <rPr>
            <sz val="9"/>
            <color indexed="81"/>
            <rFont val="MS P ゴシック"/>
            <family val="3"/>
            <charset val="128"/>
          </rPr>
          <t xml:space="preserve">
退去費用
</t>
        </r>
      </text>
    </comment>
    <comment ref="AH335" authorId="2" shapeId="0" xr:uid="{E464B5A8-2434-4165-B52B-BC5C09AF3E84}">
      <text>
        <r>
          <rPr>
            <b/>
            <sz val="9"/>
            <color indexed="81"/>
            <rFont val="MS P ゴシック"/>
            <family val="3"/>
            <charset val="128"/>
          </rPr>
          <t>サウ:</t>
        </r>
        <r>
          <rPr>
            <sz val="9"/>
            <color indexed="81"/>
            <rFont val="MS P ゴシック"/>
            <family val="3"/>
            <charset val="128"/>
          </rPr>
          <t xml:space="preserve">
11/21退社ですが退去が未定</t>
        </r>
      </text>
    </comment>
    <comment ref="AF336" authorId="2" shapeId="0" xr:uid="{F1F51EAE-5CA0-45BE-80DF-A641B5F078EA}">
      <text>
        <r>
          <rPr>
            <b/>
            <sz val="9"/>
            <color indexed="81"/>
            <rFont val="MS P ゴシック"/>
            <family val="3"/>
            <charset val="128"/>
          </rPr>
          <t>サウ:</t>
        </r>
        <r>
          <rPr>
            <sz val="9"/>
            <color indexed="81"/>
            <rFont val="MS P ゴシック"/>
            <family val="3"/>
            <charset val="128"/>
          </rPr>
          <t xml:space="preserve">
先月引かなかったため
</t>
        </r>
      </text>
    </comment>
    <comment ref="AF337" authorId="2" shapeId="0" xr:uid="{EC0B3834-8F99-4E03-8FB4-6C17FCA356A8}">
      <text>
        <r>
          <rPr>
            <b/>
            <sz val="9"/>
            <color indexed="81"/>
            <rFont val="MS P ゴシック"/>
            <family val="3"/>
            <charset val="128"/>
          </rPr>
          <t>サウ:</t>
        </r>
        <r>
          <rPr>
            <sz val="9"/>
            <color indexed="81"/>
            <rFont val="MS P ゴシック"/>
            <family val="3"/>
            <charset val="128"/>
          </rPr>
          <t xml:space="preserve">
先月引かなかったため</t>
        </r>
      </text>
    </comment>
    <comment ref="AB376" authorId="6" shapeId="0" xr:uid="{C276C420-EC54-4138-950C-984C58514AF7}">
      <text>
        <r>
          <rPr>
            <b/>
            <sz val="9"/>
            <color indexed="81"/>
            <rFont val="MS P ゴシック"/>
            <family val="3"/>
            <charset val="128"/>
          </rPr>
          <t xml:space="preserve">7/15給与なし
</t>
        </r>
      </text>
    </comment>
    <comment ref="Y399" authorId="0" shapeId="0" xr:uid="{3721BEBB-68D8-4755-99C5-FAF7D77A07B3}">
      <text>
        <r>
          <rPr>
            <b/>
            <sz val="9"/>
            <color indexed="81"/>
            <rFont val="MS P ゴシック"/>
            <family val="3"/>
            <charset val="128"/>
          </rPr>
          <t>Hara:4/15給与なし</t>
        </r>
      </text>
    </comment>
    <comment ref="AH434" authorId="0" shapeId="0" xr:uid="{659FBD9D-CD73-4D07-BE56-A8E9B296365F}">
      <text>
        <r>
          <rPr>
            <b/>
            <sz val="9"/>
            <color indexed="81"/>
            <rFont val="MS P ゴシック"/>
            <family val="3"/>
            <charset val="128"/>
          </rPr>
          <t>Hara:25050*2か月と退去費2万
荷物置いてあるので
1月分家賃あり</t>
        </r>
      </text>
    </comment>
    <comment ref="AC436" authorId="0" shapeId="0" xr:uid="{EFA07C61-71D6-48FF-898B-44E1A80A7937}">
      <text>
        <r>
          <rPr>
            <b/>
            <sz val="9"/>
            <color indexed="81"/>
            <rFont val="MS P ゴシック"/>
            <family val="3"/>
            <charset val="128"/>
          </rPr>
          <t>8/15給与なし</t>
        </r>
      </text>
    </comment>
    <comment ref="X458" authorId="6" shapeId="0" xr:uid="{8B44AA37-A5E0-4863-8014-D44D4D303F44}">
      <text>
        <r>
          <rPr>
            <b/>
            <sz val="9"/>
            <color indexed="81"/>
            <rFont val="MS P ゴシック"/>
            <family val="3"/>
            <charset val="128"/>
          </rPr>
          <t>3/15給与なし</t>
        </r>
      </text>
    </comment>
    <comment ref="AC460" authorId="2" shapeId="0" xr:uid="{5511E2DF-5731-49EC-9191-BC044420D95F}">
      <text>
        <r>
          <rPr>
            <b/>
            <sz val="9"/>
            <color indexed="81"/>
            <rFont val="MS P ゴシック"/>
            <family val="3"/>
            <charset val="128"/>
          </rPr>
          <t>サウ:</t>
        </r>
        <r>
          <rPr>
            <sz val="9"/>
            <color indexed="81"/>
            <rFont val="MS P ゴシック"/>
            <family val="3"/>
            <charset val="128"/>
          </rPr>
          <t xml:space="preserve">
8/15 給料なし</t>
        </r>
      </text>
    </comment>
    <comment ref="AC465" authorId="2" shapeId="0" xr:uid="{2C421A89-8059-47E3-966B-C194662CBE2B}">
      <text>
        <r>
          <rPr>
            <b/>
            <sz val="9"/>
            <color indexed="81"/>
            <rFont val="MS P ゴシック"/>
            <family val="3"/>
            <charset val="128"/>
          </rPr>
          <t xml:space="preserve">サウ:退去費
</t>
        </r>
      </text>
    </comment>
    <comment ref="M473" authorId="1" shapeId="0" xr:uid="{FD5089E5-21F5-4FEF-B185-EF633688730B}">
      <text>
        <r>
          <rPr>
            <b/>
            <sz val="9"/>
            <color indexed="81"/>
            <rFont val="MS P ゴシック"/>
            <family val="3"/>
            <charset val="128"/>
          </rPr>
          <t>user:</t>
        </r>
        <r>
          <rPr>
            <sz val="9"/>
            <color indexed="81"/>
            <rFont val="MS P ゴシック"/>
            <family val="3"/>
            <charset val="128"/>
          </rPr>
          <t xml:space="preserve">
2/12～一人なので3万８千円
サウさんのメモより</t>
        </r>
      </text>
    </comment>
    <comment ref="X477" authorId="6" shapeId="0" xr:uid="{5A308AC8-4F07-4A4A-A7C3-F11B90E3FABE}">
      <text>
        <r>
          <rPr>
            <b/>
            <sz val="9"/>
            <color indexed="81"/>
            <rFont val="MS P ゴシック"/>
            <family val="3"/>
            <charset val="128"/>
          </rPr>
          <t xml:space="preserve">3/15給与なし
</t>
        </r>
      </text>
    </comment>
    <comment ref="AH478" authorId="0" shapeId="0" xr:uid="{76EEF3C8-5C8E-4A8B-A4CC-C9CEC8E3BC83}">
      <text>
        <r>
          <rPr>
            <b/>
            <sz val="12"/>
            <color indexed="81"/>
            <rFont val="MS P ゴシック"/>
            <family val="3"/>
            <charset val="128"/>
          </rPr>
          <t xml:space="preserve">事前精算12/16原入力済み
</t>
        </r>
      </text>
    </comment>
    <comment ref="R500" authorId="7" shapeId="0" xr:uid="{ABDB6617-09F3-4524-8E48-5F90D7B620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ロアンさん
24/7/16から産休の為</t>
      </text>
    </comment>
    <comment ref="AI560" authorId="2" shapeId="0" xr:uid="{D3D56F10-F7DC-4890-9C35-AEE2A8FAD74A}">
      <text>
        <r>
          <rPr>
            <b/>
            <sz val="9"/>
            <color indexed="81"/>
            <rFont val="MS P ゴシック"/>
            <family val="3"/>
            <charset val="128"/>
          </rPr>
          <t>サウ:</t>
        </r>
        <r>
          <rPr>
            <sz val="9"/>
            <color indexed="81"/>
            <rFont val="MS P ゴシック"/>
            <family val="3"/>
            <charset val="128"/>
          </rPr>
          <t xml:space="preserve">
退去費用</t>
        </r>
      </text>
    </comment>
    <comment ref="Y598" authorId="8" shapeId="0" xr:uid="{5CE1AF55-2305-46F3-95CD-B9CD6AB2F8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4/2退去費用取らないでフォン君
返信:
4/8TELにて退去費用2万控除して欲しいフォン君⇒部長経由で連絡あり修正済み　原</t>
      </text>
    </comment>
    <comment ref="AD638" authorId="2" shapeId="0" xr:uid="{53C2EDA2-F5E0-4DE8-92BB-AE18D369500C}">
      <text>
        <r>
          <rPr>
            <b/>
            <sz val="9"/>
            <color indexed="81"/>
            <rFont val="MS P ゴシック"/>
            <family val="3"/>
            <charset val="128"/>
          </rPr>
          <t xml:space="preserve">サウ:先月影森が間違ったため、実際8/31退去
</t>
        </r>
      </text>
    </comment>
    <comment ref="AC734" authorId="2" shapeId="0" xr:uid="{27EF7ACB-A3D1-4CC1-8BF6-65A168620F19}">
      <text>
        <r>
          <rPr>
            <b/>
            <sz val="9"/>
            <color indexed="81"/>
            <rFont val="MS P ゴシック"/>
            <family val="3"/>
            <charset val="128"/>
          </rPr>
          <t>サウ:</t>
        </r>
        <r>
          <rPr>
            <sz val="9"/>
            <color indexed="81"/>
            <rFont val="MS P ゴシック"/>
            <family val="3"/>
            <charset val="128"/>
          </rPr>
          <t xml:space="preserve">
ニューエルディム小西Aの分を含める
</t>
        </r>
      </text>
    </comment>
    <comment ref="I759" authorId="1" shapeId="0" xr:uid="{E08AAFB1-C6E3-4095-A2EE-6178AF20A78F}">
      <text>
        <r>
          <rPr>
            <b/>
            <sz val="9"/>
            <color indexed="81"/>
            <rFont val="MS P ゴシック"/>
            <family val="3"/>
            <charset val="128"/>
          </rPr>
          <t>user:</t>
        </r>
        <r>
          <rPr>
            <sz val="9"/>
            <color indexed="81"/>
            <rFont val="MS P ゴシック"/>
            <family val="3"/>
            <charset val="128"/>
          </rPr>
          <t xml:space="preserve">
8/1～28.000
影森さんより</t>
        </r>
      </text>
    </comment>
    <comment ref="AI770" authorId="2" shapeId="0" xr:uid="{F2E09694-6EC7-4BC0-AD7C-3DC9C01C24DF}">
      <text>
        <r>
          <rPr>
            <b/>
            <sz val="9"/>
            <color indexed="81"/>
            <rFont val="MS P ゴシック"/>
            <family val="3"/>
            <charset val="128"/>
          </rPr>
          <t>サウ:</t>
        </r>
        <r>
          <rPr>
            <sz val="9"/>
            <color indexed="81"/>
            <rFont val="MS P ゴシック"/>
            <family val="3"/>
            <charset val="128"/>
          </rPr>
          <t xml:space="preserve">
１２月分：5355
１月分：9181
合計　14536
</t>
        </r>
      </text>
    </comment>
    <comment ref="AI778" authorId="2" shapeId="0" xr:uid="{86EFC3E9-602B-4038-916B-9E2BA78153DA}">
      <text>
        <r>
          <rPr>
            <b/>
            <sz val="9"/>
            <color indexed="81"/>
            <rFont val="MS P ゴシック"/>
            <family val="3"/>
            <charset val="128"/>
          </rPr>
          <t>サウ:</t>
        </r>
        <r>
          <rPr>
            <sz val="9"/>
            <color indexed="81"/>
            <rFont val="MS P ゴシック"/>
            <family val="3"/>
            <charset val="128"/>
          </rPr>
          <t xml:space="preserve">
先月引かなかったため</t>
        </r>
      </text>
    </comment>
    <comment ref="AI786" authorId="2" shapeId="0" xr:uid="{56D5328D-F1F0-42D4-A5C0-0E7CC6F44E3B}">
      <text>
        <r>
          <rPr>
            <b/>
            <sz val="9"/>
            <color indexed="81"/>
            <rFont val="MS P ゴシック"/>
            <family val="3"/>
            <charset val="128"/>
          </rPr>
          <t>サウ:</t>
        </r>
        <r>
          <rPr>
            <sz val="9"/>
            <color indexed="81"/>
            <rFont val="MS P ゴシック"/>
            <family val="3"/>
            <charset val="128"/>
          </rPr>
          <t xml:space="preserve">
先月引かなかったため</t>
        </r>
      </text>
    </comment>
    <comment ref="AI815" authorId="2" shapeId="0" xr:uid="{4C404B79-509A-40F3-8B7B-0F3B667DFEDE}">
      <text>
        <r>
          <rPr>
            <b/>
            <sz val="9"/>
            <color indexed="81"/>
            <rFont val="MS P ゴシック"/>
            <family val="3"/>
            <charset val="128"/>
          </rPr>
          <t>サウ:
12/12より６人になりました。
12月分の家賃：11033/1人が16000を引いたので差額4967/1人
１月分：8896/1人
8896-4967＝3929</t>
        </r>
      </text>
    </comment>
    <comment ref="Y843" authorId="0" shapeId="0" xr:uid="{5DFA4117-F30B-4D15-BD67-56FF607D6AC2}">
      <text>
        <r>
          <rPr>
            <b/>
            <sz val="9"/>
            <color indexed="81"/>
            <rFont val="MS P ゴシック"/>
            <family val="3"/>
            <charset val="128"/>
          </rPr>
          <t>Hara:4/15給与なし</t>
        </r>
      </text>
    </comment>
    <comment ref="AA843" authorId="6" shapeId="0" xr:uid="{D8CCA0B0-BF72-418D-B982-E7519C15A7E7}">
      <text>
        <r>
          <rPr>
            <b/>
            <sz val="9"/>
            <color indexed="81"/>
            <rFont val="MS P ゴシック"/>
            <family val="3"/>
            <charset val="128"/>
          </rPr>
          <t>正しい額
\26500
7/15で差額分4274円引く</t>
        </r>
      </text>
    </comment>
    <comment ref="AB843" authorId="6" shapeId="0" xr:uid="{E1FF6F90-BBBA-488C-BC34-79C38388DDEB}">
      <text>
        <r>
          <rPr>
            <b/>
            <sz val="9"/>
            <color indexed="81"/>
            <rFont val="MS P ゴシック"/>
            <family val="3"/>
            <charset val="128"/>
          </rPr>
          <t>正しい額
\26500
7/15で差額分4274円引く</t>
        </r>
      </text>
    </comment>
    <comment ref="AH849" authorId="2" shapeId="0" xr:uid="{25294496-54BD-48B4-94D8-5F7071F73168}">
      <text>
        <r>
          <rPr>
            <b/>
            <sz val="9"/>
            <color indexed="81"/>
            <rFont val="MS P ゴシック"/>
            <family val="3"/>
            <charset val="128"/>
          </rPr>
          <t>サウ:</t>
        </r>
        <r>
          <rPr>
            <sz val="9"/>
            <color indexed="81"/>
            <rFont val="MS P ゴシック"/>
            <family val="3"/>
            <charset val="128"/>
          </rPr>
          <t xml:space="preserve">
悠久の関係で退去費用がなし</t>
        </r>
      </text>
    </comment>
    <comment ref="AI860" authorId="2" shapeId="0" xr:uid="{F2BCF4D4-F7F2-42AA-81B6-BD2BD22F8760}">
      <text>
        <r>
          <rPr>
            <b/>
            <sz val="9"/>
            <color indexed="81"/>
            <rFont val="MS P ゴシック"/>
            <family val="3"/>
            <charset val="128"/>
          </rPr>
          <t>サウ:</t>
        </r>
        <r>
          <rPr>
            <sz val="9"/>
            <color indexed="81"/>
            <rFont val="MS P ゴシック"/>
            <family val="3"/>
            <charset val="128"/>
          </rPr>
          <t xml:space="preserve">
退去費用</t>
        </r>
      </text>
    </comment>
    <comment ref="A873" authorId="9" shapeId="0" xr:uid="{B1E7EF23-B774-4F6F-96E6-D4381B3AA3D0}">
      <text>
        <r>
          <rPr>
            <b/>
            <sz val="9"/>
            <color indexed="81"/>
            <rFont val="MS P ゴシック"/>
            <family val="3"/>
            <charset val="128"/>
          </rPr>
          <t>クオン:</t>
        </r>
        <r>
          <rPr>
            <sz val="9"/>
            <color indexed="81"/>
            <rFont val="MS P ゴシック"/>
            <family val="3"/>
            <charset val="128"/>
          </rPr>
          <t xml:space="preserve">
2025.8.8から2025.8.16に変更しました。</t>
        </r>
      </text>
    </comment>
    <comment ref="AD873" authorId="9" shapeId="0" xr:uid="{C95F58C2-C8C9-4DA8-BFA5-CA6F11D873D1}">
      <text>
        <r>
          <rPr>
            <b/>
            <sz val="9"/>
            <color indexed="81"/>
            <rFont val="MS P ゴシック"/>
            <family val="3"/>
            <charset val="128"/>
          </rPr>
          <t>クオン:</t>
        </r>
        <r>
          <rPr>
            <sz val="9"/>
            <color indexed="81"/>
            <rFont val="MS P ゴシック"/>
            <family val="3"/>
            <charset val="128"/>
          </rPr>
          <t xml:space="preserve">
15484から10000に変更しました。</t>
        </r>
      </text>
    </comment>
    <comment ref="J876" authorId="1" shapeId="0" xr:uid="{D6295727-F314-481F-8656-7682C0F506FC}">
      <text>
        <r>
          <rPr>
            <sz val="9"/>
            <color indexed="81"/>
            <rFont val="MS P ゴシック"/>
            <family val="3"/>
            <charset val="128"/>
          </rPr>
          <t>クオンさんより
家賃は2万でokサウさんと相談済み</t>
        </r>
      </text>
    </comment>
    <comment ref="AI878" authorId="2" shapeId="0" xr:uid="{F0B58162-A4EC-45ED-B3B9-A3BBD1925ED2}">
      <text>
        <r>
          <rPr>
            <b/>
            <sz val="9"/>
            <color indexed="81"/>
            <rFont val="MS P ゴシック"/>
            <family val="3"/>
            <charset val="128"/>
          </rPr>
          <t>サウ:</t>
        </r>
        <r>
          <rPr>
            <sz val="9"/>
            <color indexed="81"/>
            <rFont val="MS P ゴシック"/>
            <family val="3"/>
            <charset val="128"/>
          </rPr>
          <t xml:space="preserve">
１２月分は半分を引く</t>
        </r>
      </text>
    </comment>
    <comment ref="A888" authorId="9" shapeId="0" xr:uid="{34B3C948-8054-4EC7-8DAE-96852059721C}">
      <text>
        <r>
          <rPr>
            <b/>
            <sz val="9"/>
            <color indexed="81"/>
            <rFont val="MS P ゴシック"/>
            <family val="3"/>
            <charset val="128"/>
          </rPr>
          <t>クオン:</t>
        </r>
        <r>
          <rPr>
            <sz val="9"/>
            <color indexed="81"/>
            <rFont val="MS P ゴシック"/>
            <family val="3"/>
            <charset val="128"/>
          </rPr>
          <t xml:space="preserve">
25.08.08から08.16に変更しました。</t>
        </r>
      </text>
    </comment>
    <comment ref="AD895" authorId="2" shapeId="0" xr:uid="{12F471A7-8F03-4317-9B13-DDB633CF7DF1}">
      <text>
        <r>
          <rPr>
            <b/>
            <sz val="9"/>
            <color indexed="81"/>
            <rFont val="MS P ゴシック"/>
            <family val="3"/>
            <charset val="128"/>
          </rPr>
          <t>サウ:</t>
        </r>
        <r>
          <rPr>
            <sz val="9"/>
            <color indexed="81"/>
            <rFont val="MS P ゴシック"/>
            <family val="3"/>
            <charset val="128"/>
          </rPr>
          <t xml:space="preserve">
先月間違ったため
</t>
        </r>
      </text>
    </comment>
    <comment ref="AG899" authorId="0" shapeId="0" xr:uid="{EAE2977A-8FD5-4F93-AC42-E4296881C132}">
      <text>
        <r>
          <rPr>
            <b/>
            <sz val="11"/>
            <color indexed="81"/>
            <rFont val="MS P ゴシック"/>
            <family val="3"/>
            <charset val="128"/>
          </rPr>
          <t>Hara:11/14クオン君より3万引いてと言われた12/15は退去2万と3100円</t>
        </r>
      </text>
    </comment>
    <comment ref="AG900" authorId="0" shapeId="0" xr:uid="{D47C6AE9-DF42-4993-AD2E-3D85F331F3EC}">
      <text>
        <r>
          <rPr>
            <b/>
            <sz val="11"/>
            <color indexed="81"/>
            <rFont val="MS P ゴシック"/>
            <family val="3"/>
            <charset val="128"/>
          </rPr>
          <t>社会保険料分上乗せ請求12/3原</t>
        </r>
      </text>
    </comment>
    <comment ref="J907" authorId="1" shapeId="0" xr:uid="{045D6217-3232-4F18-99CC-FB7917C0E201}">
      <text>
        <r>
          <rPr>
            <sz val="9"/>
            <color indexed="81"/>
            <rFont val="MS P ゴシック"/>
            <family val="3"/>
            <charset val="128"/>
          </rPr>
          <t>駐車場代
￥4.400
5/15から駐車場代　￥０</t>
        </r>
      </text>
    </comment>
    <comment ref="AG907" authorId="2" shapeId="0" xr:uid="{8034B0A6-C888-4C2C-8296-026EB49B78D5}">
      <text>
        <r>
          <rPr>
            <b/>
            <sz val="9"/>
            <color indexed="81"/>
            <rFont val="MS P ゴシック"/>
            <family val="3"/>
            <charset val="128"/>
          </rPr>
          <t>サウ:</t>
        </r>
        <r>
          <rPr>
            <sz val="9"/>
            <color indexed="81"/>
            <rFont val="MS P ゴシック"/>
            <family val="3"/>
            <charset val="128"/>
          </rPr>
          <t xml:space="preserve">
11/２８退社ですが退去日が未定。先に退去費用を引く</t>
        </r>
      </text>
    </comment>
    <comment ref="AG960" authorId="2" shapeId="0" xr:uid="{192E51FE-D977-47DA-9F05-3F14FB816173}">
      <text>
        <r>
          <rPr>
            <b/>
            <sz val="9"/>
            <color indexed="81"/>
            <rFont val="MS P ゴシック"/>
            <family val="3"/>
            <charset val="128"/>
          </rPr>
          <t>サウ:</t>
        </r>
        <r>
          <rPr>
            <sz val="9"/>
            <color indexed="81"/>
            <rFont val="MS P ゴシック"/>
            <family val="3"/>
            <charset val="128"/>
          </rPr>
          <t xml:space="preserve">
先月退去費用を引かなかったため
</t>
        </r>
      </text>
    </comment>
    <comment ref="AI987" authorId="2" shapeId="0" xr:uid="{F6E2FCB3-4A86-4185-BAA7-2505D27A2F1E}">
      <text>
        <r>
          <rPr>
            <b/>
            <sz val="9"/>
            <color indexed="81"/>
            <rFont val="MS P ゴシック"/>
            <family val="3"/>
            <charset val="128"/>
          </rPr>
          <t>サウ:</t>
        </r>
        <r>
          <rPr>
            <sz val="9"/>
            <color indexed="81"/>
            <rFont val="MS P ゴシック"/>
            <family val="3"/>
            <charset val="128"/>
          </rPr>
          <t xml:space="preserve">
退社したが退去が未定</t>
        </r>
      </text>
    </comment>
    <comment ref="R993" authorId="0" shapeId="0" xr:uid="{B6AB937A-7178-4CCC-98A8-9315CAC6C6C2}">
      <text>
        <r>
          <rPr>
            <b/>
            <sz val="12"/>
            <color indexed="81"/>
            <rFont val="MS P ゴシック"/>
            <family val="3"/>
            <charset val="128"/>
          </rPr>
          <t>退去は分割払い
4回の分割で（9,10,11,12
9/10原</t>
        </r>
      </text>
    </comment>
    <comment ref="N1002" authorId="1" shapeId="0" xr:uid="{26D6C1CD-4700-4739-9AB9-A55AA98C1108}">
      <text>
        <r>
          <rPr>
            <b/>
            <sz val="9"/>
            <color indexed="81"/>
            <rFont val="MS P ゴシック"/>
            <family val="3"/>
            <charset val="128"/>
          </rPr>
          <t>年金受給手続きため、2ヶ月帰国
4.5.6月の家賃を先控除</t>
        </r>
      </text>
    </comment>
    <comment ref="Q1002" authorId="1" shapeId="0" xr:uid="{432929F4-90E4-44CC-A826-CC6E80AFDFFD}">
      <text>
        <r>
          <rPr>
            <b/>
            <sz val="9"/>
            <color indexed="81"/>
            <rFont val="MS P ゴシック"/>
            <family val="3"/>
            <charset val="128"/>
          </rPr>
          <t>user:</t>
        </r>
        <r>
          <rPr>
            <sz val="9"/>
            <color indexed="81"/>
            <rFont val="MS P ゴシック"/>
            <family val="3"/>
            <charset val="128"/>
          </rPr>
          <t xml:space="preserve">
6/29再入居
</t>
        </r>
      </text>
    </comment>
    <comment ref="AG1003" authorId="0" shapeId="0" xr:uid="{410819D9-31B2-4304-8A10-009B8388760D}">
      <text>
        <r>
          <rPr>
            <b/>
            <sz val="12"/>
            <color indexed="81"/>
            <rFont val="MS P ゴシック"/>
            <family val="3"/>
            <charset val="128"/>
          </rPr>
          <t>11/17事前精算の為
先に入力しました
11/13原</t>
        </r>
      </text>
    </comment>
    <comment ref="R1019" authorId="0" shapeId="0" xr:uid="{C4A22A3E-E61A-49D5-94AE-E5F704477054}">
      <text>
        <r>
          <rPr>
            <b/>
            <sz val="9"/>
            <color indexed="81"/>
            <rFont val="MS P ゴシック"/>
            <family val="3"/>
            <charset val="128"/>
          </rPr>
          <t>Hara:</t>
        </r>
        <r>
          <rPr>
            <sz val="9"/>
            <color indexed="81"/>
            <rFont val="MS P ゴシック"/>
            <family val="3"/>
            <charset val="128"/>
          </rPr>
          <t xml:space="preserve">
8月、9月分家賃を控除
10/1再入社予定あり
11/15　20000円引く</t>
        </r>
      </text>
    </comment>
    <comment ref="Y1024" authorId="1" shapeId="0" xr:uid="{6B52D366-DC75-4179-BA52-57461A10326A}">
      <text>
        <r>
          <rPr>
            <b/>
            <sz val="9"/>
            <color indexed="81"/>
            <rFont val="MS P ゴシック"/>
            <family val="3"/>
            <charset val="128"/>
          </rPr>
          <t>3月分+4月分+5月分の家賃</t>
        </r>
      </text>
    </comment>
    <comment ref="T1044" authorId="10" shapeId="0" xr:uid="{E17CA785-9B0B-4BBE-91AC-5D7A67C4444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先に退去費精算
12/15は家賃のみ</t>
      </text>
    </comment>
    <comment ref="AC1069" authorId="2" shapeId="0" xr:uid="{EEF2E339-9544-4722-A1D8-12097D0DEF5F}">
      <text>
        <r>
          <rPr>
            <b/>
            <sz val="9"/>
            <color indexed="81"/>
            <rFont val="MS P ゴシック"/>
            <family val="3"/>
            <charset val="128"/>
          </rPr>
          <t>サウ:</t>
        </r>
        <r>
          <rPr>
            <sz val="9"/>
            <color indexed="81"/>
            <rFont val="MS P ゴシック"/>
            <family val="3"/>
            <charset val="128"/>
          </rPr>
          <t xml:space="preserve">
先月間違ったため今月一人＋6300、
</t>
        </r>
      </text>
    </comment>
    <comment ref="AA1072" authorId="6" shapeId="0" xr:uid="{8146B4CB-2FBC-4809-84E1-1D7E205EDF52}">
      <text>
        <r>
          <rPr>
            <b/>
            <sz val="9"/>
            <color indexed="81"/>
            <rFont val="MS P ゴシック"/>
            <family val="3"/>
            <charset val="128"/>
          </rPr>
          <t>6/15給与なし</t>
        </r>
      </text>
    </comment>
    <comment ref="AC1072" authorId="2" shapeId="0" xr:uid="{9B11F537-01A4-447D-89BB-88AB63DBB4C9}">
      <text>
        <r>
          <rPr>
            <b/>
            <sz val="9"/>
            <color indexed="81"/>
            <rFont val="MS P ゴシック"/>
            <family val="3"/>
            <charset val="128"/>
          </rPr>
          <t xml:space="preserve">先月分＋6300
退去2万含める
</t>
        </r>
      </text>
    </comment>
    <comment ref="AJ1079" authorId="0" shapeId="0" xr:uid="{A0BDAED3-01FE-43DC-B48B-4B9862E9C9F7}">
      <text>
        <r>
          <rPr>
            <b/>
            <sz val="9"/>
            <color indexed="81"/>
            <rFont val="MS P ゴシック"/>
            <family val="3"/>
            <charset val="128"/>
          </rPr>
          <t>Hara:</t>
        </r>
        <r>
          <rPr>
            <sz val="9"/>
            <color indexed="81"/>
            <rFont val="MS P ゴシック"/>
            <family val="3"/>
            <charset val="128"/>
          </rPr>
          <t xml:space="preserve">
2/15給与なし</t>
        </r>
      </text>
    </comment>
    <comment ref="AB1083" authorId="11" shapeId="0" xr:uid="{26971D66-C9E2-45CE-8C7E-3D77614A00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浜本さんより退去費無</t>
      </text>
    </comment>
    <comment ref="AB1089" authorId="12" shapeId="0" xr:uid="{9E8D16DA-5952-4D46-8FAC-D77DDC558E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6/11退社
7/15分の給与を6/13に計算入力
6月中に振込をする</t>
      </text>
    </comment>
    <comment ref="AA1114" authorId="0" shapeId="0" xr:uid="{9535B483-5B34-461E-9EE9-DB0211D6B2D9}">
      <text>
        <r>
          <rPr>
            <b/>
            <sz val="9"/>
            <color indexed="81"/>
            <rFont val="MS P ゴシック"/>
            <family val="3"/>
            <charset val="128"/>
          </rPr>
          <t xml:space="preserve">6/15給与なし
7/15で二か月分
8/15~25000
</t>
        </r>
      </text>
    </comment>
    <comment ref="AD1119" authorId="0" shapeId="0" xr:uid="{377F1F3F-EBDA-4DC3-A5C5-C76388B81F13}">
      <text>
        <r>
          <rPr>
            <b/>
            <sz val="9"/>
            <color indexed="81"/>
            <rFont val="MS P ゴシック"/>
            <family val="3"/>
            <charset val="128"/>
          </rPr>
          <t xml:space="preserve">9/15給与なし
</t>
        </r>
      </text>
    </comment>
    <comment ref="AF1132" authorId="0" shapeId="0" xr:uid="{729998A8-B490-478F-B80A-853C61038F5C}">
      <text>
        <r>
          <rPr>
            <b/>
            <sz val="9"/>
            <color indexed="81"/>
            <rFont val="MS P ゴシック"/>
            <family val="3"/>
            <charset val="128"/>
          </rPr>
          <t>Hara:</t>
        </r>
        <r>
          <rPr>
            <sz val="9"/>
            <color indexed="81"/>
            <rFont val="MS P ゴシック"/>
            <family val="3"/>
            <charset val="128"/>
          </rPr>
          <t>11/15なし</t>
        </r>
      </text>
    </comment>
    <comment ref="AC1143" authorId="2" shapeId="0" xr:uid="{EA14E16C-A2AC-467B-90DB-E9C835797652}">
      <text>
        <r>
          <rPr>
            <b/>
            <sz val="9"/>
            <color indexed="81"/>
            <rFont val="MS P ゴシック"/>
            <family val="3"/>
            <charset val="128"/>
          </rPr>
          <t xml:space="preserve">サウ妙慶ハイツ202
計算済
</t>
        </r>
      </text>
    </comment>
    <comment ref="AF1168" authorId="0" shapeId="0" xr:uid="{68BB2631-892E-4758-A97A-0A08A9F34D0E}">
      <text>
        <r>
          <rPr>
            <b/>
            <sz val="9"/>
            <color indexed="81"/>
            <rFont val="MS P ゴシック"/>
            <family val="3"/>
            <charset val="128"/>
          </rPr>
          <t>Hara:</t>
        </r>
        <r>
          <rPr>
            <sz val="9"/>
            <color indexed="81"/>
            <rFont val="MS P ゴシック"/>
            <family val="3"/>
            <charset val="128"/>
          </rPr>
          <t xml:space="preserve">
入居日と退去日入力しました。10/27
退去日は未定ですので２ヶ月家賃を引く
</t>
        </r>
      </text>
    </comment>
    <comment ref="AG1168" authorId="2" shapeId="0" xr:uid="{0A8B3E13-E156-4E6D-8D1B-ECB08C4830AB}">
      <text>
        <r>
          <rPr>
            <b/>
            <sz val="9"/>
            <color indexed="81"/>
            <rFont val="MS P ゴシック"/>
            <family val="3"/>
            <charset val="128"/>
          </rPr>
          <t>退去しましたが
退去費用を取らないとトゥアンさんから言われました</t>
        </r>
      </text>
    </comment>
    <comment ref="AA1173" authorId="13" shapeId="0" xr:uid="{8A05DABF-4A8A-4AFA-9362-C497D69B0FC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4/19契約終了トゥアンさんに確認済み</t>
      </text>
    </comment>
    <comment ref="X1177" authorId="6" shapeId="0" xr:uid="{9E8BFDE9-15D3-4D7B-A26E-403A6973E44C}">
      <text>
        <r>
          <rPr>
            <b/>
            <sz val="9"/>
            <color indexed="81"/>
            <rFont val="MS P ゴシック"/>
            <family val="3"/>
            <charset val="128"/>
          </rPr>
          <t xml:space="preserve">現金渡し
</t>
        </r>
      </text>
    </comment>
    <comment ref="AF1182" authorId="2" shapeId="0" xr:uid="{61666712-7872-484A-A77F-2FCFE05B77DA}">
      <text>
        <r>
          <rPr>
            <b/>
            <sz val="9"/>
            <color indexed="81"/>
            <rFont val="MS P ゴシック"/>
            <family val="3"/>
            <charset val="128"/>
          </rPr>
          <t>サウ:</t>
        </r>
        <r>
          <rPr>
            <sz val="9"/>
            <color indexed="81"/>
            <rFont val="MS P ゴシック"/>
            <family val="3"/>
            <charset val="128"/>
          </rPr>
          <t xml:space="preserve">
退去費用
</t>
        </r>
      </text>
    </comment>
    <comment ref="AC1187" authorId="0" shapeId="0" xr:uid="{3226F72E-BC1B-4C03-BB75-D23839434D6E}">
      <text>
        <r>
          <rPr>
            <b/>
            <sz val="9"/>
            <color indexed="81"/>
            <rFont val="MS P ゴシック"/>
            <family val="3"/>
            <charset val="128"/>
          </rPr>
          <t>Hara:</t>
        </r>
        <r>
          <rPr>
            <sz val="9"/>
            <color indexed="81"/>
            <rFont val="MS P ゴシック"/>
            <family val="3"/>
            <charset val="128"/>
          </rPr>
          <t xml:space="preserve">
8/15給与なし</t>
        </r>
      </text>
    </comment>
    <comment ref="AG1198" authorId="0" shapeId="0" xr:uid="{CC992FB8-CF7B-4D14-B8A3-36E0AA3714A6}">
      <text>
        <r>
          <rPr>
            <b/>
            <sz val="9"/>
            <color indexed="81"/>
            <rFont val="MS P ゴシック"/>
            <family val="3"/>
            <charset val="128"/>
          </rPr>
          <t>有給消化の代わり</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C9B272-733B-430E-8167-20D9FE4442A8}" keepAlive="1" name="クエリ - DBGenzai" description="ブック内の 'DBGenzai' クエリへの接続です。" type="5" refreshedVersion="8" background="1" saveData="1">
    <dbPr connection="Provider=Microsoft.Mashup.OleDb.1;Data Source=$Workbook$;Location=DBGenzai;Extended Properties=&quot;&quot;" command="SELECT * FROM [DBGenzai]"/>
  </connection>
  <connection id="2" xr16:uid="{8A567344-30A2-494A-9607-110A5F396441}" keepAlive="1" name="クエリ - DBGenzai のエラー" description="ブック内の 'DBGenzai のエラー' クエリへの接続です。" type="5" refreshedVersion="0" background="1">
    <dbPr connection="Provider=Microsoft.Mashup.OleDb.1;Data Source=$Workbook$;Location=&quot;DBGenzai のエラー&quot;;Extended Properties=&quot;&quot;" command="SELECT * FROM [DBGenzai のエラー]"/>
  </connection>
  <connection id="3" xr16:uid="{036E0415-62AB-4FA5-AE88-A42F18E36AA0}" keepAlive="1" name="クエリ - DBStaff" description="ブック内の 'DBStaff' クエリへの接続です。" type="5" refreshedVersion="8" background="1" saveData="1">
    <dbPr connection="Provider=Microsoft.Mashup.OleDb.1;Data Source=$Workbook$;Location=DBStaff;Extended Properties=&quot;&quot;" command="SELECT * FROM [DBStaff]"/>
  </connection>
  <connection id="4" xr16:uid="{F2EBB1DC-4CD1-414A-B06E-5710E17770B6}" keepAlive="1" name="クエリ - UkeoiT" description="ブック内の 'UkeoiT' クエリへの接続です。" type="5" refreshedVersion="8" background="1" saveData="1">
    <dbPr connection="Provider=Microsoft.Mashup.OleDb.1;Data Source=$Workbook$;Location=UkeoiT;Extended Properties=&quot;&quot;" command="SELECT * FROM [UkeoiT]"/>
  </connection>
  <connection id="5" xr16:uid="{FAC8B989-0296-4A39-9F97-D7ECF1FEFFB7}" keepAlive="1" name="クエリ - 追加1" description="ブック内の '追加1' クエリへの接続です。"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<sst xmlns="http://schemas.openxmlformats.org/spreadsheetml/2006/main" count="11196" uniqueCount="2912">
  <si>
    <t>UNS KIKAKU アパートリスト</t>
    <phoneticPr fontId="2"/>
  </si>
  <si>
    <t>入居日</t>
    <rPh sb="0" eb="3">
      <t>ニュウキョビ</t>
    </rPh>
    <phoneticPr fontId="2"/>
  </si>
  <si>
    <t>社員番号</t>
    <rPh sb="0" eb="4">
      <t>シャインバンゴウ</t>
    </rPh>
    <phoneticPr fontId="2"/>
  </si>
  <si>
    <t>金額</t>
    <rPh sb="0" eb="2">
      <t>キンガク</t>
    </rPh>
    <phoneticPr fontId="2"/>
  </si>
  <si>
    <t>レジェンドＫ　301</t>
    <phoneticPr fontId="2"/>
  </si>
  <si>
    <t>レジェンドＫ203</t>
    <phoneticPr fontId="2"/>
  </si>
  <si>
    <t>ダイコウマンション３０２</t>
    <phoneticPr fontId="2"/>
  </si>
  <si>
    <t>グリーンハイツA-201</t>
    <phoneticPr fontId="2"/>
  </si>
  <si>
    <t>アウローラⅡ101</t>
    <phoneticPr fontId="2"/>
  </si>
  <si>
    <t>PMI</t>
    <phoneticPr fontId="2"/>
  </si>
  <si>
    <t>金額</t>
    <rPh sb="0" eb="2">
      <t>キンガク</t>
    </rPh>
    <phoneticPr fontId="2"/>
  </si>
  <si>
    <t>アルコ・バレーノ 205</t>
    <phoneticPr fontId="2"/>
  </si>
  <si>
    <t>全額</t>
    <rPh sb="0" eb="2">
      <t>ゼンガク</t>
    </rPh>
    <phoneticPr fontId="2"/>
  </si>
  <si>
    <t>デイブレイク４０６</t>
    <phoneticPr fontId="2"/>
  </si>
  <si>
    <t>フィフティ　Ⅰー１０１</t>
    <phoneticPr fontId="2"/>
  </si>
  <si>
    <t>各務ハイツ４Ｊ</t>
    <phoneticPr fontId="2"/>
  </si>
  <si>
    <t>FLORENCE 1997 201</t>
    <phoneticPr fontId="2"/>
  </si>
  <si>
    <t>平島中4丁目村上賃家</t>
    <rPh sb="0" eb="3">
      <t>ヘイジマナカ</t>
    </rPh>
    <rPh sb="4" eb="6">
      <t>チョウメ</t>
    </rPh>
    <rPh sb="6" eb="8">
      <t>ムラウエ</t>
    </rPh>
    <rPh sb="8" eb="9">
      <t>チン</t>
    </rPh>
    <rPh sb="9" eb="10">
      <t>イエ</t>
    </rPh>
    <phoneticPr fontId="2"/>
  </si>
  <si>
    <t>フェリスA103</t>
    <phoneticPr fontId="2"/>
  </si>
  <si>
    <t>PATEC</t>
    <phoneticPr fontId="2"/>
  </si>
  <si>
    <t>ｱﾙｿｰﾚD202</t>
    <phoneticPr fontId="2"/>
  </si>
  <si>
    <t>10/23コンツェルハウスＢ106から移動</t>
    <rPh sb="19" eb="21">
      <t>イドウ</t>
    </rPh>
    <phoneticPr fontId="2"/>
  </si>
  <si>
    <t>各務ハイツ　６A</t>
    <phoneticPr fontId="2"/>
  </si>
  <si>
    <t>プチセゾン　103</t>
    <phoneticPr fontId="2"/>
  </si>
  <si>
    <t>イーストコート202</t>
    <phoneticPr fontId="2"/>
  </si>
  <si>
    <t>3DK</t>
    <phoneticPr fontId="2"/>
  </si>
  <si>
    <t>FERRYANTO PASCA MARIS UPPUN</t>
  </si>
  <si>
    <t>フェリヤント　パスチャ　マリス　ウップン</t>
  </si>
  <si>
    <t>WIDIARTO IFTIAR</t>
  </si>
  <si>
    <t>ウィディアルト　イフティアル</t>
  </si>
  <si>
    <t>NGUYEN VAN HUNG</t>
  </si>
  <si>
    <t>グエン　バン　フン</t>
  </si>
  <si>
    <t>DAO NGOC ANH</t>
  </si>
  <si>
    <t>NGUYEN VAN LAP</t>
  </si>
  <si>
    <t>グエン　ヴァン　ラップ</t>
  </si>
  <si>
    <t>NGUYEN DINH THANH</t>
  </si>
  <si>
    <t>ﾍﾞﾙﾄﾋﾟｱ住吉307号室</t>
    <phoneticPr fontId="2"/>
  </si>
  <si>
    <t>DANG DUC CHIEN</t>
  </si>
  <si>
    <t>ダン　ドゥック　チェン</t>
  </si>
  <si>
    <t>NGUYEN KHAC THIEN</t>
  </si>
  <si>
    <t>グエン　カック　ティエン</t>
  </si>
  <si>
    <t>ｱﾙｿｰﾚＣ201</t>
    <phoneticPr fontId="2"/>
  </si>
  <si>
    <t>ｱﾙｿｰﾚＤ201</t>
    <phoneticPr fontId="2"/>
  </si>
  <si>
    <t>ｱﾙｿｰﾚＤ103</t>
    <phoneticPr fontId="2"/>
  </si>
  <si>
    <t>ｱﾙｿｰﾚＤ101</t>
    <phoneticPr fontId="2"/>
  </si>
  <si>
    <t>bee hive resindece Ⅶ102</t>
    <phoneticPr fontId="2"/>
  </si>
  <si>
    <t>IPAL FEBRI NARTA</t>
  </si>
  <si>
    <t>イパール　フェブリ　ナルタ</t>
  </si>
  <si>
    <t>THACH VAN DAI</t>
  </si>
  <si>
    <t>タック　ヴァン　ダイ</t>
  </si>
  <si>
    <t>PATEC</t>
  </si>
  <si>
    <t>NGUYEN VAN NINH</t>
  </si>
  <si>
    <t>グエン　ヴァン　ニン</t>
  </si>
  <si>
    <t>NGUYEN DUY THANG</t>
  </si>
  <si>
    <t>グエン　ズイ　タン</t>
  </si>
  <si>
    <t>NGUYEN VAN SANG</t>
  </si>
  <si>
    <t>グエン　ヴァン　サン</t>
  </si>
  <si>
    <t>DUONG VAN TOAN</t>
  </si>
  <si>
    <t>ズオン　ヴァン　トアン</t>
  </si>
  <si>
    <t>NGUYEN VAN HIEN</t>
  </si>
  <si>
    <t>グエン　ヴァン　ヒエン</t>
  </si>
  <si>
    <t>LE HUU THUAN</t>
  </si>
  <si>
    <t>レー　フー　トゥアン</t>
  </si>
  <si>
    <t>VU DINH SON</t>
  </si>
  <si>
    <t>ヴー　ディン　ソン</t>
  </si>
  <si>
    <t>DANG THIN VIET</t>
  </si>
  <si>
    <t>ダン　ティン　ヴィエット</t>
  </si>
  <si>
    <t>HA VIET THUY</t>
  </si>
  <si>
    <t>ハー　ヴィエット　トウイ</t>
  </si>
  <si>
    <t>フィフティ　Ⅱ102</t>
    <phoneticPr fontId="2"/>
  </si>
  <si>
    <t>グエン　ディン　タイン</t>
  </si>
  <si>
    <t>ハーモニー201</t>
    <phoneticPr fontId="2"/>
  </si>
  <si>
    <t>TRAN VAN HIEU</t>
  </si>
  <si>
    <t>チャン　ヴァン　ヒエウ</t>
  </si>
  <si>
    <t>コンツェルハウスⅡＤ棟201</t>
    <phoneticPr fontId="2"/>
  </si>
  <si>
    <t>CASA A203から転入。5，6月家賃支払い済</t>
    <rPh sb="11" eb="13">
      <t>テンニュウ</t>
    </rPh>
    <rPh sb="17" eb="18">
      <t>ガツ</t>
    </rPh>
    <rPh sb="18" eb="20">
      <t>ヤチン</t>
    </rPh>
    <rPh sb="20" eb="22">
      <t>シハラ</t>
    </rPh>
    <rPh sb="23" eb="24">
      <t>スミ</t>
    </rPh>
    <phoneticPr fontId="2"/>
  </si>
  <si>
    <t>瑞陵精機</t>
  </si>
  <si>
    <t>NGUYEN VIET CUONG</t>
  </si>
  <si>
    <t>グエン　ヴィエット　クオン</t>
  </si>
  <si>
    <t>高安一番館403</t>
    <phoneticPr fontId="2"/>
  </si>
  <si>
    <t>PHUNG MANH TUAN</t>
  </si>
  <si>
    <t>フン　マイン　トゥアン</t>
  </si>
  <si>
    <t>NGUYEN VAN TRUONG</t>
  </si>
  <si>
    <t>スピリアⅠ201</t>
    <phoneticPr fontId="2"/>
  </si>
  <si>
    <t>VU ANH VUONG</t>
  </si>
  <si>
    <t>ヴー　アイン　ヴォン</t>
  </si>
  <si>
    <t>PHAM THANH LONG</t>
  </si>
  <si>
    <t>ファム　タイン　ロン</t>
  </si>
  <si>
    <t>レブランカミーリアＢ205</t>
    <phoneticPr fontId="2"/>
  </si>
  <si>
    <t>TRAN HUU HUNG</t>
  </si>
  <si>
    <t>チャン　フウ　フン</t>
  </si>
  <si>
    <t>ヴー　ドウック　クオック　ダット</t>
  </si>
  <si>
    <t>梱包</t>
  </si>
  <si>
    <t>ADHITYA LUNDIKA</t>
  </si>
  <si>
    <t>アディティア　ルンディカ</t>
  </si>
  <si>
    <t>WINARDI SARINAL PUTRA</t>
  </si>
  <si>
    <t>ウイナルディ　サリナル　プトラ</t>
  </si>
  <si>
    <t>DANG THANH SON</t>
  </si>
  <si>
    <t>ダン　タン　ソン</t>
  </si>
  <si>
    <t>DAO VAN HOAN</t>
  </si>
  <si>
    <t>ダオ　ヴァン　ホアン</t>
  </si>
  <si>
    <t>BUI THI HONG LOAN</t>
  </si>
  <si>
    <t>ブイ　ティ　ホン　ロアン</t>
  </si>
  <si>
    <t>NGO VAN HIEP</t>
  </si>
  <si>
    <t>ゴー　ヴァン　ヒエップ</t>
  </si>
  <si>
    <t>LA LANI</t>
  </si>
  <si>
    <t>ラ　ラニ</t>
  </si>
  <si>
    <t>MOCHAMAD NIZAR AWALUDIN</t>
  </si>
  <si>
    <t>モチャマド　ニザル　アワルディン</t>
  </si>
  <si>
    <t>YASSER RIDHA MUSLIM</t>
  </si>
  <si>
    <t>ヤッセル　リダ　ムスリム</t>
  </si>
  <si>
    <t>ILHAM</t>
  </si>
  <si>
    <t>イルハム</t>
  </si>
  <si>
    <t>SUALDIN</t>
  </si>
  <si>
    <t>スアルディン</t>
  </si>
  <si>
    <t>VI VAN NHI</t>
  </si>
  <si>
    <t>各務ハイツ２Dから転入</t>
    <rPh sb="0" eb="2">
      <t>カガミ</t>
    </rPh>
    <rPh sb="9" eb="11">
      <t>テンニュウ</t>
    </rPh>
    <phoneticPr fontId="2"/>
  </si>
  <si>
    <t>成広矢原コーポⅤ102から転入</t>
    <rPh sb="0" eb="4">
      <t>ナリヒロヤハラ</t>
    </rPh>
    <rPh sb="13" eb="15">
      <t>テンニュウ</t>
    </rPh>
    <phoneticPr fontId="2"/>
  </si>
  <si>
    <t>HOANG ANH TUAN</t>
  </si>
  <si>
    <t>ホアン　アイン　トゥアン</t>
  </si>
  <si>
    <t>3人場合</t>
    <rPh sb="1" eb="2">
      <t>ニン</t>
    </rPh>
    <rPh sb="2" eb="4">
      <t>バアイ</t>
    </rPh>
    <phoneticPr fontId="2"/>
  </si>
  <si>
    <t>夫婦</t>
    <rPh sb="0" eb="2">
      <t>フウフ</t>
    </rPh>
    <phoneticPr fontId="2"/>
  </si>
  <si>
    <t>MUHAMMAD SHAHAR MUSHFI</t>
  </si>
  <si>
    <t>ムハンマド　シャハル　ムシュフィ</t>
  </si>
  <si>
    <t>切粉回収</t>
  </si>
  <si>
    <t>ANDIKA AUGHES AZHARULLAH</t>
  </si>
  <si>
    <t>アンディカ　アウゲス　アザルラー</t>
  </si>
  <si>
    <t>ROYCEN ZOGAS KUNCORO</t>
  </si>
  <si>
    <t>ロイチェン　ゾガス　クンチョロ</t>
  </si>
  <si>
    <t>MUKHAMMAD MIFTAHUL HUDA</t>
  </si>
  <si>
    <t>ムカマド　ミフタフル　フダ</t>
  </si>
  <si>
    <t>RICO PAMUNGKAS</t>
  </si>
  <si>
    <t>リコ　パムンカス</t>
  </si>
  <si>
    <t>ROFFAN ABI ARRAFAT</t>
  </si>
  <si>
    <t>ロファン　アビ　アラファト</t>
  </si>
  <si>
    <t>YUDI SAPURTA</t>
  </si>
  <si>
    <t>ユディ　サプトラ</t>
  </si>
  <si>
    <t>TONIS ABADI REYHANSYAH</t>
  </si>
  <si>
    <t>トニス　アバディ　レイハンシャ</t>
  </si>
  <si>
    <t>JEFRIYANTO</t>
  </si>
  <si>
    <t>ジェフリヤント</t>
  </si>
  <si>
    <t>YUSUF BUDI UTOMO</t>
  </si>
  <si>
    <t>ユスフ　プディ　ウトモ</t>
  </si>
  <si>
    <t>2人場合</t>
    <rPh sb="0" eb="2">
      <t>フタリ</t>
    </rPh>
    <rPh sb="2" eb="4">
      <t>バアイ</t>
    </rPh>
    <phoneticPr fontId="2"/>
  </si>
  <si>
    <t>LE HOANG QUOC</t>
  </si>
  <si>
    <t>レー　ホアン　クオック</t>
  </si>
  <si>
    <t>LE HOANG HUY</t>
  </si>
  <si>
    <t>レー　ホアン　フイ</t>
  </si>
  <si>
    <t>3人の場合</t>
    <rPh sb="1" eb="2">
      <t>ニン</t>
    </rPh>
    <rPh sb="3" eb="5">
      <t>バアイ</t>
    </rPh>
    <phoneticPr fontId="2"/>
  </si>
  <si>
    <t>アルソーレＤ102</t>
    <phoneticPr fontId="2"/>
  </si>
  <si>
    <t>THAI HUY DUC</t>
  </si>
  <si>
    <t>タイ　フィ　ドゥック</t>
  </si>
  <si>
    <t>NGUYEN CUONG</t>
  </si>
  <si>
    <t>グエン　クオン</t>
  </si>
  <si>
    <t>3人場合</t>
    <rPh sb="1" eb="4">
      <t>ニンバアイ</t>
    </rPh>
    <phoneticPr fontId="2"/>
  </si>
  <si>
    <t>NGUYEN DINH DUC</t>
  </si>
  <si>
    <t>グエン　ディン　ドゥック</t>
  </si>
  <si>
    <t>TRAN DINH THANH</t>
  </si>
  <si>
    <t>チャン　ディン　タイン</t>
  </si>
  <si>
    <t>グランデーザ202        48000+2000</t>
    <phoneticPr fontId="2"/>
  </si>
  <si>
    <t>グランデーザ201                48000+2000</t>
    <phoneticPr fontId="2"/>
  </si>
  <si>
    <t>グランデーザ206             48000+2000</t>
    <phoneticPr fontId="2"/>
  </si>
  <si>
    <t>TRAN DINH MINH</t>
  </si>
  <si>
    <t>チャン　ディン　ミン</t>
  </si>
  <si>
    <t>LE VIET HUNG</t>
  </si>
  <si>
    <t>レー　ヴィエット　フン</t>
  </si>
  <si>
    <t>PHAM DUC BAO</t>
  </si>
  <si>
    <t>ファム　ドゥック　バオ</t>
  </si>
  <si>
    <t>HUYNH TRUNG TUYEN</t>
  </si>
  <si>
    <t>フイン　チュン　トウエン</t>
  </si>
  <si>
    <t>フレグランス　ウシ２０１</t>
    <phoneticPr fontId="2"/>
  </si>
  <si>
    <t>ライフコア119－306</t>
    <phoneticPr fontId="2"/>
  </si>
  <si>
    <t>NGUYEN DINH TOAN</t>
  </si>
  <si>
    <t>グエン　ディン　トアン</t>
  </si>
  <si>
    <t>LE NHU ANH</t>
  </si>
  <si>
    <t>レー　ヌー　アイン</t>
  </si>
  <si>
    <t>MAI THI QUYEN</t>
  </si>
  <si>
    <t>マイ　ティ　クェン</t>
  </si>
  <si>
    <t>高雄工業 岡山</t>
  </si>
  <si>
    <t>BUI DUC KHANG</t>
  </si>
  <si>
    <t>ブイ　ヅック　カン</t>
  </si>
  <si>
    <t>TRAN DUC TRUONG</t>
  </si>
  <si>
    <t>チャン　ドゥック　チュオン</t>
  </si>
  <si>
    <t>PHAM TRUNG DUNG</t>
  </si>
  <si>
    <t>ファム　チュン　ズン</t>
  </si>
  <si>
    <t>TA DUC TUAN</t>
  </si>
  <si>
    <t>ター　ドゥック　トゥアン</t>
  </si>
  <si>
    <t>大井町一軒家</t>
    <rPh sb="0" eb="3">
      <t>オオイチョウ</t>
    </rPh>
    <rPh sb="3" eb="6">
      <t>イッケンヤ</t>
    </rPh>
    <phoneticPr fontId="2"/>
  </si>
  <si>
    <t>NGUYEN MANH KHAI</t>
  </si>
  <si>
    <t>グエン　マン　カイ</t>
  </si>
  <si>
    <t>TRAN KHUONG DUY</t>
  </si>
  <si>
    <t>チャン　クオン　ズイ</t>
  </si>
  <si>
    <t>DINH PHU HUNG</t>
  </si>
  <si>
    <t>ディン　フー　フン</t>
  </si>
  <si>
    <t>KIEU DUC TUAN</t>
  </si>
  <si>
    <t>キエウ　ドゥック　トゥアン</t>
  </si>
  <si>
    <t>レジェンドＫ204</t>
    <phoneticPr fontId="2"/>
  </si>
  <si>
    <t>LE THI HIEN</t>
  </si>
  <si>
    <t>レー　ティ　ヒエン</t>
  </si>
  <si>
    <t>NGUYEN THI HIEN</t>
  </si>
  <si>
    <t>グエン　ティ　ヒエン</t>
  </si>
  <si>
    <t>DAO TIEN KHANH</t>
  </si>
  <si>
    <t>ダオ　ティエン　カイン</t>
  </si>
  <si>
    <t>VU HOANG AN</t>
  </si>
  <si>
    <t>ヴー　ホアン　アン</t>
  </si>
  <si>
    <t>成広矢原コーポⅥ　103</t>
    <phoneticPr fontId="2"/>
  </si>
  <si>
    <t>コーリツ 亀崎</t>
  </si>
  <si>
    <t>VU DUC THINH</t>
  </si>
  <si>
    <t>ヴー　ドゥック　ティン</t>
  </si>
  <si>
    <t>NGUYEN VAN HOA</t>
  </si>
  <si>
    <t>グエン　ヴァン　ホア</t>
  </si>
  <si>
    <t>六甲電子</t>
  </si>
  <si>
    <t>ユアサ工機 新城</t>
  </si>
  <si>
    <t>PHAN QUANG HOP</t>
  </si>
  <si>
    <t>ファン　クアン　ホップ</t>
  </si>
  <si>
    <t>NGUYEN QUANG TRUONG</t>
  </si>
  <si>
    <t>グエン　クアン　チュオン</t>
  </si>
  <si>
    <t>ZARATE SAKUDA SERGIO EDUARDO</t>
  </si>
  <si>
    <t>サラテ　サクダ　セルヒオ　エドゥアルド</t>
  </si>
  <si>
    <t>CAO QUOC DUNG</t>
  </si>
  <si>
    <t>カオ　コック　ズン</t>
  </si>
  <si>
    <t>NGUYEN TRUONG GIANG</t>
  </si>
  <si>
    <t>グエン　トゥオン　ジャン</t>
  </si>
  <si>
    <t>LUU VAN TUNG</t>
  </si>
  <si>
    <t>NGUYEN DINH QUYEN</t>
  </si>
  <si>
    <t>グエン　ディン　クエン</t>
  </si>
  <si>
    <t>VU DINH QUANG</t>
  </si>
  <si>
    <t>BUI THE DU</t>
  </si>
  <si>
    <t>ブイ　テー　ズ</t>
  </si>
  <si>
    <t>NGUYEN XUAN CUONG</t>
  </si>
  <si>
    <t>グエン　スアン　クオン</t>
  </si>
  <si>
    <t>3名場合</t>
    <rPh sb="1" eb="2">
      <t>メイ</t>
    </rPh>
    <rPh sb="2" eb="4">
      <t>バアイ</t>
    </rPh>
    <phoneticPr fontId="2"/>
  </si>
  <si>
    <t>NGUYEN NGOC SON</t>
  </si>
  <si>
    <t>グエン　ゴック　ソン</t>
  </si>
  <si>
    <t>VU HONG KHANH</t>
  </si>
  <si>
    <t>ヴー　ホン　カイン</t>
  </si>
  <si>
    <t>DOAN MINH HAI</t>
  </si>
  <si>
    <t>ドアン　ミン　ハイ</t>
  </si>
  <si>
    <t>メゾンパークアベニュー101</t>
    <phoneticPr fontId="2"/>
  </si>
  <si>
    <t>コーリツ 州の崎</t>
  </si>
  <si>
    <t>NGUYEN KHAC TRUNG</t>
  </si>
  <si>
    <t>グエン　カック　チュン</t>
  </si>
  <si>
    <t>メゾンパークアベニュー201</t>
    <phoneticPr fontId="2"/>
  </si>
  <si>
    <t>メゾンパークアベニュー　103</t>
    <phoneticPr fontId="2"/>
  </si>
  <si>
    <t>LE  VAN THAO</t>
  </si>
  <si>
    <t>レ　ヴァン　タオ</t>
  </si>
  <si>
    <t>アルソーレＤ203</t>
    <phoneticPr fontId="2"/>
  </si>
  <si>
    <t>LE NGOC HOI</t>
  </si>
  <si>
    <t>レ　ゴック　ホイ</t>
  </si>
  <si>
    <t>アンザイ　ルイズ　ユキオ</t>
  </si>
  <si>
    <t>bee hive resindece Ⅳ101</t>
    <phoneticPr fontId="2"/>
  </si>
  <si>
    <t>4人場合</t>
    <rPh sb="1" eb="4">
      <t>ニンバアイ</t>
    </rPh>
    <phoneticPr fontId="2"/>
  </si>
  <si>
    <t>ｻﾝﾊﾟﾃｨｰｸⅡ3c</t>
    <phoneticPr fontId="2"/>
  </si>
  <si>
    <t>NGUYEN NGOC QUANG</t>
  </si>
  <si>
    <t>グエン　ゴック　クアン</t>
  </si>
  <si>
    <t>TA NGUYEN DUC</t>
  </si>
  <si>
    <t>ター　グエン　ドゥック</t>
  </si>
  <si>
    <t>TRAN THANH HUNG</t>
  </si>
  <si>
    <t>チャン　タイン　フン</t>
  </si>
  <si>
    <t>VO THANH PHONG</t>
  </si>
  <si>
    <t>ヴォー　タイン　フォン</t>
  </si>
  <si>
    <t>LE DINH BINH</t>
  </si>
  <si>
    <t>レー　ディン　ビン</t>
  </si>
  <si>
    <t>レジェンドＫ305</t>
    <phoneticPr fontId="2"/>
  </si>
  <si>
    <t>川原鉄工所</t>
  </si>
  <si>
    <t>NGUYEN NGOC HUNG</t>
  </si>
  <si>
    <t>グエン　ゴック　フン</t>
  </si>
  <si>
    <t>中須賀コーポⅡ　102</t>
    <phoneticPr fontId="2"/>
  </si>
  <si>
    <t>グランデーザ　103</t>
    <phoneticPr fontId="2"/>
  </si>
  <si>
    <t>AMAL ROSUL</t>
  </si>
  <si>
    <t>アマル　ロスル</t>
  </si>
  <si>
    <t>AREL ZUANFARKHAN IFRONI</t>
  </si>
  <si>
    <t>アレル　ズアンファルカン　イフロニ</t>
  </si>
  <si>
    <t>RAHARDIYAN ARYA GILANG ARMANDA</t>
  </si>
  <si>
    <t>ラハルディヤン　アルヤ　ギラン　アルマンダ</t>
  </si>
  <si>
    <t>グランデーザ110</t>
    <phoneticPr fontId="2"/>
  </si>
  <si>
    <t>BUYUNG NOVA TRI ANGGONO</t>
  </si>
  <si>
    <t>ブユン　ノバ　トリ　アンゴノ</t>
  </si>
  <si>
    <t>GALIH BAGUS RAHARJO</t>
  </si>
  <si>
    <t>ガリー　バグス　ラハルジョ</t>
  </si>
  <si>
    <t>YUSUF MARYANTO</t>
  </si>
  <si>
    <t>ユスフ　マリヤント</t>
  </si>
  <si>
    <t>リンピア長済302</t>
    <phoneticPr fontId="2"/>
  </si>
  <si>
    <t>PHAM DUY QUANG</t>
  </si>
  <si>
    <t>ファム　ズイ　クアン</t>
  </si>
  <si>
    <t>5人場合</t>
    <rPh sb="1" eb="4">
      <t>ニンバアイ</t>
    </rPh>
    <phoneticPr fontId="2"/>
  </si>
  <si>
    <t>アサヒメイト　202</t>
    <phoneticPr fontId="2"/>
  </si>
  <si>
    <t>HOANG VAN VU</t>
  </si>
  <si>
    <t>ホアン　ヴァン　ヴー</t>
  </si>
  <si>
    <t>NGUYEN VAN TY</t>
  </si>
  <si>
    <t>グエン　ヴァン　ティ</t>
  </si>
  <si>
    <t>CHU DUC NGHI</t>
  </si>
  <si>
    <t>チュ　ドゥック　ギー</t>
  </si>
  <si>
    <t>LE DUC THINH</t>
  </si>
  <si>
    <t>レー　ドゥック　ティン</t>
  </si>
  <si>
    <t>PHAM TUAN ANH</t>
  </si>
  <si>
    <t>ファム　トゥアン　アン</t>
  </si>
  <si>
    <t>DAU DUC NGUYEN</t>
  </si>
  <si>
    <t>ダウ　ドゥック　グエン</t>
  </si>
  <si>
    <t>NGUYEN XUAN QUYET</t>
  </si>
  <si>
    <t>グエン　スアン　クエット</t>
  </si>
  <si>
    <t>レジェンドＫ304</t>
    <phoneticPr fontId="2"/>
  </si>
  <si>
    <t>NGUYEN CANH HOANG</t>
  </si>
  <si>
    <t>グエン　カン　ホアン</t>
  </si>
  <si>
    <t>ニューハピネス201</t>
    <phoneticPr fontId="2"/>
  </si>
  <si>
    <t>NGUYEN VAN TUYEN</t>
  </si>
  <si>
    <t>グエン　バン　トゥエン</t>
  </si>
  <si>
    <t>HOANG ANH DUNG</t>
  </si>
  <si>
    <t>ホアン　アイン　ズン</t>
  </si>
  <si>
    <t>グエン　ヴァン　ズ</t>
  </si>
  <si>
    <t>DAO VAN LONG</t>
  </si>
  <si>
    <t>ダオ　ヴァン　ロン</t>
  </si>
  <si>
    <t>LE CHI VI</t>
  </si>
  <si>
    <t>レー　チー　ヴィ</t>
  </si>
  <si>
    <t>HOANG TRUNG DUC</t>
  </si>
  <si>
    <t>ホアン　チュン　ドゥック</t>
  </si>
  <si>
    <t>NGUYEN QUOC THAI</t>
  </si>
  <si>
    <t>グエン　コック　タイ</t>
  </si>
  <si>
    <t>2人場合</t>
    <rPh sb="0" eb="4">
      <t>フタリバアイ</t>
    </rPh>
    <phoneticPr fontId="2"/>
  </si>
  <si>
    <t>NGUYEN GIA THO</t>
  </si>
  <si>
    <t>グエン　ジャ　トー</t>
  </si>
  <si>
    <t>HOANG TRUNG HIEU</t>
  </si>
  <si>
    <t>ホアン　ツーン　ヒエウ</t>
  </si>
  <si>
    <t>DO VAN HIEP</t>
  </si>
  <si>
    <t>ド　ヴァン　ヒエップ</t>
  </si>
  <si>
    <t>bee hive resindece Ⅲ201</t>
    <phoneticPr fontId="2"/>
  </si>
  <si>
    <t>VAN DUC NHIEN</t>
  </si>
  <si>
    <t>ヴァン　ドゥック　ニエン</t>
  </si>
  <si>
    <t>NGUYEN CONG THANH</t>
  </si>
  <si>
    <t>グエン　コン　タイン</t>
  </si>
  <si>
    <t>DANG TRONG BA</t>
  </si>
  <si>
    <t>ダン　チョン　バ</t>
  </si>
  <si>
    <t>花水木Ｃ</t>
    <rPh sb="0" eb="1">
      <t>ハナ</t>
    </rPh>
    <rPh sb="1" eb="2">
      <t>ミズ</t>
    </rPh>
    <rPh sb="2" eb="3">
      <t>モク</t>
    </rPh>
    <phoneticPr fontId="2"/>
  </si>
  <si>
    <t>タイ　ヴァン　フン</t>
  </si>
  <si>
    <t>NGUYEN THANH LONG</t>
  </si>
  <si>
    <t>グエン　タイン　ロン</t>
  </si>
  <si>
    <t>ライフコア119－301</t>
    <phoneticPr fontId="2"/>
  </si>
  <si>
    <t>NGUYEN VAN QUY</t>
  </si>
  <si>
    <t>グエン　ヴァン　クイ</t>
  </si>
  <si>
    <t>NGUYEN NGOC THANH</t>
  </si>
  <si>
    <t>グエン　ゴック　タイン</t>
  </si>
  <si>
    <t>ライフコア119－307</t>
    <phoneticPr fontId="2"/>
  </si>
  <si>
    <t>LE VAN HIEU</t>
  </si>
  <si>
    <t>レー　ヴァン　ヒエウ</t>
  </si>
  <si>
    <t>8月～奥さんと</t>
    <rPh sb="1" eb="2">
      <t>ガツ</t>
    </rPh>
    <rPh sb="3" eb="4">
      <t>オク</t>
    </rPh>
    <phoneticPr fontId="2"/>
  </si>
  <si>
    <t>NGUYEN VAN HOI</t>
  </si>
  <si>
    <t>グエン　ヴァン　ホイ</t>
  </si>
  <si>
    <t>NGUYEN TIEN DAT</t>
  </si>
  <si>
    <t>グエン　ティエン　ダット</t>
  </si>
  <si>
    <t>LE NHI</t>
  </si>
  <si>
    <t>レー　ニー</t>
  </si>
  <si>
    <t>NGUYEN VAN MINH</t>
  </si>
  <si>
    <t>グエン　ヴァン　ミン</t>
  </si>
  <si>
    <t>３人場合</t>
    <rPh sb="1" eb="4">
      <t>ニンバアイ</t>
    </rPh>
    <phoneticPr fontId="2"/>
  </si>
  <si>
    <t>NGUYEN VAN NGOC</t>
  </si>
  <si>
    <t>グエン　ヴァン　ゴック</t>
  </si>
  <si>
    <t>チャン　ゴック　ハ</t>
  </si>
  <si>
    <t>中須賀コーポⅢ202</t>
    <phoneticPr fontId="2"/>
  </si>
  <si>
    <t>PHAM VINH QUANG</t>
  </si>
  <si>
    <t>DO DUC TRUNG</t>
  </si>
  <si>
    <t>ド　ドゥック　チュン</t>
  </si>
  <si>
    <t>LE VAN HAI</t>
  </si>
  <si>
    <t>レー　バン　ハイ</t>
  </si>
  <si>
    <t>ベルコーポ202</t>
    <phoneticPr fontId="2"/>
  </si>
  <si>
    <t>DANG VAN TAN</t>
  </si>
  <si>
    <t>ダン　バン　タン</t>
  </si>
  <si>
    <t>NGUYEN SY PHUC</t>
  </si>
  <si>
    <t>グエン　シ　フック</t>
  </si>
  <si>
    <t>ホープシティHIRO202</t>
    <phoneticPr fontId="2"/>
  </si>
  <si>
    <t>NGUYEN DUC MANH</t>
  </si>
  <si>
    <t>グエン　ドゥック　マン</t>
  </si>
  <si>
    <t>TRAN DUC CUONG</t>
  </si>
  <si>
    <t>チャン　ドゥック　クオン</t>
  </si>
  <si>
    <t>ヴィレチフォーＢ101</t>
    <phoneticPr fontId="2"/>
  </si>
  <si>
    <t>TRAN VAN THINH</t>
  </si>
  <si>
    <t>チャン　バン　ティン</t>
  </si>
  <si>
    <t>NGUYEN TRUONG AN</t>
  </si>
  <si>
    <t>グエン　チュオン　アン</t>
  </si>
  <si>
    <t>TRAN THANH VAN</t>
  </si>
  <si>
    <t>チャン　タン　バン</t>
  </si>
  <si>
    <t>BUI MINH DUC</t>
  </si>
  <si>
    <t>ブイ　ミン　ドゥック</t>
  </si>
  <si>
    <t>NGO MANH TUAN</t>
  </si>
  <si>
    <t>ゴー　マイン　トゥアン</t>
  </si>
  <si>
    <t>NGUYEN XUAN LAM</t>
  </si>
  <si>
    <t>グエン　スアン　ラム</t>
  </si>
  <si>
    <t>HA NGOC QUAN</t>
  </si>
  <si>
    <t>ハー　ゴック　クアン</t>
  </si>
  <si>
    <t>HOANG TRONG NGHIA</t>
  </si>
  <si>
    <t>ホアン　チョン　ギア</t>
  </si>
  <si>
    <t>NGUYEN TIEN THUONG</t>
  </si>
  <si>
    <t>グエン　ティエン　トゥオン</t>
  </si>
  <si>
    <t>BUI VAN DOAN</t>
  </si>
  <si>
    <t>ブイ　ヴァン　ドアン</t>
  </si>
  <si>
    <t>11月分から引く、12月15日支払い</t>
    <rPh sb="2" eb="3">
      <t>ガツ</t>
    </rPh>
    <rPh sb="3" eb="4">
      <t>ブン</t>
    </rPh>
    <rPh sb="6" eb="7">
      <t>ヒ</t>
    </rPh>
    <rPh sb="11" eb="12">
      <t>ガツ</t>
    </rPh>
    <rPh sb="14" eb="15">
      <t>ニチ</t>
    </rPh>
    <rPh sb="15" eb="17">
      <t>シハラ</t>
    </rPh>
    <phoneticPr fontId="2"/>
  </si>
  <si>
    <t>コーポ光</t>
    <rPh sb="3" eb="4">
      <t>ヒカリ</t>
    </rPh>
    <phoneticPr fontId="2"/>
  </si>
  <si>
    <t>VO MINH KHANG</t>
  </si>
  <si>
    <t>ヴォ　ミン　カン</t>
  </si>
  <si>
    <t>NGUYEN THI NGOC ANH</t>
  </si>
  <si>
    <t>グエン　ティ　ゴック　アイン</t>
  </si>
  <si>
    <t>スタッフ</t>
    <phoneticPr fontId="2"/>
  </si>
  <si>
    <t>NGUYEN THI HOAI</t>
  </si>
  <si>
    <t>グエン　ティ　ホアイ</t>
  </si>
  <si>
    <t>妙慶ハイツ202</t>
    <phoneticPr fontId="2"/>
  </si>
  <si>
    <t>グランツコート402</t>
    <phoneticPr fontId="2"/>
  </si>
  <si>
    <t>DUONG THANH TUNG</t>
  </si>
  <si>
    <t>ズオン　タイン　トゥン</t>
  </si>
  <si>
    <t>LOC TRUNG THIEN</t>
  </si>
  <si>
    <t>ロック　チュン　ティエン</t>
  </si>
  <si>
    <t>NGUYEN VAN LONG</t>
  </si>
  <si>
    <t>グエン　ヴァン　ロン</t>
  </si>
  <si>
    <t>NGUYEN THANH SANG</t>
  </si>
  <si>
    <t>グエン　タイン　サン</t>
  </si>
  <si>
    <t>LUU THANH HAI</t>
  </si>
  <si>
    <t>リュ　タイン　ハイ</t>
  </si>
  <si>
    <t>DUONG THI THANH NGUYET</t>
  </si>
  <si>
    <t>ズオン　ティ　タイン　グエット</t>
  </si>
  <si>
    <t>NGUYEN CONG DAT</t>
  </si>
  <si>
    <t>グエン　コン　ダット</t>
  </si>
  <si>
    <t>NGUYEN VAN HOAI NAM</t>
  </si>
  <si>
    <t>グエン　ヴァン　ホアイ　ナム</t>
  </si>
  <si>
    <t>DINH TRONG DUONG</t>
  </si>
  <si>
    <t>デイン　チオン　ヅオン</t>
  </si>
  <si>
    <t>NOVA PLUS Ⅰ103</t>
    <phoneticPr fontId="2"/>
  </si>
  <si>
    <t>LE VO HUU TOAN</t>
  </si>
  <si>
    <t>レー　ヴォ　フウ　トアン</t>
  </si>
  <si>
    <t>BUI XUAN DAT</t>
  </si>
  <si>
    <t>ブイ　スアン　ダット</t>
  </si>
  <si>
    <t>岡山</t>
  </si>
  <si>
    <t>LUU VAN PHUONG</t>
  </si>
  <si>
    <t>ルウ　バン　フォン</t>
  </si>
  <si>
    <t>ﾋｶﾘﾎｰﾙﾃﾞｨﾝｸﾞｽ第2ﾋﾞﾙ503</t>
    <phoneticPr fontId="2"/>
  </si>
  <si>
    <t>NGUYEN VAN CONG</t>
  </si>
  <si>
    <t>グエン　ヴァン　コン</t>
  </si>
  <si>
    <t>ダイコーマンション103</t>
    <phoneticPr fontId="2"/>
  </si>
  <si>
    <t>BUI ANH TUAN</t>
  </si>
  <si>
    <t>ブイ　アイン　トゥアン</t>
  </si>
  <si>
    <t>TRAN VAN TRUONG DUY</t>
  </si>
  <si>
    <t>チャン　ヴァン　チュオン　ズイ</t>
  </si>
  <si>
    <t>ﾌﾚｸﾞﾗﾝｽ桂A棟201号</t>
    <phoneticPr fontId="2"/>
  </si>
  <si>
    <t>PHAM VAN PHUONG</t>
  </si>
  <si>
    <t>ファム　ヴァン　フォン</t>
  </si>
  <si>
    <t>NGUYEN CONG LUONG</t>
  </si>
  <si>
    <t>グエン　コン　ルオン</t>
  </si>
  <si>
    <t>NGUYEN VAN THANH</t>
  </si>
  <si>
    <t>グエン　バン　タイン</t>
  </si>
  <si>
    <t>NGUYEN QUANG DIEU</t>
  </si>
  <si>
    <t>グエン　クアン　ジエウ</t>
  </si>
  <si>
    <t>クレール103</t>
    <phoneticPr fontId="2"/>
  </si>
  <si>
    <t>NGUYEN DUY TAN</t>
  </si>
  <si>
    <t>PHAM KHANH LINH</t>
  </si>
  <si>
    <t>ファム　カイン　リン</t>
  </si>
  <si>
    <t>LE VAN TAI</t>
  </si>
  <si>
    <t>レ　バン　タイ</t>
  </si>
  <si>
    <t>プロムナードⅡ　A102</t>
    <phoneticPr fontId="2"/>
  </si>
  <si>
    <t>プロムナードⅡ　A103</t>
    <phoneticPr fontId="2"/>
  </si>
  <si>
    <t>VU NGOC LONG</t>
  </si>
  <si>
    <t>ブ　ゴック　ロン</t>
  </si>
  <si>
    <t>NGUYEN DUY HIEU</t>
  </si>
  <si>
    <t>グエン　ズイ　ヒエウ</t>
  </si>
  <si>
    <t>NGUYEN VAN CHIEU</t>
  </si>
  <si>
    <t>グエン　ヴァン　チエウ</t>
  </si>
  <si>
    <t>NGUYEN VAN TRINH</t>
  </si>
  <si>
    <t>グエン　ヴァン　チン</t>
  </si>
  <si>
    <t>HO VAN PHUONG</t>
  </si>
  <si>
    <t>ホ　ヴァン　フォン</t>
  </si>
  <si>
    <t>DANG MAU THIEN</t>
  </si>
  <si>
    <t>ダン　マウ　ティエン</t>
  </si>
  <si>
    <t>PHAM MINH LUC</t>
  </si>
  <si>
    <t>ファム　ミン　ルック</t>
  </si>
  <si>
    <t>成広コーポ　Ⅱ202</t>
    <phoneticPr fontId="2"/>
  </si>
  <si>
    <t>成広コーポ　Ⅱ　201</t>
    <phoneticPr fontId="2"/>
  </si>
  <si>
    <t>グランデーザ215</t>
    <phoneticPr fontId="2"/>
  </si>
  <si>
    <t>海南1</t>
    <phoneticPr fontId="2"/>
  </si>
  <si>
    <t>PHAM NGOC LAM</t>
  </si>
  <si>
    <t>ファム　ゴック　ラム</t>
  </si>
  <si>
    <t>LUU THANH SON</t>
  </si>
  <si>
    <t>NGUYEN THE HUY</t>
  </si>
  <si>
    <t>グエン　テ　フィ</t>
  </si>
  <si>
    <t>TRAN QUOC KIET</t>
  </si>
  <si>
    <t>チャン　コック　キエト</t>
  </si>
  <si>
    <t>TRAN VAN TOAN</t>
  </si>
  <si>
    <t>チャン　バン　トアン</t>
  </si>
  <si>
    <t>LUU MINH HIEU</t>
  </si>
  <si>
    <t>リュ　ミン　ヒエウ</t>
  </si>
  <si>
    <t>ヴィレヂフォーＢ103</t>
    <phoneticPr fontId="2"/>
  </si>
  <si>
    <t>DO XUAN LOI</t>
  </si>
  <si>
    <t>ド　スアン　ロイ</t>
  </si>
  <si>
    <t>LE NHAT ANH</t>
  </si>
  <si>
    <t>レ　ニャット　アイン</t>
  </si>
  <si>
    <t>NGUYEN PHUONG NAM</t>
  </si>
  <si>
    <t>グエン　フォン　ナム</t>
  </si>
  <si>
    <t>bee hive residence Ⅸ202</t>
    <phoneticPr fontId="2"/>
  </si>
  <si>
    <t>LAI MINH TU</t>
  </si>
  <si>
    <t>ライ　ミン　トウ</t>
  </si>
  <si>
    <t>TRAN TRUNG KIEN</t>
  </si>
  <si>
    <t>チャン　チュン　キエン</t>
  </si>
  <si>
    <t>NGUYEN HOANG DUC</t>
  </si>
  <si>
    <t>グエン　ホアン　ドック</t>
  </si>
  <si>
    <t>HO THI NHUNG</t>
  </si>
  <si>
    <t>ホー　ティ　ニュン</t>
  </si>
  <si>
    <t>２次旋</t>
  </si>
  <si>
    <t>NGUYEN DUC HUY</t>
  </si>
  <si>
    <t>NGUYEN THI HUYNH NHU</t>
  </si>
  <si>
    <t>RINZA　PRASETIYO</t>
  </si>
  <si>
    <t>リンザ　プラセティヨ</t>
  </si>
  <si>
    <t>ALFIAN　GALIH　ABDULLAH</t>
  </si>
  <si>
    <t>アルビアン　ガリー　アブドゥルラー</t>
  </si>
  <si>
    <t>NGUYEN VU QUY</t>
  </si>
  <si>
    <t>グエン　ヴー　クイ</t>
  </si>
  <si>
    <t>アサヒフォージ</t>
  </si>
  <si>
    <t>NGUYEN HOANG PHIEN</t>
  </si>
  <si>
    <t>グエン　ホアン　フィエン</t>
  </si>
  <si>
    <t>コーリツ本社</t>
  </si>
  <si>
    <t>家賃合計</t>
    <rPh sb="0" eb="2">
      <t>ヤチン</t>
    </rPh>
    <rPh sb="2" eb="4">
      <t>ゴウケイ</t>
    </rPh>
    <phoneticPr fontId="2"/>
  </si>
  <si>
    <t>グランデーザⅡ　102</t>
    <phoneticPr fontId="2"/>
  </si>
  <si>
    <t>グランデーザⅡ　101</t>
    <phoneticPr fontId="2"/>
  </si>
  <si>
    <t>LINTANG AJI WISESA</t>
  </si>
  <si>
    <t>リンタン  アジ  ウィセサ</t>
  </si>
  <si>
    <t>NANANG ABDUL AZIS</t>
  </si>
  <si>
    <t>ナナン　アブドゥル　アジス</t>
  </si>
  <si>
    <t>ASLAM ADILA BOY NOYA</t>
  </si>
  <si>
    <t>アスラム　アディラ　ボイ ノヤ</t>
  </si>
  <si>
    <t>IRFAN FEBRIANTO</t>
  </si>
  <si>
    <t>イルファン　フェブリアント</t>
  </si>
  <si>
    <t>THOMAS ARDA KRISTIAN</t>
  </si>
  <si>
    <t>トマス　アルダ　クリスティアン</t>
  </si>
  <si>
    <t>メゾン辻山２０１より移動</t>
    <rPh sb="10" eb="12">
      <t>イドウ</t>
    </rPh>
    <phoneticPr fontId="2"/>
  </si>
  <si>
    <t>安江一軒家</t>
    <rPh sb="0" eb="2">
      <t>ヤスエ</t>
    </rPh>
    <rPh sb="2" eb="5">
      <t>イッケンヤ</t>
    </rPh>
    <phoneticPr fontId="2"/>
  </si>
  <si>
    <t>退去日</t>
  </si>
  <si>
    <t>退去日</t>
    <phoneticPr fontId="2"/>
  </si>
  <si>
    <t>4/1~24,000</t>
    <phoneticPr fontId="2"/>
  </si>
  <si>
    <t>プレジオ C202</t>
    <phoneticPr fontId="2"/>
  </si>
  <si>
    <t>十一屋304へ移動</t>
    <rPh sb="7" eb="9">
      <t>イドウ</t>
    </rPh>
    <phoneticPr fontId="2"/>
  </si>
  <si>
    <t>駐車場代　4.400</t>
    <rPh sb="0" eb="4">
      <t>チュウシャジョウダイ</t>
    </rPh>
    <phoneticPr fontId="2"/>
  </si>
  <si>
    <t>TRAN THI LE</t>
  </si>
  <si>
    <t>チャン　ティ　レ</t>
  </si>
  <si>
    <t>NGUYEN VAN TU</t>
  </si>
  <si>
    <t>グエン　バン　トゥ</t>
  </si>
  <si>
    <t>PHAM HUYNH DUC</t>
  </si>
  <si>
    <t>ファム　フィン　ドゥック</t>
  </si>
  <si>
    <t>NGUYEN TRONG DAI</t>
  </si>
  <si>
    <t>グエン　チョン　ダイ</t>
  </si>
  <si>
    <t>CHU VAN LOC</t>
  </si>
  <si>
    <t>チュ　ヴァン　ロック</t>
  </si>
  <si>
    <t>CHU VAN TIEN</t>
  </si>
  <si>
    <t>ツ　ヴァン　テイエン</t>
  </si>
  <si>
    <t>DAO THE DIEU</t>
  </si>
  <si>
    <t>ダオ　テー　ジエウ</t>
  </si>
  <si>
    <t>アサヒフォージ</t>
    <phoneticPr fontId="2"/>
  </si>
  <si>
    <t>DO DUC TUAN</t>
  </si>
  <si>
    <t>ド　ドゥック　トゥアン</t>
  </si>
  <si>
    <t>NGUYEN QUANG DAI</t>
  </si>
  <si>
    <t>グエン　クアン　ダイ</t>
  </si>
  <si>
    <t>3人の場合：20.700円</t>
    <rPh sb="1" eb="2">
      <t>ニン</t>
    </rPh>
    <rPh sb="3" eb="5">
      <t>バアイ</t>
    </rPh>
    <rPh sb="12" eb="13">
      <t>エン</t>
    </rPh>
    <phoneticPr fontId="2"/>
  </si>
  <si>
    <t>ライフィネYS C 101</t>
    <phoneticPr fontId="2"/>
  </si>
  <si>
    <t>成広矢原ｺｰﾎﾟⅥ206　　　30000+2000</t>
    <phoneticPr fontId="2"/>
  </si>
  <si>
    <t>22000,,16500</t>
    <phoneticPr fontId="2"/>
  </si>
  <si>
    <t>6/1～全額</t>
    <rPh sb="4" eb="6">
      <t>ゼンガク</t>
    </rPh>
    <phoneticPr fontId="2"/>
  </si>
  <si>
    <t>サン・ナカムラ 203</t>
    <phoneticPr fontId="2"/>
  </si>
  <si>
    <t>ラ・ボンシャス 201</t>
    <phoneticPr fontId="2"/>
  </si>
  <si>
    <t>HO VAN THICH</t>
  </si>
  <si>
    <t>ホー　ヴァン　ティック</t>
  </si>
  <si>
    <t>マレ・サランⅡ 201</t>
    <phoneticPr fontId="2"/>
  </si>
  <si>
    <t>ダン　ヴァン　ホアイ　フォン</t>
  </si>
  <si>
    <t>加藤木材</t>
    <rPh sb="0" eb="4">
      <t>カトウモクザイ</t>
    </rPh>
    <phoneticPr fontId="2"/>
  </si>
  <si>
    <t>3人の場合22.000</t>
    <rPh sb="1" eb="2">
      <t>ニン</t>
    </rPh>
    <rPh sb="3" eb="5">
      <t>バアイ</t>
    </rPh>
    <phoneticPr fontId="2"/>
  </si>
  <si>
    <t>がんたく店</t>
    <rPh sb="4" eb="5">
      <t>ミセ</t>
    </rPh>
    <phoneticPr fontId="2"/>
  </si>
  <si>
    <t>NGUYEN DANG QUANG</t>
  </si>
  <si>
    <t>グエン　ダン　クアン</t>
  </si>
  <si>
    <t>LE VAN LUONG</t>
  </si>
  <si>
    <t>レ　ヴァン　ニュン</t>
  </si>
  <si>
    <t>DANG THAI BAO</t>
  </si>
  <si>
    <t>ダン　タイ　バオ</t>
  </si>
  <si>
    <t>2LDK</t>
    <phoneticPr fontId="2"/>
  </si>
  <si>
    <t>DO TIEN LEN</t>
  </si>
  <si>
    <t>ド　ティン　レン</t>
  </si>
  <si>
    <t>TRAN XUAN KHANH TRUNG</t>
  </si>
  <si>
    <t>チャン　スアン　カイン　チュン</t>
  </si>
  <si>
    <t>デーア　アイエⅠ　201</t>
    <phoneticPr fontId="2"/>
  </si>
  <si>
    <t>金額 2人</t>
    <rPh sb="0" eb="2">
      <t>キンガク</t>
    </rPh>
    <rPh sb="4" eb="5">
      <t>ニン</t>
    </rPh>
    <phoneticPr fontId="2"/>
  </si>
  <si>
    <t>2K</t>
    <phoneticPr fontId="2"/>
  </si>
  <si>
    <t>1K</t>
    <phoneticPr fontId="2"/>
  </si>
  <si>
    <t>2DK</t>
  </si>
  <si>
    <t>2DK</t>
    <phoneticPr fontId="2"/>
  </si>
  <si>
    <t>1k</t>
    <phoneticPr fontId="2"/>
  </si>
  <si>
    <t>3K</t>
    <phoneticPr fontId="2"/>
  </si>
  <si>
    <t>3LDK</t>
    <phoneticPr fontId="2"/>
  </si>
  <si>
    <t>1R</t>
    <phoneticPr fontId="2"/>
  </si>
  <si>
    <t>1DK</t>
    <phoneticPr fontId="2"/>
  </si>
  <si>
    <t>金額</t>
    <phoneticPr fontId="2"/>
  </si>
  <si>
    <t>5DK</t>
    <phoneticPr fontId="2"/>
  </si>
  <si>
    <t>ｱﾄﾚA棟101</t>
    <phoneticPr fontId="2"/>
  </si>
  <si>
    <t>4DK</t>
    <phoneticPr fontId="2"/>
  </si>
  <si>
    <t>6LDK</t>
    <phoneticPr fontId="2"/>
  </si>
  <si>
    <t>5LDK</t>
    <phoneticPr fontId="2"/>
  </si>
  <si>
    <t>金額3人場合</t>
    <rPh sb="0" eb="2">
      <t>キンガク</t>
    </rPh>
    <rPh sb="3" eb="4">
      <t>ニン</t>
    </rPh>
    <rPh sb="4" eb="6">
      <t>バアイ</t>
    </rPh>
    <phoneticPr fontId="2"/>
  </si>
  <si>
    <t>３ＤＫ</t>
    <phoneticPr fontId="2"/>
  </si>
  <si>
    <t>２DK</t>
    <phoneticPr fontId="2"/>
  </si>
  <si>
    <t>金額2人場合</t>
    <rPh sb="0" eb="2">
      <t>キンガク</t>
    </rPh>
    <rPh sb="3" eb="4">
      <t>ニン</t>
    </rPh>
    <rPh sb="4" eb="6">
      <t>バアイ</t>
    </rPh>
    <phoneticPr fontId="2"/>
  </si>
  <si>
    <t>３DK</t>
    <phoneticPr fontId="2"/>
  </si>
  <si>
    <t>シャン・ド・フルール 103</t>
    <phoneticPr fontId="2"/>
  </si>
  <si>
    <t>NGUYEN HAI BANG</t>
  </si>
  <si>
    <t>グエン　ハイ　バン</t>
  </si>
  <si>
    <t>VU DINH HIEU</t>
  </si>
  <si>
    <t>ヴー　ディン　ヒエウ</t>
  </si>
  <si>
    <t>チャン　ヴィエット　ホアン</t>
  </si>
  <si>
    <t>ファン　ヴァン　クイ</t>
  </si>
  <si>
    <t>TRAN VIET HOANG</t>
  </si>
  <si>
    <t>NGUYEN DINH BAC</t>
  </si>
  <si>
    <t>グエン　ディン　バック</t>
  </si>
  <si>
    <t>LE MINH TUAN</t>
  </si>
  <si>
    <t>レー　ミン　トゥアン</t>
  </si>
  <si>
    <t>TRAN THI LE QUYEN</t>
  </si>
  <si>
    <t>チャン　テイ　レー　クエン</t>
  </si>
  <si>
    <t>TRAN HUY HOANG</t>
  </si>
  <si>
    <t>チャン　フィ　ホアン</t>
  </si>
  <si>
    <t>HOANG TUAN ANH</t>
  </si>
  <si>
    <t>ホアン　トゥアン　アイン</t>
  </si>
  <si>
    <t>NGUYEN PHUONG CUONG</t>
  </si>
  <si>
    <t>HOANG VAN TRUONG</t>
  </si>
  <si>
    <t>ホアン　ヴァン　チュオン</t>
  </si>
  <si>
    <t>NGUYEN DUYEN LAM</t>
  </si>
  <si>
    <t>グエン　ズエン　ラム</t>
  </si>
  <si>
    <t>グエン　ドゥック　マイン</t>
  </si>
  <si>
    <t>中須賀コーポⅢ　205</t>
    <phoneticPr fontId="2"/>
  </si>
  <si>
    <t>2DK</t>
    <phoneticPr fontId="9"/>
  </si>
  <si>
    <t>名義に変更</t>
    <rPh sb="0" eb="2">
      <t>メイギ</t>
    </rPh>
    <rPh sb="3" eb="5">
      <t>ヘンコウ</t>
    </rPh>
    <phoneticPr fontId="9"/>
  </si>
  <si>
    <t>契約家賃</t>
    <rPh sb="0" eb="2">
      <t>ケイヤク</t>
    </rPh>
    <rPh sb="2" eb="4">
      <t>ヤチン</t>
    </rPh>
    <phoneticPr fontId="9"/>
  </si>
  <si>
    <t>契約家賃</t>
    <rPh sb="0" eb="4">
      <t>ケイヤクヤチン</t>
    </rPh>
    <phoneticPr fontId="9"/>
  </si>
  <si>
    <t>12/13解約予定</t>
    <rPh sb="5" eb="7">
      <t>カイヤク</t>
    </rPh>
    <rPh sb="7" eb="9">
      <t>ヨテイ</t>
    </rPh>
    <phoneticPr fontId="9"/>
  </si>
  <si>
    <t>個人</t>
    <rPh sb="0" eb="2">
      <t>コジン</t>
    </rPh>
    <phoneticPr fontId="9"/>
  </si>
  <si>
    <t>契約家賃</t>
    <phoneticPr fontId="9"/>
  </si>
  <si>
    <t>※2024.11.30解約</t>
  </si>
  <si>
    <t>解約？？</t>
    <rPh sb="0" eb="2">
      <t>カイヤク</t>
    </rPh>
    <phoneticPr fontId="9"/>
  </si>
  <si>
    <t>※2024.11.30解約</t>
    <phoneticPr fontId="9"/>
  </si>
  <si>
    <t>グランデーザ109</t>
    <phoneticPr fontId="2"/>
  </si>
  <si>
    <t>解約？</t>
    <rPh sb="0" eb="2">
      <t>カイヤク</t>
    </rPh>
    <phoneticPr fontId="9"/>
  </si>
  <si>
    <t>12/13解約</t>
    <rPh sb="5" eb="7">
      <t>カイヤク</t>
    </rPh>
    <phoneticPr fontId="9"/>
  </si>
  <si>
    <t>12/14解約</t>
    <rPh sb="5" eb="7">
      <t>カイヤク</t>
    </rPh>
    <phoneticPr fontId="9"/>
  </si>
  <si>
    <t>12/16解約</t>
    <rPh sb="5" eb="7">
      <t>カイヤク</t>
    </rPh>
    <phoneticPr fontId="9"/>
  </si>
  <si>
    <t>？？</t>
    <phoneticPr fontId="2"/>
  </si>
  <si>
    <t>駐車場代4400円含</t>
    <rPh sb="0" eb="3">
      <t>チュウシャジョウ</t>
    </rPh>
    <rPh sb="3" eb="4">
      <t>ダイ</t>
    </rPh>
    <rPh sb="8" eb="9">
      <t>エン</t>
    </rPh>
    <rPh sb="9" eb="10">
      <t>ガン</t>
    </rPh>
    <phoneticPr fontId="9"/>
  </si>
  <si>
    <t>駐車場代4400円含</t>
    <rPh sb="0" eb="3">
      <t>チュウシャジョウ</t>
    </rPh>
    <rPh sb="3" eb="4">
      <t>ダイ</t>
    </rPh>
    <rPh sb="8" eb="9">
      <t>エン</t>
    </rPh>
    <rPh sb="9" eb="10">
      <t>フク</t>
    </rPh>
    <phoneticPr fontId="2"/>
  </si>
  <si>
    <t>駐車場代3300円含</t>
    <rPh sb="0" eb="4">
      <t>チュウシャジョウダイ</t>
    </rPh>
    <rPh sb="8" eb="9">
      <t>エン</t>
    </rPh>
    <rPh sb="9" eb="10">
      <t>フク</t>
    </rPh>
    <phoneticPr fontId="9"/>
  </si>
  <si>
    <t>メロディーハイム横入川A101</t>
    <phoneticPr fontId="9"/>
  </si>
  <si>
    <t>水道代2000円含</t>
    <rPh sb="0" eb="2">
      <t>スイドウ</t>
    </rPh>
    <rPh sb="2" eb="3">
      <t>ダイ</t>
    </rPh>
    <rPh sb="7" eb="8">
      <t>エン</t>
    </rPh>
    <rPh sb="8" eb="9">
      <t>フク</t>
    </rPh>
    <phoneticPr fontId="9"/>
  </si>
  <si>
    <t>駐車場代3000円含、水道代3000円外</t>
    <rPh sb="0" eb="4">
      <t>チュウシャジョウダイ</t>
    </rPh>
    <rPh sb="8" eb="9">
      <t>エン</t>
    </rPh>
    <rPh sb="9" eb="10">
      <t>フク</t>
    </rPh>
    <rPh sb="11" eb="14">
      <t>スイドウダイ</t>
    </rPh>
    <rPh sb="18" eb="19">
      <t>エン</t>
    </rPh>
    <rPh sb="19" eb="20">
      <t>ソト</t>
    </rPh>
    <phoneticPr fontId="9"/>
  </si>
  <si>
    <t>2/12～一人なので3万８千円サウさんのメモより</t>
    <phoneticPr fontId="9"/>
  </si>
  <si>
    <t>契約家賃</t>
    <rPh sb="0" eb="2">
      <t>ケイヤク</t>
    </rPh>
    <rPh sb="2" eb="4">
      <t>ヤチン</t>
    </rPh>
    <phoneticPr fontId="2"/>
  </si>
  <si>
    <t>設定家賃</t>
    <rPh sb="0" eb="2">
      <t>セッテイ</t>
    </rPh>
    <rPh sb="2" eb="4">
      <t>ヤチン</t>
    </rPh>
    <phoneticPr fontId="2"/>
  </si>
  <si>
    <t>三幸</t>
    <rPh sb="0" eb="2">
      <t>サンコウ</t>
    </rPh>
    <phoneticPr fontId="2"/>
  </si>
  <si>
    <t>川原鉄工所</t>
    <rPh sb="0" eb="5">
      <t>カワハラテッコウショ</t>
    </rPh>
    <phoneticPr fontId="2"/>
  </si>
  <si>
    <t>FE鹿児島</t>
    <rPh sb="2" eb="5">
      <t>カゴシマ</t>
    </rPh>
    <phoneticPr fontId="2"/>
  </si>
  <si>
    <t>高雄工業
岡山事業所</t>
    <rPh sb="0" eb="2">
      <t>タカオ</t>
    </rPh>
    <rPh sb="2" eb="4">
      <t>コウギョウ</t>
    </rPh>
    <rPh sb="5" eb="7">
      <t>オカヤマ</t>
    </rPh>
    <rPh sb="7" eb="10">
      <t>ジギョウショ</t>
    </rPh>
    <phoneticPr fontId="2"/>
  </si>
  <si>
    <t>六甲電子</t>
    <rPh sb="0" eb="4">
      <t>ロッコウデンシ</t>
    </rPh>
    <phoneticPr fontId="2"/>
  </si>
  <si>
    <t>ワーク</t>
    <phoneticPr fontId="2"/>
  </si>
  <si>
    <t>ユアサ新城</t>
    <rPh sb="3" eb="5">
      <t>シンシロ</t>
    </rPh>
    <phoneticPr fontId="2"/>
  </si>
  <si>
    <t>瑞陵</t>
    <rPh sb="0" eb="2">
      <t>ズイリョウ</t>
    </rPh>
    <phoneticPr fontId="2"/>
  </si>
  <si>
    <t>コリーツ</t>
    <phoneticPr fontId="2"/>
  </si>
  <si>
    <t>??</t>
    <phoneticPr fontId="2"/>
  </si>
  <si>
    <t>間取</t>
    <rPh sb="0" eb="2">
      <t>マドリ</t>
    </rPh>
    <phoneticPr fontId="2"/>
  </si>
  <si>
    <t>利益</t>
    <rPh sb="0" eb="2">
      <t>リエキ</t>
    </rPh>
    <phoneticPr fontId="2"/>
  </si>
  <si>
    <t>備考</t>
    <rPh sb="0" eb="2">
      <t>ビコウ</t>
    </rPh>
    <phoneticPr fontId="2"/>
  </si>
  <si>
    <t>NO</t>
    <phoneticPr fontId="2"/>
  </si>
  <si>
    <t>地区</t>
    <rPh sb="0" eb="2">
      <t>チク</t>
    </rPh>
    <phoneticPr fontId="2"/>
  </si>
  <si>
    <t>11/15支給家賃控除</t>
    <rPh sb="5" eb="7">
      <t>シキュウ</t>
    </rPh>
    <rPh sb="7" eb="9">
      <t>ヤチン</t>
    </rPh>
    <rPh sb="9" eb="11">
      <t>コウジョ</t>
    </rPh>
    <phoneticPr fontId="2"/>
  </si>
  <si>
    <t>高雄工業　愛知事業所</t>
    <rPh sb="0" eb="2">
      <t>タカオ</t>
    </rPh>
    <rPh sb="2" eb="4">
      <t>コウギョウ</t>
    </rPh>
    <rPh sb="5" eb="7">
      <t>アイチ</t>
    </rPh>
    <rPh sb="7" eb="10">
      <t>ジギョウショ</t>
    </rPh>
    <phoneticPr fontId="2"/>
  </si>
  <si>
    <t>高雄工業　静岡事業所</t>
    <rPh sb="0" eb="2">
      <t>タカオ</t>
    </rPh>
    <rPh sb="2" eb="4">
      <t>コウギョウ</t>
    </rPh>
    <rPh sb="5" eb="7">
      <t>シズオカ</t>
    </rPh>
    <rPh sb="7" eb="10">
      <t>ジギョウショ</t>
    </rPh>
    <phoneticPr fontId="2"/>
  </si>
  <si>
    <t>高雄工業　岡山事業所</t>
    <rPh sb="0" eb="2">
      <t>タカオ</t>
    </rPh>
    <rPh sb="2" eb="4">
      <t>コウギョウ</t>
    </rPh>
    <rPh sb="5" eb="7">
      <t>オカヤマ</t>
    </rPh>
    <rPh sb="7" eb="10">
      <t>ジギョウショ</t>
    </rPh>
    <phoneticPr fontId="2"/>
  </si>
  <si>
    <t>11/15支給家賃控除</t>
    <rPh sb="5" eb="7">
      <t>シキュウ</t>
    </rPh>
    <rPh sb="7" eb="11">
      <t>ヤチンコウジョ</t>
    </rPh>
    <phoneticPr fontId="2"/>
  </si>
  <si>
    <t>FE鹿児島・岡山</t>
    <rPh sb="2" eb="5">
      <t>カゴシマ</t>
    </rPh>
    <rPh sb="6" eb="8">
      <t>オカヤマ</t>
    </rPh>
    <phoneticPr fontId="2"/>
  </si>
  <si>
    <t>11月家賃利益</t>
    <rPh sb="2" eb="3">
      <t>ガツ</t>
    </rPh>
    <rPh sb="3" eb="5">
      <t>ヤチン</t>
    </rPh>
    <rPh sb="5" eb="7">
      <t>リエキ</t>
    </rPh>
    <phoneticPr fontId="2"/>
  </si>
  <si>
    <t>12/13解約予定</t>
    <rPh sb="5" eb="7">
      <t>カイヤク</t>
    </rPh>
    <rPh sb="7" eb="9">
      <t>ヨテイ</t>
    </rPh>
    <phoneticPr fontId="2"/>
  </si>
  <si>
    <t>入居人数</t>
    <rPh sb="0" eb="2">
      <t>ニュウキョ</t>
    </rPh>
    <rPh sb="2" eb="4">
      <t>ニンズウ</t>
    </rPh>
    <phoneticPr fontId="2"/>
  </si>
  <si>
    <t>個人</t>
    <rPh sb="0" eb="2">
      <t>コジン</t>
    </rPh>
    <phoneticPr fontId="2"/>
  </si>
  <si>
    <t>夫婦</t>
  </si>
  <si>
    <t>夫婦</t>
    <phoneticPr fontId="2"/>
  </si>
  <si>
    <t>1空</t>
  </si>
  <si>
    <t>1空</t>
    <rPh sb="1" eb="2">
      <t>アキ</t>
    </rPh>
    <phoneticPr fontId="2"/>
  </si>
  <si>
    <t>12月末1空</t>
    <rPh sb="2" eb="3">
      <t>ガツ</t>
    </rPh>
    <rPh sb="3" eb="4">
      <t>マツ</t>
    </rPh>
    <rPh sb="5" eb="6">
      <t>アキ</t>
    </rPh>
    <phoneticPr fontId="2"/>
  </si>
  <si>
    <t>11月末1空</t>
    <rPh sb="2" eb="3">
      <t>ガツ</t>
    </rPh>
    <rPh sb="3" eb="4">
      <t>マツ</t>
    </rPh>
    <rPh sb="5" eb="6">
      <t>アキ</t>
    </rPh>
    <phoneticPr fontId="2"/>
  </si>
  <si>
    <t>空状況</t>
    <rPh sb="0" eb="1">
      <t>アキ</t>
    </rPh>
    <rPh sb="1" eb="3">
      <t>ジョウキョウ</t>
    </rPh>
    <phoneticPr fontId="2"/>
  </si>
  <si>
    <t>スアルディン</t>
    <phoneticPr fontId="2"/>
  </si>
  <si>
    <t>ヤッセル</t>
    <phoneticPr fontId="2"/>
  </si>
  <si>
    <t>ｸﾞｴﾝ･ｳﾞｧﾝ･ﾊｵ47.000円</t>
    <rPh sb="18" eb="19">
      <t>エン</t>
    </rPh>
    <phoneticPr fontId="2"/>
  </si>
  <si>
    <t>高雄工業
愛知事業所</t>
    <rPh sb="0" eb="2">
      <t>タカオ</t>
    </rPh>
    <rPh sb="2" eb="3">
      <t>コウ</t>
    </rPh>
    <rPh sb="5" eb="7">
      <t>アイチ</t>
    </rPh>
    <rPh sb="7" eb="10">
      <t>ジギョウショ</t>
    </rPh>
    <phoneticPr fontId="2"/>
  </si>
  <si>
    <t>高雄工
静岡事業所</t>
    <rPh sb="0" eb="2">
      <t>タカオ</t>
    </rPh>
    <rPh sb="2" eb="3">
      <t>コウ</t>
    </rPh>
    <rPh sb="4" eb="6">
      <t>シズオカ</t>
    </rPh>
    <rPh sb="6" eb="9">
      <t>ジギョウショ</t>
    </rPh>
    <phoneticPr fontId="2"/>
  </si>
  <si>
    <t>グエンコンハウ</t>
  </si>
  <si>
    <t>一軒家金川640</t>
    <rPh sb="0" eb="3">
      <t>イッケンヤ</t>
    </rPh>
    <rPh sb="3" eb="5">
      <t>カナガワ</t>
    </rPh>
    <phoneticPr fontId="2"/>
  </si>
  <si>
    <t>ﾋｶﾘﾎｰﾙﾃﾞｨﾝｸﾞｽ第2ﾋﾞﾙ</t>
  </si>
  <si>
    <t>503</t>
  </si>
  <si>
    <t>ﾏ･ﾒｿﾞﾝ徳川</t>
  </si>
  <si>
    <t>202</t>
  </si>
  <si>
    <t>妙慶ﾊｲﾂ</t>
  </si>
  <si>
    <t>ﾊｲﾂ長嶋</t>
  </si>
  <si>
    <t>201</t>
  </si>
  <si>
    <t>ﾌｫｰﾌﾞﾙ神池</t>
  </si>
  <si>
    <t>102</t>
  </si>
  <si>
    <t>ﾚｼﾞｪﾝﾄﾞK</t>
  </si>
  <si>
    <t>301</t>
  </si>
  <si>
    <t>203</t>
  </si>
  <si>
    <t>204</t>
  </si>
  <si>
    <t>304</t>
  </si>
  <si>
    <t>305</t>
  </si>
  <si>
    <t>十一屋</t>
  </si>
  <si>
    <t>ｼﾙﾊﾞｰﾊｲﾑ名四</t>
  </si>
  <si>
    <t>ﾀﾞｲｺｳﾏﾝｼｮﾝ</t>
  </si>
  <si>
    <t>302</t>
  </si>
  <si>
    <t>ﾀﾞｲｺｰﾏﾝｼｮﾝ</t>
  </si>
  <si>
    <t>103</t>
  </si>
  <si>
    <t>ﾍﾞﾙﾒｿﾞﾝ大山</t>
  </si>
  <si>
    <t>211</t>
  </si>
  <si>
    <t>飯田第二ｺｰﾎﾟ</t>
  </si>
  <si>
    <t>CASA弥冨A棟</t>
  </si>
  <si>
    <t>CASA弥冨A</t>
  </si>
  <si>
    <t>105</t>
  </si>
  <si>
    <t>CASA弥冨B棟</t>
  </si>
  <si>
    <t>ｱﾄﾚA棟</t>
  </si>
  <si>
    <t>106</t>
  </si>
  <si>
    <t>101</t>
  </si>
  <si>
    <t>ｱﾄﾚB棟</t>
  </si>
  <si>
    <t>205</t>
  </si>
  <si>
    <t>ｲｰｽﾄｺｰﾄ</t>
  </si>
  <si>
    <t>ｸﾞﾗﾝﾂｺｰﾄ</t>
  </si>
  <si>
    <t>402</t>
  </si>
  <si>
    <t>ｸﾞﾘｰﾝﾊｲﾂA-</t>
  </si>
  <si>
    <t>ｺﾝﾂｪﾙﾊｳｽB棟</t>
  </si>
  <si>
    <t>ｺﾝﾂｪﾙﾊｳｽⅡD棟</t>
  </si>
  <si>
    <t>ｾﾗﾀｳﾝ弥冨B棟</t>
  </si>
  <si>
    <t>ｾﾗﾀｳﾝ弥冨C棟</t>
  </si>
  <si>
    <t>ﾊﾟｰｸﾀｳﾝ平島D</t>
  </si>
  <si>
    <t>B-1</t>
  </si>
  <si>
    <t>ﾊｯﾋﾟｰｳｨﾝ長尾</t>
  </si>
  <si>
    <t>ﾋﾞｰﾌﾘｰ8</t>
  </si>
  <si>
    <t>ﾌﾚｸﾞﾗﾝｽ桂A棟</t>
  </si>
  <si>
    <t>ﾌﾟﾚｼﾞｵC</t>
  </si>
  <si>
    <t>ﾗｲﾌｨﾈYSC</t>
  </si>
  <si>
    <t>ﾗｲﾌｺｱ119-</t>
  </si>
  <si>
    <t>306</t>
  </si>
  <si>
    <t>307</t>
  </si>
  <si>
    <t>ﾚﾌﾞﾗﾝｶﾐｰﾘｱB</t>
  </si>
  <si>
    <t>beehiveresidenceⅨ</t>
  </si>
  <si>
    <t>beehiveresindeceⅢ</t>
  </si>
  <si>
    <t>beehiveresindeceⅣ</t>
  </si>
  <si>
    <t>beehiveresindeceⅦ</t>
  </si>
  <si>
    <t>ｱｳﾛｰﾗⅡ</t>
  </si>
  <si>
    <t>ｱｻﾋﾒｲﾄ</t>
  </si>
  <si>
    <t>ｱﾙｺ･ﾊﾞﾚｰﾉ</t>
  </si>
  <si>
    <t>ヴｨﾚﾁﾌｫｰB</t>
  </si>
  <si>
    <t>ヴｨﾚﾁﾞﾌｫｰB</t>
  </si>
  <si>
    <t>ｸﾚｰﾙ</t>
  </si>
  <si>
    <t>ｼｬﾝ･ﾄﾞ･ﾌﾙｰﾙ</t>
  </si>
  <si>
    <t>ｽﾋﾟﾘｱⅠ</t>
  </si>
  <si>
    <t>鶴松</t>
  </si>
  <si>
    <t>ﾃﾞｲﾌﾞﾚｲｸ</t>
  </si>
  <si>
    <t>406</t>
  </si>
  <si>
    <t>ﾊｰﾓﾆｰ</t>
  </si>
  <si>
    <t>ﾌｨﾌﾃｨⅡ</t>
  </si>
  <si>
    <t>ﾌｪﾘｽA</t>
  </si>
  <si>
    <t>ﾌﾟﾁｾｿﾞﾝ</t>
  </si>
  <si>
    <t>ﾌﾟﾛﾑﾅｰﾄﾞⅡA</t>
  </si>
  <si>
    <t>ﾍﾞﾙｺｰﾎﾟ</t>
  </si>
  <si>
    <t>ﾎｰﾌﾟｼﾃｨHIRO</t>
  </si>
  <si>
    <t>ﾗﾌｨｰﾈ久能</t>
  </si>
  <si>
    <t>303</t>
  </si>
  <si>
    <t>ﾛｼﾞｭﾏﾝ久能</t>
  </si>
  <si>
    <t>中須賀ｺｰﾎﾟⅢ</t>
  </si>
  <si>
    <t>206</t>
  </si>
  <si>
    <t>中須賀ｺｰﾎﾟⅡ</t>
  </si>
  <si>
    <t>208</t>
  </si>
  <si>
    <t>中須賀ｺｰﾎﾟⅠ</t>
  </si>
  <si>
    <t>成広矢原ｺｰﾎﾟⅥ</t>
  </si>
  <si>
    <t>成広ｺｰﾎﾟⅠ</t>
  </si>
  <si>
    <t>成広ｺｰﾎﾟⅡ</t>
  </si>
  <si>
    <t>ﾆｭｰｴﾙﾃﾞｨﾑ小西A</t>
  </si>
  <si>
    <t>成広矢原ｺｰﾎﾟⅦ</t>
  </si>
  <si>
    <t>成広矢原ｺｰﾎﾟⅤ</t>
  </si>
  <si>
    <t>成広矢原ｺｰﾎﾟⅢ</t>
  </si>
  <si>
    <t>107</t>
  </si>
  <si>
    <t>成広矢原ｺｰﾎﾟⅠ-</t>
  </si>
  <si>
    <t>207</t>
  </si>
  <si>
    <t>成広矢原ｺｰﾎﾟⅡ</t>
  </si>
  <si>
    <t>成広矢原ｺｰﾎﾟⅠ</t>
  </si>
  <si>
    <t>新矢原ｺｰﾎ</t>
  </si>
  <si>
    <t>ﾟ1F</t>
  </si>
  <si>
    <t>ｸﾞﾗﾝﾃﾞｰｻﾞⅡ</t>
  </si>
  <si>
    <t>ｸﾞﾗﾝﾃﾞｰｻﾞ</t>
  </si>
  <si>
    <t>215</t>
  </si>
  <si>
    <t>110</t>
  </si>
  <si>
    <t>109</t>
  </si>
  <si>
    <t>尾鉢第3住</t>
  </si>
  <si>
    <t>FLORENCE1997</t>
  </si>
  <si>
    <t>NOVAPLUSⅠ</t>
  </si>
  <si>
    <t>ヴｨﾗｺｰﾄ田園</t>
  </si>
  <si>
    <t>403</t>
  </si>
  <si>
    <t>ｺﾞｰﾙﾄﾞﾊｲﾂC</t>
  </si>
  <si>
    <t>ｼｬﾙﾏﾝ苗代</t>
  </si>
  <si>
    <t>ﾄﾞﾐｰﾙ神明B-</t>
  </si>
  <si>
    <t>ﾆｭｰﾊﾋﾟﾈｽ</t>
  </si>
  <si>
    <t>古橋ﾏﾝｼｮﾝ</t>
  </si>
  <si>
    <t>ﾒｿﾞﾝﾄﾞﾗﾊﾟﾝⅡ</t>
  </si>
  <si>
    <t>ﾒｿﾞﾝﾊﾟｰｸｱﾍﾞﾆｭｰ</t>
  </si>
  <si>
    <t>ﾙﾐｴｰﾙ上池</t>
  </si>
  <si>
    <t>ｱﾒﾆﾃｨﾊｲﾂ田鳥</t>
  </si>
  <si>
    <t>ｱﾙｿｰﾚC</t>
  </si>
  <si>
    <t>ｱﾙｿｰﾚD</t>
  </si>
  <si>
    <t>ﾃﾞｰｱｱｲｴⅠ</t>
  </si>
  <si>
    <t>ﾏﾚ･ｻﾗﾝⅡ</t>
  </si>
  <si>
    <t>ﾒｿﾞﾝ･ﾎﾟﾌﾟﾘｶ</t>
  </si>
  <si>
    <t>ﾒﾛﾃﾞｨｰﾊｲﾑ横入川A</t>
  </si>
  <si>
    <t>ﾛｼﾞｭﾏﾝ千希A</t>
  </si>
  <si>
    <t>ｼｬﾙﾑ三田</t>
  </si>
  <si>
    <t>岩本ﾏﾝｼｮﾝ</t>
  </si>
  <si>
    <t>西住之江ﾊｲﾂ</t>
  </si>
  <si>
    <t>ﾊｲﾂ165壬生B</t>
  </si>
  <si>
    <t>高安一番館</t>
  </si>
  <si>
    <t>ｸﾞﾚｲｽ旭A</t>
  </si>
  <si>
    <t>ﾌｵﾝﾃｲﾝ宮前</t>
  </si>
  <si>
    <t>ｻﾝ･ﾅｶﾑﾗ</t>
  </si>
  <si>
    <t>ｽｶｲﾋﾞｰﾝｽﾞ柏原</t>
  </si>
  <si>
    <t>ﾊﾞｰｸｻｲﾄﾞｽｽﾞｷ</t>
  </si>
  <si>
    <t>ﾊﾟｰｸｻｲﾄﾞ泉</t>
  </si>
  <si>
    <t>ﾊｲﾂｱｲｶ味美</t>
  </si>
  <si>
    <t>ﾌﾚｸﾞﾗﾝｽｳｼ</t>
  </si>
  <si>
    <t>ﾒｿﾞﾝ辻山</t>
  </si>
  <si>
    <t>ﾗ･ﾎﾞﾝｼｬｽ</t>
  </si>
  <si>
    <t>ﾘﾝﾋﾟｱ長済</t>
  </si>
  <si>
    <t>A-style台金屋1-</t>
  </si>
  <si>
    <t/>
  </si>
  <si>
    <t>共和ﾌﾟﾗｻﾞﾋﾞﾙ</t>
    <phoneticPr fontId="2"/>
  </si>
  <si>
    <t>ﾊｲﾂ大富</t>
    <phoneticPr fontId="2"/>
  </si>
  <si>
    <t>ﾌｨﾌﾃｨⅠ</t>
    <phoneticPr fontId="2"/>
  </si>
  <si>
    <t>ﾌﾟﾁｾｿﾞﾝ</t>
    <phoneticPr fontId="2"/>
  </si>
  <si>
    <t>各務ﾊｲﾂ</t>
    <phoneticPr fontId="2"/>
  </si>
  <si>
    <t>4J</t>
    <phoneticPr fontId="2"/>
  </si>
  <si>
    <t>6A</t>
    <phoneticPr fontId="2"/>
  </si>
  <si>
    <t>4I</t>
    <phoneticPr fontId="2"/>
  </si>
  <si>
    <t>4H</t>
    <phoneticPr fontId="2"/>
  </si>
  <si>
    <t>4E</t>
    <phoneticPr fontId="2"/>
  </si>
  <si>
    <t>3F</t>
    <phoneticPr fontId="2"/>
  </si>
  <si>
    <t>3D</t>
    <phoneticPr fontId="2"/>
  </si>
  <si>
    <t>3E</t>
    <phoneticPr fontId="2"/>
  </si>
  <si>
    <t>ﾍﾞﾙﾄﾋﾟｱ住吉</t>
    <phoneticPr fontId="2"/>
  </si>
  <si>
    <t>ｻﾝﾊﾟﾃｨｰｸⅡ</t>
    <phoneticPr fontId="2"/>
  </si>
  <si>
    <t>3C</t>
    <phoneticPr fontId="2"/>
  </si>
  <si>
    <t>アパート名</t>
    <rPh sb="4" eb="5">
      <t>メイ</t>
    </rPh>
    <phoneticPr fontId="2"/>
  </si>
  <si>
    <t>部屋番号</t>
    <rPh sb="0" eb="4">
      <t>ヘヤバンゴウ</t>
    </rPh>
    <phoneticPr fontId="2"/>
  </si>
  <si>
    <t>イパール　フェブリ　ナルタ 派遣社員</t>
    <rPh sb="14" eb="18">
      <t>ハケンシャイン</t>
    </rPh>
    <phoneticPr fontId="2"/>
  </si>
  <si>
    <t>ブイ　ヅック　カン</t>
    <phoneticPr fontId="2"/>
  </si>
  <si>
    <t>モチャマド　ニザル　アワルディン派遣社員</t>
    <rPh sb="16" eb="20">
      <t>ハケンシャイン</t>
    </rPh>
    <phoneticPr fontId="2"/>
  </si>
  <si>
    <t>イルハム派遣社員</t>
    <rPh sb="4" eb="8">
      <t>ハケンシャイン</t>
    </rPh>
    <phoneticPr fontId="2"/>
  </si>
  <si>
    <t>中須賀ｺｰﾎﾟⅢ</t>
    <phoneticPr fontId="2"/>
  </si>
  <si>
    <t>ダン　ズイ　ビンに38.000円を控除してる</t>
    <rPh sb="15" eb="16">
      <t>エン</t>
    </rPh>
    <rPh sb="17" eb="19">
      <t>コウジョ</t>
    </rPh>
    <phoneticPr fontId="2"/>
  </si>
  <si>
    <t>1空？？</t>
    <rPh sb="1" eb="2">
      <t>アキ</t>
    </rPh>
    <phoneticPr fontId="2"/>
  </si>
  <si>
    <t>宮前ﾂｲﾝﾊｲﾂA</t>
    <phoneticPr fontId="2"/>
  </si>
  <si>
    <t>1空</t>
    <phoneticPr fontId="2"/>
  </si>
  <si>
    <t>2空</t>
    <rPh sb="1" eb="2">
      <t>アキ</t>
    </rPh>
    <phoneticPr fontId="2"/>
  </si>
  <si>
    <t>3空</t>
    <phoneticPr fontId="2"/>
  </si>
  <si>
    <t>2空</t>
    <phoneticPr fontId="2"/>
  </si>
  <si>
    <t>物件数</t>
    <rPh sb="0" eb="2">
      <t>ブッケン</t>
    </rPh>
    <rPh sb="2" eb="3">
      <t>スウ</t>
    </rPh>
    <phoneticPr fontId="2"/>
  </si>
  <si>
    <t>PHAM BA DAI</t>
  </si>
  <si>
    <t>ファム　バ　ダイ</t>
  </si>
  <si>
    <t>NGUYEN THANH VAN</t>
  </si>
  <si>
    <t>グエン　タイン　ヴァン</t>
  </si>
  <si>
    <t>LA XUAN THANG</t>
  </si>
  <si>
    <t>ラー　スアン　タン</t>
  </si>
  <si>
    <t>DO BA HOANG</t>
  </si>
  <si>
    <t>ド　バ　ホアン</t>
  </si>
  <si>
    <t>PHAM VAN NGHIA</t>
  </si>
  <si>
    <t>ファム　バン　ギア</t>
  </si>
  <si>
    <t>NGUYEN HAI LONG</t>
  </si>
  <si>
    <t>グエン　ハイ　ロン</t>
  </si>
  <si>
    <t>DINH VAN LONG</t>
  </si>
  <si>
    <t>ディン　バン　ロン</t>
  </si>
  <si>
    <t>NGUYEN HOA HOAN</t>
  </si>
  <si>
    <t>グエン　ホア　ホアン</t>
  </si>
  <si>
    <t>クオンさんよりトゥエンさんの退去費を取らないで</t>
    <rPh sb="14" eb="16">
      <t>タイキョ</t>
    </rPh>
    <rPh sb="16" eb="17">
      <t>ヒ</t>
    </rPh>
    <rPh sb="18" eb="19">
      <t>ト</t>
    </rPh>
    <phoneticPr fontId="9"/>
  </si>
  <si>
    <t>DAU VAN TRONG</t>
  </si>
  <si>
    <t>ダウ　ヴァン　チョン</t>
  </si>
  <si>
    <t>ヴォ　キム　タイン</t>
  </si>
  <si>
    <t>BUI MINH PHAP</t>
  </si>
  <si>
    <t>ブイ　ミン　ファップ</t>
  </si>
  <si>
    <t>DAM KIEN LAP</t>
  </si>
  <si>
    <t>PHAM DINH TUNG</t>
  </si>
  <si>
    <t>ファム　ディン　トゥン</t>
  </si>
  <si>
    <t>MAI THANH TUONG DUY</t>
  </si>
  <si>
    <t>マイ　タイン　チュオン　ズイ</t>
  </si>
  <si>
    <t>NGUYEN HUU NGHIA</t>
  </si>
  <si>
    <t>グエン　ヒュウ　ギア</t>
  </si>
  <si>
    <t>TRINH VAN NGOC ANH</t>
  </si>
  <si>
    <t>チン　ヴァン　ゴック　アイン</t>
  </si>
  <si>
    <t>LAI VAN SON</t>
  </si>
  <si>
    <t>ライ　ヴァン　ソン</t>
  </si>
  <si>
    <t>2/28退社予定</t>
    <rPh sb="4" eb="6">
      <t>タイシャ</t>
    </rPh>
    <rPh sb="6" eb="8">
      <t>ヨテイ</t>
    </rPh>
    <phoneticPr fontId="9"/>
  </si>
  <si>
    <t>TRAN PHAT LOI</t>
  </si>
  <si>
    <t>チャン　ファット　ロイ</t>
  </si>
  <si>
    <t>2025/2/28解約</t>
    <rPh sb="9" eb="11">
      <t>カイヤク</t>
    </rPh>
    <phoneticPr fontId="9"/>
  </si>
  <si>
    <t>CAO KHAI DI</t>
  </si>
  <si>
    <t>カオ　カイ　ジー</t>
  </si>
  <si>
    <t>TRAN QUOC CHIEN</t>
  </si>
  <si>
    <t>チャン　クオック　チエン</t>
  </si>
  <si>
    <t>BUI TIEN DAT</t>
  </si>
  <si>
    <t>ブイ　テイエン　ダット</t>
  </si>
  <si>
    <t>NGUYEN NGOC HAI</t>
  </si>
  <si>
    <t>グエン　ゴック　ハイ</t>
  </si>
  <si>
    <t>PHAM KHANH DUY</t>
  </si>
  <si>
    <t>ファム　カン　ズイ</t>
  </si>
  <si>
    <t>カナシロ　ジョルジ</t>
  </si>
  <si>
    <t>レ　ヴァン　ヒエウ</t>
  </si>
  <si>
    <t>NGO TUAN PHONG</t>
  </si>
  <si>
    <t>ゴー　トウアン　フオン</t>
  </si>
  <si>
    <t>移動</t>
    <rPh sb="0" eb="2">
      <t>イドウ</t>
    </rPh>
    <phoneticPr fontId="9"/>
  </si>
  <si>
    <t>NGUYEN VAN THUAN</t>
  </si>
  <si>
    <t>グエン　ヴァン　トゥアン</t>
  </si>
  <si>
    <t>NGUYEN VAN DUNG</t>
  </si>
  <si>
    <t>グエン　ヴァン　ズン</t>
  </si>
  <si>
    <t>HOANG BA THIEN</t>
  </si>
  <si>
    <t>ホアン　バー　ティエン</t>
  </si>
  <si>
    <t>TRAN VAN HOA</t>
  </si>
  <si>
    <t>チャン　ヴァン　ホア</t>
  </si>
  <si>
    <t>DANG DINH DUC</t>
  </si>
  <si>
    <t>ダン　ディン　ドゥック</t>
  </si>
  <si>
    <t>NGUYEN VO HUU THANG</t>
  </si>
  <si>
    <t>グエン　ヴォ　ヒュウ　タン</t>
  </si>
  <si>
    <t>2/15支給に退去費控除した</t>
    <rPh sb="4" eb="6">
      <t>シキュウ</t>
    </rPh>
    <rPh sb="7" eb="10">
      <t>タイキョヒ</t>
    </rPh>
    <rPh sb="10" eb="12">
      <t>コウジョ</t>
    </rPh>
    <phoneticPr fontId="9"/>
  </si>
  <si>
    <t>アミティ　K ⅠーB</t>
    <phoneticPr fontId="9"/>
  </si>
  <si>
    <t>NGUYEN TIEN KHOA</t>
  </si>
  <si>
    <t>グエン　ティエン　コア</t>
  </si>
  <si>
    <t>TRAN VU</t>
  </si>
  <si>
    <t>チャン　ヴ</t>
  </si>
  <si>
    <t>TRAN MINH TRUONG</t>
  </si>
  <si>
    <t>チャン　ミン　チュオン</t>
  </si>
  <si>
    <t>NONG DUC HUNG</t>
  </si>
  <si>
    <t>ノン　ドゥック　フン</t>
  </si>
  <si>
    <t>3DK</t>
    <phoneticPr fontId="9"/>
  </si>
  <si>
    <t>レインボータウンB-202</t>
    <phoneticPr fontId="2"/>
  </si>
  <si>
    <t>マックスビューティーA-102</t>
    <phoneticPr fontId="9"/>
  </si>
  <si>
    <t>マックスビューティーB-103</t>
    <phoneticPr fontId="9"/>
  </si>
  <si>
    <t>NONG VAN TINH</t>
  </si>
  <si>
    <t>ノン　ヴァン　ティン</t>
  </si>
  <si>
    <t>MAI XUAN CHAU BINH</t>
  </si>
  <si>
    <t>マイ　スアン　チャウ　ビン</t>
  </si>
  <si>
    <t>NGUYEN THAI HUNG</t>
  </si>
  <si>
    <t>グエン　タイ　フン</t>
  </si>
  <si>
    <t>TRINH LUONG QUANG</t>
  </si>
  <si>
    <t>チン　ルオン　クアン</t>
  </si>
  <si>
    <t>加藤本社へ</t>
    <rPh sb="0" eb="2">
      <t>カトウ</t>
    </rPh>
    <rPh sb="2" eb="4">
      <t>ホンシャ</t>
    </rPh>
    <phoneticPr fontId="9"/>
  </si>
  <si>
    <t>BUI VAN SON</t>
  </si>
  <si>
    <t>ブイ　ヴァン　ソン</t>
  </si>
  <si>
    <t>VU VAN BAO</t>
  </si>
  <si>
    <t>ヴ　ヴァン　バオ</t>
  </si>
  <si>
    <t>シャン・ド・フルール 101</t>
    <phoneticPr fontId="2"/>
  </si>
  <si>
    <t>NGUYEN DUY THANH</t>
  </si>
  <si>
    <t>グエン　ズイ　タイン</t>
  </si>
  <si>
    <t>NGUYEN TIEN DUNG</t>
  </si>
  <si>
    <t>グエン　ティエン　ズン</t>
  </si>
  <si>
    <t>フレグランス　ウシ２０2</t>
    <phoneticPr fontId="2"/>
  </si>
  <si>
    <t>NGUYEN DINH THANG</t>
  </si>
  <si>
    <t>グエン　ディン　タン</t>
  </si>
  <si>
    <t>グエン　ヴァン　ダン</t>
  </si>
  <si>
    <t>NGUYEN DINH THUAN</t>
  </si>
  <si>
    <t>グエン　ディン　トゥアン</t>
  </si>
  <si>
    <t>瑞陵精機より移動</t>
    <rPh sb="0" eb="4">
      <t>ズイリョウセイキ</t>
    </rPh>
    <rPh sb="6" eb="8">
      <t>イドウ</t>
    </rPh>
    <phoneticPr fontId="9"/>
  </si>
  <si>
    <t>部屋移動</t>
    <rPh sb="0" eb="2">
      <t>ヘヤ</t>
    </rPh>
    <rPh sb="2" eb="4">
      <t>イドウ</t>
    </rPh>
    <phoneticPr fontId="9"/>
  </si>
  <si>
    <t>部屋移動</t>
    <rPh sb="0" eb="4">
      <t>ヘヤイドウ</t>
    </rPh>
    <phoneticPr fontId="9"/>
  </si>
  <si>
    <t>LE DINH NGHI</t>
  </si>
  <si>
    <t>レ　デイン　ギ</t>
  </si>
  <si>
    <t>HA GIA BAO</t>
  </si>
  <si>
    <t>ハ　ジャ　バオ</t>
  </si>
  <si>
    <t>NGUYEN DUC LOC</t>
  </si>
  <si>
    <t>グエン　ドゥック　ロック</t>
  </si>
  <si>
    <t>LE THANH SANG</t>
  </si>
  <si>
    <t>レ　タン　サン</t>
  </si>
  <si>
    <t>LE VIET DUY CUONG</t>
  </si>
  <si>
    <t>レ　ヴィエット　ズイ　クオン</t>
  </si>
  <si>
    <t>LE MINH TRI</t>
  </si>
  <si>
    <t>レ　ミン　チー</t>
  </si>
  <si>
    <t>DAO NGOC DUY</t>
  </si>
  <si>
    <t>ダオ　ゴック　ズイ</t>
  </si>
  <si>
    <t>3/31解約</t>
    <rPh sb="4" eb="6">
      <t>カイヤク</t>
    </rPh>
    <phoneticPr fontId="9"/>
  </si>
  <si>
    <t>中須賀コーポⅢ　２０３</t>
    <phoneticPr fontId="2"/>
  </si>
  <si>
    <t>中須賀コーポⅢ　206</t>
    <phoneticPr fontId="2"/>
  </si>
  <si>
    <t>3/15支給から</t>
    <rPh sb="4" eb="6">
      <t>シキュウ</t>
    </rPh>
    <phoneticPr fontId="9"/>
  </si>
  <si>
    <t>加藤木材本社へ</t>
    <rPh sb="0" eb="6">
      <t>カトウモクザイホンシャ</t>
    </rPh>
    <phoneticPr fontId="9"/>
  </si>
  <si>
    <t>　</t>
    <phoneticPr fontId="9"/>
  </si>
  <si>
    <t xml:space="preserve">HARDIANTO </t>
  </si>
  <si>
    <t>ハルディアント</t>
  </si>
  <si>
    <t>ﾘｳﾞｪｰﾙ築地口102号</t>
    <phoneticPr fontId="2"/>
  </si>
  <si>
    <t>奥さんと同居</t>
    <rPh sb="0" eb="1">
      <t>オク</t>
    </rPh>
    <rPh sb="4" eb="6">
      <t>ドウキョ</t>
    </rPh>
    <phoneticPr fontId="9"/>
  </si>
  <si>
    <t>DUONG CHI THONG</t>
  </si>
  <si>
    <t>ズオン　チ　トン</t>
  </si>
  <si>
    <t>リ　ヴァン　ニャン</t>
  </si>
  <si>
    <t>1空</t>
    <rPh sb="1" eb="2">
      <t>アキ</t>
    </rPh>
    <phoneticPr fontId="9"/>
  </si>
  <si>
    <t>LE VAN HA</t>
  </si>
  <si>
    <t>レ　ヴァン　ハ</t>
  </si>
  <si>
    <t>2空</t>
    <rPh sb="1" eb="2">
      <t>アキ</t>
    </rPh>
    <phoneticPr fontId="9"/>
  </si>
  <si>
    <t>１つ空</t>
  </si>
  <si>
    <t>１つ空</t>
    <rPh sb="2" eb="3">
      <t>アキ</t>
    </rPh>
    <phoneticPr fontId="9"/>
  </si>
  <si>
    <t>LE VAN THAI BINH</t>
  </si>
  <si>
    <t>レ　バン　タイ　ビン</t>
  </si>
  <si>
    <t>一つ空</t>
    <rPh sb="0" eb="1">
      <t>ヒト</t>
    </rPh>
    <rPh sb="2" eb="3">
      <t>ア</t>
    </rPh>
    <phoneticPr fontId="9"/>
  </si>
  <si>
    <t>一つ空き</t>
    <rPh sb="0" eb="1">
      <t>ヒト</t>
    </rPh>
    <rPh sb="2" eb="3">
      <t>ア</t>
    </rPh>
    <phoneticPr fontId="9"/>
  </si>
  <si>
    <t>1つ空き</t>
    <rPh sb="2" eb="3">
      <t>ア</t>
    </rPh>
    <phoneticPr fontId="9"/>
  </si>
  <si>
    <t>3つ空</t>
    <rPh sb="2" eb="3">
      <t>アキ</t>
    </rPh>
    <phoneticPr fontId="9"/>
  </si>
  <si>
    <t>2つ空</t>
    <rPh sb="2" eb="3">
      <t>アキ</t>
    </rPh>
    <phoneticPr fontId="9"/>
  </si>
  <si>
    <t>1つ空</t>
    <rPh sb="2" eb="3">
      <t>アキ</t>
    </rPh>
    <phoneticPr fontId="9"/>
  </si>
  <si>
    <t>2LDK</t>
    <phoneticPr fontId="9"/>
  </si>
  <si>
    <t>空</t>
    <rPh sb="0" eb="1">
      <t>アキ</t>
    </rPh>
    <phoneticPr fontId="9"/>
  </si>
  <si>
    <t>RYAN AJI PAMUNGKAS</t>
  </si>
  <si>
    <t>リャン　アジ　パムンカス</t>
  </si>
  <si>
    <t>DICKY ARDYA</t>
  </si>
  <si>
    <t>ディッキー　アルディヤ</t>
  </si>
  <si>
    <t>DICKY TRIATMOKO</t>
  </si>
  <si>
    <t>ディッキー　トリアトモコ</t>
  </si>
  <si>
    <t>NICKY HUDHA WIBOWO</t>
  </si>
  <si>
    <t>ニッキー　フダ　ウィボウォ</t>
  </si>
  <si>
    <t>SATRIA ARDIANTO</t>
  </si>
  <si>
    <t>サトリア　アルディアント</t>
  </si>
  <si>
    <t>ALFARIDHO NUR RIZQI YULIANO</t>
  </si>
  <si>
    <t>アルファリド　ヌル　リズキ　ユリアノ</t>
  </si>
  <si>
    <t>DODIT DOS PRIAWAN</t>
  </si>
  <si>
    <t>ドディト　ドス　プリアワン</t>
  </si>
  <si>
    <t>ALFINAS YUDI ATMOJO</t>
  </si>
  <si>
    <t>アルフィナス　ユディ　アトモジョ</t>
  </si>
  <si>
    <t>MUHAMMAD KHOIRUL FIRMANSYAH</t>
  </si>
  <si>
    <t>ムハンマド　コイルル　フィルマンジャー</t>
  </si>
  <si>
    <t>NGUYEN KHAC TAN</t>
  </si>
  <si>
    <t>グエン　カック　タン</t>
  </si>
  <si>
    <t>4/30家賃までもらってる</t>
    <rPh sb="4" eb="6">
      <t>ヤチン</t>
    </rPh>
    <phoneticPr fontId="9"/>
  </si>
  <si>
    <t>グエン　ゴック　マン</t>
  </si>
  <si>
    <t>ダイワビル 202</t>
    <phoneticPr fontId="9"/>
  </si>
  <si>
    <t>1R</t>
    <phoneticPr fontId="9"/>
  </si>
  <si>
    <t>DINH HOANG THANG</t>
  </si>
  <si>
    <t>デイン　ホアン　タン</t>
  </si>
  <si>
    <t>HUYNH TAN PHAT</t>
  </si>
  <si>
    <t>グエン　タン　ロン</t>
  </si>
  <si>
    <t>LE MINH TIEN</t>
  </si>
  <si>
    <t>レ　ミン　テイエン</t>
  </si>
  <si>
    <t>家賃変更、クオンさんより4/25</t>
    <rPh sb="0" eb="2">
      <t>ヤチン</t>
    </rPh>
    <rPh sb="2" eb="4">
      <t>ヘンコウ</t>
    </rPh>
    <phoneticPr fontId="9"/>
  </si>
  <si>
    <t>NGUYEN HOANG HIEP</t>
  </si>
  <si>
    <t>グエン　ホアン　ヒエップ</t>
  </si>
  <si>
    <t>解約：2025/5/30</t>
  </si>
  <si>
    <t>解約：2025/5/30</t>
    <phoneticPr fontId="9"/>
  </si>
  <si>
    <t>コーリツへ移動</t>
    <rPh sb="5" eb="7">
      <t>イドウ</t>
    </rPh>
    <phoneticPr fontId="9"/>
  </si>
  <si>
    <t>メゾンパークアベニュー202</t>
    <phoneticPr fontId="2"/>
  </si>
  <si>
    <t>LE TRUNG DUNG</t>
  </si>
  <si>
    <t>レ　チュン　ズン</t>
  </si>
  <si>
    <t>NGUYEN BA TIEN</t>
  </si>
  <si>
    <t>グエン　バー　ティエン</t>
  </si>
  <si>
    <t>ルミエールKATO 105</t>
    <phoneticPr fontId="2"/>
  </si>
  <si>
    <t>NGUYEN QUANG HUY</t>
  </si>
  <si>
    <t>グエン　クアン　フィ</t>
  </si>
  <si>
    <t>HOANG VAN QUYEN</t>
  </si>
  <si>
    <t>ホアン　バン　クエン</t>
  </si>
  <si>
    <t>BUI DUC THANG</t>
  </si>
  <si>
    <t>ブイ　ドック　タン</t>
  </si>
  <si>
    <t>PHAM VAN BANG</t>
  </si>
  <si>
    <t>ファム　ヴァン　バン</t>
  </si>
  <si>
    <t>退去費を取らない</t>
    <rPh sb="0" eb="2">
      <t>タイキョ</t>
    </rPh>
    <rPh sb="2" eb="3">
      <t>ヒ</t>
    </rPh>
    <rPh sb="4" eb="5">
      <t>ト</t>
    </rPh>
    <phoneticPr fontId="9"/>
  </si>
  <si>
    <t>BUI NGOC TIN</t>
  </si>
  <si>
    <t>ブイ　ゴック　ティン</t>
  </si>
  <si>
    <t>BUI QUANG DUNG</t>
  </si>
  <si>
    <t>ブイ　クアン　ズン</t>
  </si>
  <si>
    <t>NGUYEN QUOC DUY</t>
  </si>
  <si>
    <t>グエン　クオック　ズイ</t>
  </si>
  <si>
    <t>NINH NGOC HIEU</t>
  </si>
  <si>
    <t>ニン　ゴック　ヒエウ</t>
  </si>
  <si>
    <t>NGUYEN VAN TRUNG</t>
  </si>
  <si>
    <t>グエン　ヴァン　チュン</t>
  </si>
  <si>
    <t>一人住む希望6/1</t>
    <rPh sb="0" eb="2">
      <t>ヒトリ</t>
    </rPh>
    <rPh sb="2" eb="3">
      <t>ス</t>
    </rPh>
    <rPh sb="4" eb="6">
      <t>キボウ</t>
    </rPh>
    <phoneticPr fontId="9"/>
  </si>
  <si>
    <t>NGUYEN QUOC CUONG</t>
  </si>
  <si>
    <t>グエン　クオック　クオン</t>
  </si>
  <si>
    <t>NGUYEN VAN HAN</t>
  </si>
  <si>
    <t>グエン　ヴァン　ハン</t>
  </si>
  <si>
    <t>社員№</t>
  </si>
  <si>
    <t>派遣先</t>
  </si>
  <si>
    <t>氏名</t>
  </si>
  <si>
    <t>カナ</t>
  </si>
  <si>
    <t>ピーエムアイ</t>
  </si>
  <si>
    <t>VI THI HUE</t>
  </si>
  <si>
    <t>ヴィ　ティ　フェ</t>
  </si>
  <si>
    <t>NGUYEN QUANG THANG</t>
  </si>
  <si>
    <t>グエン　クアン　タン</t>
  </si>
  <si>
    <t>NGUYEN HUY HOANG</t>
  </si>
  <si>
    <t>グエン　フイ　ホアン</t>
  </si>
  <si>
    <t>NGUYEN QUANG HUNG</t>
  </si>
  <si>
    <t>グエン　クアン　フン</t>
  </si>
  <si>
    <t>DANG ANH DUNG</t>
  </si>
  <si>
    <t>ダン　アン　ズン</t>
  </si>
  <si>
    <t>HOANG ANH DAC</t>
  </si>
  <si>
    <t>ホアン　アン　ダック</t>
  </si>
  <si>
    <t>VU VAN THANG</t>
  </si>
  <si>
    <t>ヴ　ヴァン　タン</t>
  </si>
  <si>
    <t>TRINH VAN HIEP</t>
  </si>
  <si>
    <t>チン　ヴァン　ヒエップ</t>
  </si>
  <si>
    <t>三幸技研</t>
  </si>
  <si>
    <t>PHAM BA BACH</t>
  </si>
  <si>
    <t>ファン　バ　バック</t>
  </si>
  <si>
    <t>オーツカ</t>
  </si>
  <si>
    <t>安慶名　エジソン</t>
  </si>
  <si>
    <t>アゲナ　エジソン</t>
  </si>
  <si>
    <t>ヌクイ　アキラ</t>
  </si>
  <si>
    <t>高雄工業 本社</t>
  </si>
  <si>
    <t>加藤　佑樹</t>
  </si>
  <si>
    <t>カトウ　ユウキ</t>
  </si>
  <si>
    <t>高雄工業 海南第一</t>
  </si>
  <si>
    <t>エガミ　アンドレ</t>
  </si>
  <si>
    <t>LUONG KHAC SINH</t>
  </si>
  <si>
    <t>ルウン　カック　シン</t>
  </si>
  <si>
    <t>NGUYEN VAN SON</t>
  </si>
  <si>
    <t>グエン　ヴァン　ソン</t>
  </si>
  <si>
    <t>BUI VAN LUAN</t>
  </si>
  <si>
    <t>ブイ　ヴァン　ルアン</t>
  </si>
  <si>
    <t>近藤　満博</t>
  </si>
  <si>
    <t>コンドウ　ミツヒロ</t>
  </si>
  <si>
    <t>コーリツ 乙川</t>
  </si>
  <si>
    <t>BUI VIET THANH</t>
  </si>
  <si>
    <t>ブイ　ヴィエット　タイン</t>
  </si>
  <si>
    <t>アレックス　フェルナンド</t>
  </si>
  <si>
    <t>VU NGOC TAN</t>
  </si>
  <si>
    <t>ヴー　ゴック　タン</t>
  </si>
  <si>
    <t>NGUYEN PHI THAO</t>
  </si>
  <si>
    <t>グエン　フィ　タオ</t>
  </si>
  <si>
    <t>HOANG VAN TUC</t>
  </si>
  <si>
    <t>ホアン　ヴァン　トック</t>
  </si>
  <si>
    <t>鈴木 マルシオ</t>
  </si>
  <si>
    <t>スズキ　マルシオ</t>
  </si>
  <si>
    <t>DINH TAN LEN</t>
  </si>
  <si>
    <t>ディン　タン　レン</t>
  </si>
  <si>
    <t>高雄工業 静岡</t>
  </si>
  <si>
    <t>LE XUAN HUNG</t>
  </si>
  <si>
    <t>レ　スアン　フン</t>
  </si>
  <si>
    <t>DO VAN NGHIEP</t>
  </si>
  <si>
    <t>ドー　ヴァン　ギエップ</t>
  </si>
  <si>
    <t>DAO HOANG ANH</t>
  </si>
  <si>
    <t>ダオ　ホアン　アン</t>
  </si>
  <si>
    <t>NGUYEN DUC HUNG</t>
  </si>
  <si>
    <t>グエン　ドック　フン</t>
  </si>
  <si>
    <t>TRAN XUAN THE</t>
  </si>
  <si>
    <t>ツアン　ヅアン　テェ</t>
  </si>
  <si>
    <t>米須　ジョン</t>
  </si>
  <si>
    <t>コメス　ジョン</t>
  </si>
  <si>
    <t>PHAM CONG HA</t>
  </si>
  <si>
    <t>ファム　コン　ハー</t>
  </si>
  <si>
    <t xml:space="preserve">NGUYEN DUC THANH </t>
  </si>
  <si>
    <t>グエン　ドウック　タイン</t>
  </si>
  <si>
    <t>PHAM VAN DUNG</t>
  </si>
  <si>
    <t>ファム　ヴァン　ズン</t>
  </si>
  <si>
    <t>NGUYEN DINH TRONG</t>
  </si>
  <si>
    <t>グェン　ヂィン　チョン</t>
  </si>
  <si>
    <t>NGUYEN HUY DUC</t>
  </si>
  <si>
    <t>グエン　フィー　ドウク</t>
  </si>
  <si>
    <t>LUU THANH DAT</t>
  </si>
  <si>
    <t>リュ　タン　ダット</t>
  </si>
  <si>
    <t>PHAN MINH KHANH</t>
  </si>
  <si>
    <t>ファン　ミン　カン</t>
  </si>
  <si>
    <t>TRAN VAN TUNG</t>
  </si>
  <si>
    <t>チャン　ヴァン　トゥン</t>
  </si>
  <si>
    <t>武藤　ジュニオル　カズミ</t>
  </si>
  <si>
    <t>ムトウ　ジュニオル　カズミ</t>
  </si>
  <si>
    <t>NGUYEN QUANG QUYEN</t>
  </si>
  <si>
    <t>グエン　カン　クエン</t>
  </si>
  <si>
    <t>平野　チョウシロウ</t>
  </si>
  <si>
    <t>ヒラノ　チョウシロウ</t>
  </si>
  <si>
    <t>NGUYEN TUAN ANH</t>
  </si>
  <si>
    <t>グエン　トゥアン　アイン</t>
  </si>
  <si>
    <t>PHAM CONG THANH</t>
  </si>
  <si>
    <t>ファム　コン　タイン</t>
  </si>
  <si>
    <t>KIEU TRUNG HIEU</t>
  </si>
  <si>
    <t>キエウ　チュン　ヒエウ</t>
  </si>
  <si>
    <t>LE VAN QUAN</t>
  </si>
  <si>
    <t>レー　ヴァン　クアン</t>
  </si>
  <si>
    <t>NGUYEN VAN THIEN</t>
  </si>
  <si>
    <t>グエン　ヴァン　ティエン</t>
  </si>
  <si>
    <t>LE VAN THUONG</t>
  </si>
  <si>
    <t>レー　ヴァン　トゥオン</t>
  </si>
  <si>
    <t>PHAM NGOC TUNG</t>
  </si>
  <si>
    <t>ファム　ゴック　トゥン</t>
  </si>
  <si>
    <t>LUONG QUANG QUAN</t>
  </si>
  <si>
    <t>ルォン　クァン　クァン</t>
  </si>
  <si>
    <t>近藤　ヨシオ</t>
  </si>
  <si>
    <t>コンドウ　ヨシオ</t>
  </si>
  <si>
    <t>高雄工業 海南第二</t>
  </si>
  <si>
    <t>TRAN VAN TUE</t>
  </si>
  <si>
    <t>チャン　ヴァン　トゥエ</t>
  </si>
  <si>
    <t>幸埼　ノルベルト</t>
  </si>
  <si>
    <t>コサキ　ノルベルト</t>
  </si>
  <si>
    <t>MA VAN THUY</t>
  </si>
  <si>
    <t>マー　ヴァン　トゥイ</t>
  </si>
  <si>
    <t>MAI VAN DO</t>
  </si>
  <si>
    <t>マイ　ヴァン　ドー</t>
  </si>
  <si>
    <t>コーリツ 本社</t>
  </si>
  <si>
    <t>HA MANH QUAN</t>
  </si>
  <si>
    <t>ハー　マイン　クアン</t>
  </si>
  <si>
    <t>BUI VAN DUY</t>
  </si>
  <si>
    <t>ブイ　ヴァン　ズイ</t>
  </si>
  <si>
    <t>ﾌｪﾆﾃｯｸｾﾐｺﾝﾀﾞｸﾀｰ 岡山</t>
  </si>
  <si>
    <t>プレテック</t>
  </si>
  <si>
    <t>PHAM VAN TRONG</t>
  </si>
  <si>
    <t>ファム　バン　チョン</t>
  </si>
  <si>
    <t>VU DINH TUAN</t>
  </si>
  <si>
    <t>ヴー　ディン　トゥアン</t>
  </si>
  <si>
    <t>PHUNG VAN NAM</t>
  </si>
  <si>
    <t>フン　ヴァン　ナム</t>
  </si>
  <si>
    <t>TRAN THI HONG MAY</t>
  </si>
  <si>
    <t>チャン　ティ　ホング　マイ</t>
  </si>
  <si>
    <t>PHAM KHAC SON</t>
  </si>
  <si>
    <t>ファム　カック　ソン</t>
  </si>
  <si>
    <t>NGUYEN MINH SON</t>
  </si>
  <si>
    <t>グエン　ミン　ソン</t>
  </si>
  <si>
    <t>LUU TUAN NGHIA</t>
  </si>
  <si>
    <t>リュウ　トゥアン　ギア</t>
  </si>
  <si>
    <t>NGUYEN MANH HAO</t>
  </si>
  <si>
    <t>グエン　マイン　ハオ</t>
  </si>
  <si>
    <t>VU DINH HIEP</t>
  </si>
  <si>
    <t>ヴー　ディン　ヒエップ</t>
  </si>
  <si>
    <t>LUONG XUAN NGOC</t>
  </si>
  <si>
    <t>ルオン　スアン　ゴック</t>
  </si>
  <si>
    <t>VAN TIEN THANH</t>
  </si>
  <si>
    <t>バン　ティエン　タン</t>
  </si>
  <si>
    <t>YOSHIKAWA DANIEL</t>
  </si>
  <si>
    <t>ヨシカワ　ダニエル</t>
  </si>
  <si>
    <t>NGUYEN VAN MANH</t>
  </si>
  <si>
    <t>グエン　ヴァン　マイン</t>
  </si>
  <si>
    <t>NGUYEN ANH TUAN</t>
  </si>
  <si>
    <t>グエン　アイン　トゥアン</t>
  </si>
  <si>
    <t>HA HAI PHI</t>
  </si>
  <si>
    <t>ハー　ハイ　フィ</t>
  </si>
  <si>
    <t>HOANG VAN TUYEN</t>
  </si>
  <si>
    <t>ホアン　ヴァン　トウイエン</t>
  </si>
  <si>
    <t>TRAN VAN SANG</t>
  </si>
  <si>
    <t>チャン　ヴァン　サン</t>
  </si>
  <si>
    <t>LE VAN TUAT</t>
  </si>
  <si>
    <t>レ　ヴァン　トァト</t>
  </si>
  <si>
    <t>DO XUAN HIEN</t>
  </si>
  <si>
    <t>ドー　スアン　ヒエン</t>
  </si>
  <si>
    <t>PHAM VAN PHUOC</t>
  </si>
  <si>
    <t>ファム　ヴァン　フォック</t>
  </si>
  <si>
    <t>NAMBU ALEXANDRE</t>
  </si>
  <si>
    <t>ナンブ　アレシャンドレ</t>
  </si>
  <si>
    <t>DONG NGOC SON</t>
  </si>
  <si>
    <t>ドン　ゴック　ソン</t>
  </si>
  <si>
    <t>MAI HUNG ANH</t>
  </si>
  <si>
    <t>マイ　フン　アイン</t>
  </si>
  <si>
    <t>LE DINH TUAN</t>
  </si>
  <si>
    <t>レ　ディン　トゥアン</t>
  </si>
  <si>
    <t>NGUYEN THI KIM NHUNG</t>
  </si>
  <si>
    <t>グエン　ティ　キム　ニュン</t>
  </si>
  <si>
    <t>CAO VAN TUYEN</t>
  </si>
  <si>
    <t>カオ　バン　トウエン</t>
  </si>
  <si>
    <t>NGUYEN HUU PHUC</t>
  </si>
  <si>
    <t>グエン　フュ　フック</t>
  </si>
  <si>
    <t>PHAN DINH THANH</t>
  </si>
  <si>
    <t>ファン　ディン　タァン</t>
  </si>
  <si>
    <t>ﾌｪﾆﾃｯｸｾﾐｺﾝﾀﾞｸﾀｰ 鹿児島</t>
  </si>
  <si>
    <t>TRAN QUOC THOM</t>
  </si>
  <si>
    <t>チャン　クオック　トム</t>
  </si>
  <si>
    <t>NGUYEN XUAN DUY</t>
  </si>
  <si>
    <t>グエン　スアン　ズイ</t>
  </si>
  <si>
    <t>LE XUAN CU</t>
  </si>
  <si>
    <t>レー　スアン　クー</t>
  </si>
  <si>
    <t>セイビテック</t>
  </si>
  <si>
    <t>LE VAN HUNG</t>
  </si>
  <si>
    <t>レ　ヴァン　ホウン</t>
  </si>
  <si>
    <t>三芳</t>
  </si>
  <si>
    <t>TRAN DINH CHAU</t>
  </si>
  <si>
    <t>チャン　ディン　チャウ</t>
  </si>
  <si>
    <t>TRAN VAN HUY</t>
  </si>
  <si>
    <t>チャン　バン　フィ</t>
  </si>
  <si>
    <t>VU NGOC HAI</t>
  </si>
  <si>
    <t>ヴ　ゴク　ハイ</t>
  </si>
  <si>
    <t>TRAN DINH VINH</t>
  </si>
  <si>
    <t>チャン　ディン　ヴィン</t>
  </si>
  <si>
    <t>NGO THI MAI</t>
  </si>
  <si>
    <t>ゴ　ティ　マイ</t>
  </si>
  <si>
    <t>グエン　バン　ホア</t>
  </si>
  <si>
    <t>NGUYEN DUC THO</t>
  </si>
  <si>
    <t>グエン　ドゥック　トー</t>
  </si>
  <si>
    <t>NGUYEN VAN DOANH</t>
  </si>
  <si>
    <t>グエン　ヴァン　ゾアン</t>
  </si>
  <si>
    <t>TRAN NGOC HA</t>
  </si>
  <si>
    <t>NGUYEN NGOC UYEN</t>
  </si>
  <si>
    <t>グエン　ゴック　ウエン</t>
  </si>
  <si>
    <t>LE THU HA</t>
  </si>
  <si>
    <t>レー　トゥー　ハー</t>
  </si>
  <si>
    <t>PEREIRA ANDERSON</t>
  </si>
  <si>
    <t>ペレイラ　アンデルソン</t>
  </si>
  <si>
    <t>MA VAN NGOC</t>
  </si>
  <si>
    <t>マ　ヴァン　ゴック</t>
  </si>
  <si>
    <t>PHAM VAN KHANH</t>
  </si>
  <si>
    <t>ファン　ヴァン　カン</t>
  </si>
  <si>
    <t>ヴィ　バン　ニィ</t>
  </si>
  <si>
    <t>HOANG XUAN THUY</t>
  </si>
  <si>
    <t>ファン　スアン　テイ</t>
  </si>
  <si>
    <t>TRUONG TRONG LUU</t>
  </si>
  <si>
    <t>チュオン　チョン　リュ</t>
  </si>
  <si>
    <t>VU VAN CHUC</t>
  </si>
  <si>
    <t>ヴ　ヴァン　チュック</t>
  </si>
  <si>
    <t>TRAN VAN QUYNH</t>
  </si>
  <si>
    <t>チャン　ヴァン　クイン</t>
  </si>
  <si>
    <t>HASHIMOTO ALEX SANDRO</t>
  </si>
  <si>
    <t>ハシモト　アレックス　サンドロ</t>
  </si>
  <si>
    <t>DAO VAN LOI</t>
  </si>
  <si>
    <t>ダオ　バン　ロイ</t>
  </si>
  <si>
    <t>DANG THI HONG</t>
  </si>
  <si>
    <t>ダオ　ティ　ホン</t>
  </si>
  <si>
    <t>NGUYEN SY DUC</t>
  </si>
  <si>
    <t>グエン　シー　ドウク</t>
  </si>
  <si>
    <t>MAC VAN HUNG</t>
  </si>
  <si>
    <t>マック　ヴァン　フン</t>
  </si>
  <si>
    <t>TRUONG THI THANH THAO</t>
  </si>
  <si>
    <t>チュオン　ティ　タン　タオ</t>
  </si>
  <si>
    <t>TRAN QUOC TUAN</t>
  </si>
  <si>
    <t>チャン　クオック　トゥアン</t>
  </si>
  <si>
    <t>NGUYEN QUOC KHAI</t>
  </si>
  <si>
    <t>グエン　クオック　カイ</t>
  </si>
  <si>
    <t>PHAN THANH SI</t>
  </si>
  <si>
    <t>ファン　タイン　シー</t>
  </si>
  <si>
    <t>NGUYEN VAN HONG</t>
  </si>
  <si>
    <t>グエン　バン　ホン</t>
  </si>
  <si>
    <t>NGUYEN VAN TIEN</t>
  </si>
  <si>
    <t>TRUONG DINH HUNG</t>
  </si>
  <si>
    <t>トゥン　ディン　フン</t>
  </si>
  <si>
    <t>NGUYEN THI NGOC LINH</t>
  </si>
  <si>
    <t>グエン　ティ　ゴック　リン</t>
  </si>
  <si>
    <t>VAN THE LUONG</t>
  </si>
  <si>
    <t>ヴァン　テエ　ルオン</t>
  </si>
  <si>
    <t>NGUYEN VIET HOANG</t>
  </si>
  <si>
    <t>グエン　ヴィエン　ホアン</t>
  </si>
  <si>
    <t>DANG VAN DAI</t>
  </si>
  <si>
    <t>ダン　ヴァン　ダイ</t>
  </si>
  <si>
    <t>LE HUY HOANG</t>
  </si>
  <si>
    <t>レ　フィ　ホアン</t>
  </si>
  <si>
    <t>HOANG VAN NHI</t>
  </si>
  <si>
    <t>ホアン　ヴァン　ニー</t>
  </si>
  <si>
    <t>LE TIEN THANH</t>
  </si>
  <si>
    <t>レ　ティエン　タイン</t>
  </si>
  <si>
    <t>VU VAN PHONG</t>
  </si>
  <si>
    <t>ヴー　ヴァン　フォン</t>
  </si>
  <si>
    <t>NGUYEN VAN HAO</t>
  </si>
  <si>
    <t>グエン　ヴァン　ハオ</t>
  </si>
  <si>
    <t>DOAN THANH QUYNH</t>
  </si>
  <si>
    <t>ドアン　タン　クイン</t>
  </si>
  <si>
    <t>NGUYEN VAN QUAN</t>
  </si>
  <si>
    <t>グエン　バン　クアン</t>
  </si>
  <si>
    <t>VI HONG KIEN</t>
  </si>
  <si>
    <t>ビ　ホン　キエン</t>
  </si>
  <si>
    <t>PHAM VAN LONG</t>
  </si>
  <si>
    <t>ファム　ヴァン　ロン</t>
  </si>
  <si>
    <t>PHAM BAO NGHIA</t>
  </si>
  <si>
    <t>ファン　バオ　ギア</t>
  </si>
  <si>
    <t>NGUYEN XUAN THANG</t>
  </si>
  <si>
    <t>グエン　スワン　タン</t>
  </si>
  <si>
    <t>河野　依里香</t>
  </si>
  <si>
    <t>コウノ　エリコ</t>
  </si>
  <si>
    <t>ﾃｨｰｹｰｴﾝｼﾞﾆｱﾘﾝｸﾞ</t>
  </si>
  <si>
    <t xml:space="preserve">TRAN CONG PHUONG </t>
  </si>
  <si>
    <t>チャン　コン　フォン</t>
  </si>
  <si>
    <t>TRAN NHAT SON</t>
  </si>
  <si>
    <t>チャン　ニャット　ソン</t>
  </si>
  <si>
    <t>NGUYEN DINH THU</t>
  </si>
  <si>
    <t>グエン　ディン　トゥ</t>
  </si>
  <si>
    <t>TRAN XUAN HUNG</t>
  </si>
  <si>
    <t>チャン　スアン　フン</t>
  </si>
  <si>
    <t>DANG VAN KHANG</t>
  </si>
  <si>
    <t>ダン　ヴァン　カン</t>
  </si>
  <si>
    <t>TRAN VAN TUAN</t>
  </si>
  <si>
    <t>チャン　ヴァン　トゥアン</t>
  </si>
  <si>
    <t>NGUYEN TRONG DU</t>
  </si>
  <si>
    <t>グエン　チョン　ズ</t>
  </si>
  <si>
    <t>LE VAN NHANH</t>
  </si>
  <si>
    <t>レー　ヴァン　ニャン</t>
  </si>
  <si>
    <t>PHAN MINH CHI</t>
  </si>
  <si>
    <t>ファン　ミン　チ</t>
  </si>
  <si>
    <t>HOANG QUOC HUAN</t>
  </si>
  <si>
    <t>ホアン　コック　ホウアン</t>
  </si>
  <si>
    <t>KHUONG SI GIANG</t>
  </si>
  <si>
    <t>クオン　シー　ザン</t>
  </si>
  <si>
    <t>LE DOAN ANH</t>
  </si>
  <si>
    <t>レー　ドアン　アン</t>
  </si>
  <si>
    <t>NGO NHAT QUYEN</t>
  </si>
  <si>
    <t>ゴー　ナット　クエン</t>
  </si>
  <si>
    <t>グエン　バン　チュオン</t>
  </si>
  <si>
    <t>NGUYEN THE SON</t>
  </si>
  <si>
    <t>グエン　テ―　ソン</t>
  </si>
  <si>
    <t>BUI THI YEN</t>
  </si>
  <si>
    <t>ブイ　ティ　イエン</t>
  </si>
  <si>
    <t>NGUYEN QUANG TRUNG</t>
  </si>
  <si>
    <t>グエン　クアン　チュン</t>
  </si>
  <si>
    <t>DO THI THUY</t>
  </si>
  <si>
    <t>ド　ティ　トゥイ</t>
  </si>
  <si>
    <t>LE CAO HOAI</t>
  </si>
  <si>
    <t>レ　カオ　ホアイ</t>
  </si>
  <si>
    <t>NGUYEN DINH DAN</t>
  </si>
  <si>
    <t>グエン　ディン　ダン</t>
  </si>
  <si>
    <t>NGO VAN DUC</t>
  </si>
  <si>
    <t>ゴー　ヴァン　ドウック</t>
  </si>
  <si>
    <t>PHAM HUY HOANG</t>
  </si>
  <si>
    <t>ファム　フイ　ホアン</t>
  </si>
  <si>
    <t>LE VIET TRUNG</t>
  </si>
  <si>
    <t>レ　ヴィエット　チュン</t>
  </si>
  <si>
    <t>NGUYEN NGOC TIEN</t>
  </si>
  <si>
    <t>グエン　ゴック　ティエン</t>
  </si>
  <si>
    <t>VU DUC CUONG</t>
  </si>
  <si>
    <t>ヴ　ドゥック　クオン</t>
  </si>
  <si>
    <t>ダオ　ゴック　アン</t>
  </si>
  <si>
    <t>DAM HUY HUNG</t>
  </si>
  <si>
    <t>ダム　フィ　フン</t>
  </si>
  <si>
    <t>NGUYEN MINH TIEN</t>
  </si>
  <si>
    <t>グエン　ミン　ティエン</t>
  </si>
  <si>
    <t>MAI XUAN PHONG</t>
  </si>
  <si>
    <t>マイ　ジャン　フォン</t>
  </si>
  <si>
    <t>DA SILVA WAGNER</t>
  </si>
  <si>
    <t>ダ　シルバ　ワグナー</t>
  </si>
  <si>
    <t>DUONG VAN THIEP</t>
  </si>
  <si>
    <t>ズオン　ヴァン　ティェプ</t>
  </si>
  <si>
    <t>TRUONG VAN THINH</t>
  </si>
  <si>
    <t>チュオン　ヴァン　テイン</t>
  </si>
  <si>
    <t>KITABATAKE　MICHEL</t>
  </si>
  <si>
    <t>キタバタケ　ミッシェル</t>
  </si>
  <si>
    <t>TRAN VAN PHONG</t>
  </si>
  <si>
    <t>チャン　ヴァン　フォン</t>
  </si>
  <si>
    <t>小野　忠昭</t>
  </si>
  <si>
    <t>オノ　タダアキ</t>
  </si>
  <si>
    <t>弓削　幸将</t>
  </si>
  <si>
    <t>ユゲ　ユキマサ</t>
  </si>
  <si>
    <t>島田　富佐男</t>
  </si>
  <si>
    <t>シマダ　フサオ</t>
  </si>
  <si>
    <t>神田　恭宏</t>
  </si>
  <si>
    <t>カンダ　ヤスヒロ</t>
  </si>
  <si>
    <t>中村　勝次</t>
  </si>
  <si>
    <t>ナカムラ　カツジ</t>
  </si>
  <si>
    <t>TAN ALEXANDER IGANO</t>
  </si>
  <si>
    <t>タン　アレックサンダー　イガノ</t>
  </si>
  <si>
    <t>藤宇　葉子</t>
  </si>
  <si>
    <t>フジウ　ヨウコ</t>
  </si>
  <si>
    <t>NGUYEN DUC MINH</t>
  </si>
  <si>
    <t>グエン　ドゥック　ミン</t>
  </si>
  <si>
    <t>VU THI UYEN</t>
  </si>
  <si>
    <t>ヴ　ティー　ウェン</t>
  </si>
  <si>
    <t>HIRATA AISAWA ALEXANDRE HIROSHI</t>
  </si>
  <si>
    <t>ヒラタ　アイザワ　アレキサンドレ　ヒロシ</t>
  </si>
  <si>
    <t>リュー　タイン　ソン</t>
  </si>
  <si>
    <t>LE QUI HAI</t>
  </si>
  <si>
    <t>レ　クイ　ハイ</t>
  </si>
  <si>
    <t>HOANG VAN HUY</t>
  </si>
  <si>
    <t>ホアン　ヴァン　フィ</t>
  </si>
  <si>
    <t>NGUYEN VAN CHUNG</t>
  </si>
  <si>
    <t>グエン　バン　チュン</t>
  </si>
  <si>
    <t>HOANG VAN BAC</t>
  </si>
  <si>
    <t>ホアン　バン　バック</t>
  </si>
  <si>
    <t>HOANG NGOC BINH</t>
  </si>
  <si>
    <t>ホアン　ゴック　ビン</t>
  </si>
  <si>
    <t>TRAN HONG PHONG</t>
  </si>
  <si>
    <t>チャン　ホン　フォン</t>
  </si>
  <si>
    <t>NGUYEN QUANG TUYEN</t>
  </si>
  <si>
    <t>グエン　クアン　トウエン</t>
  </si>
  <si>
    <t>NGUYEN CAO HUYEN</t>
  </si>
  <si>
    <t>グエン　カオ　フエン</t>
  </si>
  <si>
    <t>LE SY THINH</t>
  </si>
  <si>
    <t>レー　シー　ティン</t>
  </si>
  <si>
    <t>チャン　フュ　フン</t>
  </si>
  <si>
    <t>NONG VAN SON</t>
  </si>
  <si>
    <t>ノン　ヴァン　ソン</t>
  </si>
  <si>
    <t>PHAM THANH BINH</t>
  </si>
  <si>
    <t>ファム　タイン　ビン</t>
  </si>
  <si>
    <t>NONG THANH TUNG</t>
  </si>
  <si>
    <t>ノン　タイン　トゥン</t>
  </si>
  <si>
    <t>NGUYEN THE CANH</t>
  </si>
  <si>
    <t>グエン　テ　カイン</t>
  </si>
  <si>
    <t>TA MANH TRONG</t>
  </si>
  <si>
    <t>ター　マイン　チョン</t>
  </si>
  <si>
    <t>NGUYEN HONG SON</t>
  </si>
  <si>
    <t>グエン　ホン　ソン</t>
  </si>
  <si>
    <t>PHUNG QUANG TU</t>
  </si>
  <si>
    <t>フン　クアン　トゥ</t>
  </si>
  <si>
    <t>VUONG PHUC HA</t>
  </si>
  <si>
    <t>ヴォン　フック　ハ</t>
  </si>
  <si>
    <t>DANG XUAN LUAN</t>
  </si>
  <si>
    <t>ダン　スアン　ルアン</t>
  </si>
  <si>
    <t>DO THI DUYEN</t>
  </si>
  <si>
    <t>ド　ティ　デュエン</t>
  </si>
  <si>
    <t>LAM VAN THANH</t>
  </si>
  <si>
    <t>ラム　ヴァン　タン</t>
  </si>
  <si>
    <t>PHAM THI PHUONG</t>
  </si>
  <si>
    <t>ファム　ティ　フォン</t>
  </si>
  <si>
    <t>DUONG MINH NGHIA</t>
  </si>
  <si>
    <t>ズオン　ミン　ギャー</t>
  </si>
  <si>
    <t>グエン　ヴァン　マン</t>
  </si>
  <si>
    <t>西岡工作所</t>
  </si>
  <si>
    <t>堤　浩二</t>
  </si>
  <si>
    <t>ツツミ　コウジ</t>
  </si>
  <si>
    <t>HOANG VAN QUAN</t>
  </si>
  <si>
    <t>ホアン　ヴァン　クアン</t>
  </si>
  <si>
    <t>ワーク 岡山</t>
  </si>
  <si>
    <t>LE NGOC THANH</t>
  </si>
  <si>
    <t>レ　ゴック　タイン</t>
  </si>
  <si>
    <t>HOANG THE VINH</t>
  </si>
  <si>
    <t>ホアン　テー　ヴィン</t>
  </si>
  <si>
    <t>NGUYEN HUU THIEN</t>
  </si>
  <si>
    <t>グエン　フウ　ティエン</t>
  </si>
  <si>
    <t>NGUYEN DANG KHANG</t>
  </si>
  <si>
    <t>DO DUC THUAN</t>
  </si>
  <si>
    <t>ドー　ドゥック　トゥアン</t>
  </si>
  <si>
    <t>グエン　バン　ハオ</t>
  </si>
  <si>
    <t>HOANG MINH LONG</t>
  </si>
  <si>
    <t>ホアン　ミン　ロン</t>
  </si>
  <si>
    <t>NGUYEN VAN TIEP</t>
  </si>
  <si>
    <t>グエン　ヴァン　ティエップ</t>
  </si>
  <si>
    <t>NGUYEN QUOC KHANH</t>
  </si>
  <si>
    <t>グエン　クオック　カイン</t>
  </si>
  <si>
    <t>NGUYRN HUU CANH</t>
  </si>
  <si>
    <t>グエン　フー　カン</t>
  </si>
  <si>
    <t>NGUYEN VAN DUY</t>
  </si>
  <si>
    <t>グエン　ヴァン　ズイ</t>
  </si>
  <si>
    <t>NGUYEN HOANG LAM</t>
  </si>
  <si>
    <t>グエン　ホアン　ラム</t>
  </si>
  <si>
    <t>ワーク 志紀</t>
  </si>
  <si>
    <t>PHAM CHI BAC</t>
  </si>
  <si>
    <t>ファム　チー　バック</t>
  </si>
  <si>
    <t>CAO HUU SON</t>
  </si>
  <si>
    <t>カオ　フ　ソン</t>
  </si>
  <si>
    <t>LAI DUY HIEN</t>
  </si>
  <si>
    <t>ライ　ズイ　ヒエン</t>
  </si>
  <si>
    <t>LE HUU THANG</t>
  </si>
  <si>
    <t>レー　ヒュー　タン</t>
  </si>
  <si>
    <t>TRAN VAN THAN</t>
  </si>
  <si>
    <t>チャン　ヴァン　タン</t>
  </si>
  <si>
    <t>NGUYEN TIEN DUC</t>
  </si>
  <si>
    <t>グエン　テイエン　ドウク</t>
  </si>
  <si>
    <t>TRAN HUU DANG</t>
  </si>
  <si>
    <t>チャン　フュ　ダン</t>
  </si>
  <si>
    <t>NGUYEN VAN DUC</t>
  </si>
  <si>
    <t>グエン　バン　ドック</t>
  </si>
  <si>
    <t>HOANG HUY HOI</t>
  </si>
  <si>
    <t>ホアン　フイ　ホイ</t>
  </si>
  <si>
    <t>NGUYEN HUU MANH</t>
  </si>
  <si>
    <t>グエン　フウ　マン</t>
  </si>
  <si>
    <t>NGUYEN PHU CUONG</t>
  </si>
  <si>
    <t>グエン　フ　クオン</t>
  </si>
  <si>
    <t>PHAN VAN BINH</t>
  </si>
  <si>
    <t>ファン　バン　ビン</t>
  </si>
  <si>
    <t>MA PHUC MINH</t>
  </si>
  <si>
    <t>マ　フック　ミン</t>
  </si>
  <si>
    <t>NGUYEN KHANH DUY</t>
  </si>
  <si>
    <t>グエン　カン　ユイ</t>
  </si>
  <si>
    <t>DAO ANH TUAN</t>
  </si>
  <si>
    <t>ダオ　アン　トゥアン</t>
  </si>
  <si>
    <t>NGUYEN VAN CUONG</t>
  </si>
  <si>
    <t>グエン　ヴァン　クオン</t>
  </si>
  <si>
    <t>PHAM LE PUONG DUY</t>
  </si>
  <si>
    <t>ファム　レー　フウノ　ユイ</t>
  </si>
  <si>
    <t>NGUYEN VAN CUA</t>
  </si>
  <si>
    <t>グエン　ヴァン　クア</t>
  </si>
  <si>
    <t>NGUYEN VAN KHOA</t>
  </si>
  <si>
    <t>グエン　ヴァン　コア</t>
  </si>
  <si>
    <t>PHAM THANH TAM</t>
  </si>
  <si>
    <t>ファム　タン　タム</t>
  </si>
  <si>
    <t>NGUYEN TIEN HAI</t>
  </si>
  <si>
    <t>グエン　ティエン　ハイ</t>
  </si>
  <si>
    <t>TRESYAN REZA PERMANA</t>
  </si>
  <si>
    <t>トレシャン　レザ　ペルマナ</t>
  </si>
  <si>
    <t>SURYA INDRA WARDANA</t>
  </si>
  <si>
    <t>スリャ　インドラ　ワルダナ</t>
  </si>
  <si>
    <t>NGUYEN ANH HOANG</t>
  </si>
  <si>
    <t>グエン　アン　ホアン</t>
  </si>
  <si>
    <t>NGUYEN MINH TAN</t>
  </si>
  <si>
    <t>グエン　ミン　タン</t>
  </si>
  <si>
    <t>HOANG MANH TIEN</t>
  </si>
  <si>
    <t>ホアン　マン　ティエン</t>
  </si>
  <si>
    <t>LE XUAN QUYNH</t>
  </si>
  <si>
    <t>レー　スァン　クイン</t>
  </si>
  <si>
    <t>VU VAN LONG</t>
  </si>
  <si>
    <t>ブー　バン　ロン</t>
  </si>
  <si>
    <t>NGUYEN CHI LINH</t>
  </si>
  <si>
    <t>グエン　チ　リン</t>
  </si>
  <si>
    <t>BITENCOURT CELIK SELIA</t>
  </si>
  <si>
    <t>ビテンコウルト　シエリク　セリア</t>
  </si>
  <si>
    <t>SILVA BITENCOURT SELMA</t>
  </si>
  <si>
    <t>シルバ　ビテンコウルト　セルマ</t>
  </si>
  <si>
    <t>NGUYEN VAN CANH</t>
  </si>
  <si>
    <t>グエン　バン　カイン</t>
  </si>
  <si>
    <t>TRAN TRONG TU</t>
  </si>
  <si>
    <t>チャン　チョン　トゥ</t>
  </si>
  <si>
    <t>ALI RASYIID MUHAMMAD</t>
  </si>
  <si>
    <t>アリ　ラシド　ムハマド</t>
  </si>
  <si>
    <t>BUI DUC ANH</t>
  </si>
  <si>
    <t>ブイ　ドゥック　アイン</t>
  </si>
  <si>
    <t>SANDY NACAYA JOELMA</t>
  </si>
  <si>
    <t>サンディー　ナカヤ　ジョエルマ</t>
  </si>
  <si>
    <t>ODORIZZI SANDRA</t>
  </si>
  <si>
    <t>オードリージ　サンドラ</t>
  </si>
  <si>
    <t>ワーク 堺</t>
  </si>
  <si>
    <t>VU DUC THACH</t>
  </si>
  <si>
    <t>ヴー　ドゥック　タック</t>
  </si>
  <si>
    <t>HO THANH BAO TRUNG</t>
  </si>
  <si>
    <t>ホー　タン　バオ　チュン</t>
  </si>
  <si>
    <t>DO VAN TRONG</t>
  </si>
  <si>
    <t>ド　ヴァン　チョン</t>
  </si>
  <si>
    <t>THAN TRUNG TIEN</t>
  </si>
  <si>
    <t>タン　チュン　ティエン</t>
  </si>
  <si>
    <t>NGUYEN DUC DUY</t>
  </si>
  <si>
    <t>グエン　ドック　ユイ</t>
  </si>
  <si>
    <t>DAO XUAN TRINH</t>
  </si>
  <si>
    <t>ダオ　スアン　チン</t>
  </si>
  <si>
    <t>FARID RIZAL</t>
  </si>
  <si>
    <t>ファリド　リザル</t>
  </si>
  <si>
    <t>VU VAN QUYNH</t>
  </si>
  <si>
    <t>ヴー　ヴァン　クイン</t>
  </si>
  <si>
    <t>NGO VAN CHUONG</t>
  </si>
  <si>
    <t>ゴー　バン　チュオン</t>
  </si>
  <si>
    <t>DANG DUY VINH</t>
  </si>
  <si>
    <t>ダン　ズイ　ビン</t>
  </si>
  <si>
    <t>TRINH HOANG ANH</t>
  </si>
  <si>
    <t>チン　ホアン　アイン</t>
  </si>
  <si>
    <t>NGO QUOC THINH</t>
  </si>
  <si>
    <t>ゴ　クオック　テイン</t>
  </si>
  <si>
    <t>NGUYEN NGOC TUNG</t>
  </si>
  <si>
    <t>グエン　ゴック　トゥン</t>
  </si>
  <si>
    <t>NGUYEN SON TUNG</t>
  </si>
  <si>
    <t>グエン　ソン　トゥン</t>
  </si>
  <si>
    <t>NGUYEN DUY HONG</t>
  </si>
  <si>
    <t>グエン　ドゥイ　ホン</t>
  </si>
  <si>
    <t>LUYEN HUY TUAN</t>
  </si>
  <si>
    <t>ルイエン　フィ　トゥアン</t>
  </si>
  <si>
    <t>THAI DOAN PHONG</t>
  </si>
  <si>
    <t>タイ　ゾアン　フォン</t>
  </si>
  <si>
    <t>TRAN VAN LUC</t>
  </si>
  <si>
    <t>トラン　バン　ルック</t>
  </si>
  <si>
    <t>仲間　ルイス　幸一</t>
  </si>
  <si>
    <t>ナカマ　ルイス　コウイチ</t>
  </si>
  <si>
    <t>RODRIGUES YAKABE ACHERAIBER ELIZA</t>
  </si>
  <si>
    <t>HOANG XUAN QUOC</t>
  </si>
  <si>
    <t>ホアン　スアン　クオック</t>
  </si>
  <si>
    <t>HUYNH DUC MINH</t>
  </si>
  <si>
    <t>フィン　ドック　ミン</t>
  </si>
  <si>
    <t>TRAN VAN HIEN</t>
  </si>
  <si>
    <t>チャン　ヴァン　ヒエン</t>
  </si>
  <si>
    <t>TRAN VAN NHAT</t>
  </si>
  <si>
    <t>チャン　バン　ニャット</t>
  </si>
  <si>
    <t>VU VAN TOAN</t>
  </si>
  <si>
    <t>ヴー　ヴァン　トアン</t>
  </si>
  <si>
    <t>VO VAN LUONG</t>
  </si>
  <si>
    <t>ボ　バン　ルン</t>
  </si>
  <si>
    <t>DAO TRINH HOANG</t>
  </si>
  <si>
    <t>ダオ　チン　ホアン</t>
  </si>
  <si>
    <t>グエン　ヴァン　クアン</t>
  </si>
  <si>
    <t>LE MINH CHINH</t>
  </si>
  <si>
    <t>レ　ミン　チン</t>
  </si>
  <si>
    <t>TRAN HOANG DIEU</t>
  </si>
  <si>
    <t>チャン　ホアン　ジェウ</t>
  </si>
  <si>
    <t>栗原　ガブリエル</t>
  </si>
  <si>
    <t>クリハラ　ガブリエル</t>
  </si>
  <si>
    <t>VU VAN NGHIA</t>
  </si>
  <si>
    <t>ヴー　ヴァン　ギエ</t>
  </si>
  <si>
    <t>LE VAN MINH</t>
  </si>
  <si>
    <t>レー　バン　ミン</t>
  </si>
  <si>
    <t>PHAN TAT HOAN</t>
  </si>
  <si>
    <t>ファン　タット　ホアン</t>
  </si>
  <si>
    <t>VU HUY KHOI</t>
  </si>
  <si>
    <t>ヴー　フイ　クオイ</t>
  </si>
  <si>
    <t>NGUYEN TUAN CUONG</t>
  </si>
  <si>
    <t>グエン　トゥアン　クオン</t>
  </si>
  <si>
    <t>DO VAN MINH</t>
  </si>
  <si>
    <t>ドー　バン　ミン</t>
  </si>
  <si>
    <t>CHU TRONG AN</t>
  </si>
  <si>
    <t>チュ　チョン　アン</t>
  </si>
  <si>
    <t>LE THANH LUAN</t>
  </si>
  <si>
    <t>レ　タイン　ルアン</t>
  </si>
  <si>
    <t>NGUYEN MINH VUONG</t>
  </si>
  <si>
    <t>グエン　ミン　ヴオン</t>
  </si>
  <si>
    <t>LE MINH QUANG</t>
  </si>
  <si>
    <t>レー　ミン　クアン</t>
  </si>
  <si>
    <t>NGUYEN THI MAI PHUONG</t>
  </si>
  <si>
    <t>グエン　ティ　マイ　フォン</t>
  </si>
  <si>
    <t>新日本ﾎｲｰﾙ工業</t>
  </si>
  <si>
    <t>LE VAN TUAN PHONG</t>
  </si>
  <si>
    <t>レ　ヴァン　トゥアン　フォン</t>
  </si>
  <si>
    <t>TRAN NGOC SON</t>
  </si>
  <si>
    <t>チャン　ゴック　ソン</t>
  </si>
  <si>
    <t>MATSUDA SERGIO YUKIO</t>
  </si>
  <si>
    <t>マツダ　セルジオ　ユキオ</t>
  </si>
  <si>
    <t>VU THANH HOANG</t>
  </si>
  <si>
    <t>ヴー　タン　ホアン</t>
  </si>
  <si>
    <t>MAI VAN TRI</t>
  </si>
  <si>
    <t>マイ　ヴァン　チー</t>
  </si>
  <si>
    <t>DANG TRONG HIEU</t>
  </si>
  <si>
    <t>ダン　チョン　ヒエウ</t>
  </si>
  <si>
    <t>NGUYEN DINH NGOC</t>
  </si>
  <si>
    <t>グエン　デイン　ゴック</t>
  </si>
  <si>
    <t>NGUYEN TRUNG TAN</t>
  </si>
  <si>
    <t>グエン　チュン　タン</t>
  </si>
  <si>
    <t>VU VAN HUNG</t>
  </si>
  <si>
    <t>ヴー　ヴァン　フン</t>
  </si>
  <si>
    <t>NGUYEN THANH PHUONG</t>
  </si>
  <si>
    <t>グエン　タン　フォン</t>
  </si>
  <si>
    <t>LE QUANG TRONG</t>
  </si>
  <si>
    <t>レ　クアン　チョン</t>
  </si>
  <si>
    <t>TRINH THANH VIET ANH</t>
  </si>
  <si>
    <t>チン　タン　ヴィエト　アン</t>
  </si>
  <si>
    <t>PHAM VAN HIEU</t>
  </si>
  <si>
    <t>ファム　ヴァン　ヒエウ</t>
  </si>
  <si>
    <t>PHAN VAN CUONG</t>
  </si>
  <si>
    <t>ハン　バン　クオン</t>
  </si>
  <si>
    <t>加藤木材工業 本社</t>
  </si>
  <si>
    <t>NGO DUC HIEP</t>
  </si>
  <si>
    <t>ゴー　ドゥック　ヒエップ</t>
  </si>
  <si>
    <t>LE VAN LONG</t>
  </si>
  <si>
    <t>レー　ヴァン　ロン</t>
  </si>
  <si>
    <t>VU TUAN ANH</t>
  </si>
  <si>
    <t>ブー　テュアン　アン</t>
  </si>
  <si>
    <t>HO HUYNH DINH NGHIEM</t>
  </si>
  <si>
    <t>ホー　フィン　ディン　ギエム</t>
  </si>
  <si>
    <t>NGUYEN HOANG TIEN</t>
  </si>
  <si>
    <t>グエン　ホアン　ティエン</t>
  </si>
  <si>
    <t>PHAN VAN THIEN</t>
  </si>
  <si>
    <t>ファン　ヴァン　ティエン</t>
  </si>
  <si>
    <t>DINH VAN HAI</t>
  </si>
  <si>
    <t>ディン　ヴァン　ハイ</t>
  </si>
  <si>
    <t>NGUYEN HOANG VIET LAM</t>
  </si>
  <si>
    <t>グエン　ホアン　ヴィエット　ラム</t>
  </si>
  <si>
    <t>MA THE THIEN</t>
  </si>
  <si>
    <t>マー　テー　ティエン</t>
  </si>
  <si>
    <t>BUI THE LAM</t>
  </si>
  <si>
    <t>ブイ　テエ　ラム</t>
  </si>
  <si>
    <t>BUI DAI PHUOC</t>
  </si>
  <si>
    <t>ブイ　ダイ　フク</t>
  </si>
  <si>
    <t>TA QUAN VUONG</t>
  </si>
  <si>
    <t>ター　クアン　ヴオン</t>
  </si>
  <si>
    <t>TRAN HONG QUAN</t>
  </si>
  <si>
    <t>チャン　ホン　クアン</t>
  </si>
  <si>
    <t>NGUYEN CHI TUAN</t>
  </si>
  <si>
    <t>グエン　チー　トゥアン</t>
  </si>
  <si>
    <t>NGUYEN XUAN HIEU</t>
  </si>
  <si>
    <t>グエン　スアン　ヒエウ</t>
  </si>
  <si>
    <t>NAUFAL ANDZAR ASH-SHIDDIQ</t>
  </si>
  <si>
    <t>ナウファル　アンザル　アス　シッディク</t>
  </si>
  <si>
    <t>VO QUY HOAN</t>
  </si>
  <si>
    <t>ヴォ　クイ　ホアン</t>
  </si>
  <si>
    <t>VU DINH DUONG</t>
  </si>
  <si>
    <t>ヴー　ディン　ズオン</t>
  </si>
  <si>
    <t>NGUYEN NGOC CHIEN</t>
  </si>
  <si>
    <t>グエン　ゴック　チエン</t>
  </si>
  <si>
    <t>NGUYEN MINH DUC</t>
  </si>
  <si>
    <t>グエン　ミン　ドゥック</t>
  </si>
  <si>
    <t>NGUYEN NGOC DAI</t>
  </si>
  <si>
    <t>グエン　ゴック　ダイ</t>
  </si>
  <si>
    <t>PHAM DINH TUAN</t>
  </si>
  <si>
    <t>ファム　ディン　トウン</t>
  </si>
  <si>
    <t>DANG CONG CHIEN</t>
  </si>
  <si>
    <t>ダン　コン　チエン</t>
  </si>
  <si>
    <t>DUONG VAN NGHIA</t>
  </si>
  <si>
    <t>ズオン　ヴァン　ギア</t>
  </si>
  <si>
    <t>NGUYEN VAN VUNG</t>
  </si>
  <si>
    <t>グエン　ヴァン　ブン</t>
  </si>
  <si>
    <t>DAO THI MIEN</t>
  </si>
  <si>
    <t>ダオ　ティ　ミエン</t>
  </si>
  <si>
    <t>TRAN QUANG HUY</t>
  </si>
  <si>
    <t>チャン　クアン　フィ</t>
  </si>
  <si>
    <t>NGUYEN PHAN BANG</t>
  </si>
  <si>
    <t>グエン　ファン　バン</t>
  </si>
  <si>
    <t>佐藤　マルセロ　ヒトシ</t>
  </si>
  <si>
    <t>サトウ　マルセロ　ヒトシ</t>
  </si>
  <si>
    <t>EKO SUHARYADI</t>
  </si>
  <si>
    <t>エコ　スハリアディ</t>
  </si>
  <si>
    <t>ABDUL ANSAR</t>
  </si>
  <si>
    <t>アブドゥル　アンザル</t>
  </si>
  <si>
    <t>NGUYEN THANH BINH</t>
  </si>
  <si>
    <t>グエン　タン　ビン</t>
  </si>
  <si>
    <t>VU DUC QUOC DAT</t>
  </si>
  <si>
    <t>VO VAN THA</t>
  </si>
  <si>
    <t>ヴォー　ヴァン　ター</t>
  </si>
  <si>
    <t>ユアサ工機 御津</t>
  </si>
  <si>
    <t>DO DOAN HIEU</t>
  </si>
  <si>
    <t>ドー　ドアン　ヒエウ</t>
  </si>
  <si>
    <t>NGUYEN THI HANH</t>
  </si>
  <si>
    <t>グエン　ティ　ハイン</t>
  </si>
  <si>
    <t>HOANG VAN HUNG</t>
  </si>
  <si>
    <t>ホアン　ヴァン　フン</t>
  </si>
  <si>
    <t>VU THUONG QUYEN</t>
  </si>
  <si>
    <t>ヴ　トウオン　クイエン</t>
  </si>
  <si>
    <t>NGUYEN THE DANG</t>
  </si>
  <si>
    <t>グエン　テー　ダン</t>
  </si>
  <si>
    <t>PHAM DINH SANG</t>
  </si>
  <si>
    <t>ファム　ディン　サン</t>
  </si>
  <si>
    <t>NGUYEN HUU HOI</t>
  </si>
  <si>
    <t>グエン　フー　ホイ</t>
  </si>
  <si>
    <t>LE VAN MANH</t>
  </si>
  <si>
    <t>レー　ヴァン　マイン</t>
  </si>
  <si>
    <t>THIEU QUANG TINH</t>
  </si>
  <si>
    <t>ティエウ　クアン　ティン</t>
  </si>
  <si>
    <t>TRAN BA HAI</t>
  </si>
  <si>
    <t>チャン　バ　ハイ</t>
  </si>
  <si>
    <t>NGUYEN VIET HA</t>
  </si>
  <si>
    <t>グエン　ヴィエット　ハー</t>
  </si>
  <si>
    <t>CHU VAN PHUONG</t>
  </si>
  <si>
    <t>チュ　バン　フオン</t>
  </si>
  <si>
    <t>DANG VAN DOANH</t>
  </si>
  <si>
    <t>ダン　ヴァン　ゾアン</t>
  </si>
  <si>
    <t>NGUYEN VAN TAI</t>
  </si>
  <si>
    <t>グエン　ヴァン　タイ</t>
  </si>
  <si>
    <t>NGUYEN HUU THANG</t>
  </si>
  <si>
    <t>グエン　フゥ　タン</t>
  </si>
  <si>
    <t>グエン　ヴァン　フン</t>
  </si>
  <si>
    <t>MAI QUANG HAU</t>
  </si>
  <si>
    <t>マイ　クアン　ハウ</t>
  </si>
  <si>
    <t>NGUYEN XUAN PHUC</t>
  </si>
  <si>
    <t>グエン　スアン　フック</t>
  </si>
  <si>
    <t>保科　クラウジオ</t>
  </si>
  <si>
    <t>ホシナ　クラウジオ</t>
  </si>
  <si>
    <t>NGUYEN VAN THAI</t>
  </si>
  <si>
    <t>グエン　バン　タイ</t>
  </si>
  <si>
    <t>CHU DUC THANG</t>
  </si>
  <si>
    <t>チュ　ドゥック　タン</t>
  </si>
  <si>
    <t>田村　誠吾</t>
  </si>
  <si>
    <t>タムラ　セイゴ</t>
  </si>
  <si>
    <t>DINH CONG CUONG</t>
  </si>
  <si>
    <t>ディン　コン　クォン</t>
  </si>
  <si>
    <t>DINH NHO SANG</t>
  </si>
  <si>
    <t>ディン　ノー　サン</t>
  </si>
  <si>
    <t>PHAN MINH THANH</t>
  </si>
  <si>
    <t>ファン　ミン　タイン</t>
  </si>
  <si>
    <t>HO DINH DUONG</t>
  </si>
  <si>
    <t>ホー　ディン　ズオン</t>
  </si>
  <si>
    <t>HOANG ANH TU</t>
  </si>
  <si>
    <t>ホアン　アイン　トウ</t>
  </si>
  <si>
    <t>レー　ヴァン　ルオン</t>
  </si>
  <si>
    <t>VO MINH PHUONG</t>
  </si>
  <si>
    <t>ヴォ　ミン　フォン</t>
  </si>
  <si>
    <t>DO VAN TRINH</t>
  </si>
  <si>
    <t>ド　バン　チン</t>
  </si>
  <si>
    <t>ユアサ工機 本社</t>
  </si>
  <si>
    <t>DANG VAN QUANG</t>
  </si>
  <si>
    <t>ダン　ヴァン　クアン</t>
  </si>
  <si>
    <t>NGUYEN TAT DIEP</t>
  </si>
  <si>
    <t>グエン　タット　デイエップ</t>
  </si>
  <si>
    <t>LE TRONG LINH</t>
  </si>
  <si>
    <t>レ　チョン　リン</t>
  </si>
  <si>
    <t>VU DUC THIET</t>
  </si>
  <si>
    <t>ヴー　ドゥク　ティエット</t>
  </si>
  <si>
    <t>DUONG VIET HOANG</t>
  </si>
  <si>
    <t>ズオン　ビエット　ホアン</t>
  </si>
  <si>
    <t>PHAM VAN DUY</t>
  </si>
  <si>
    <t>ファム　バン　ズイ</t>
  </si>
  <si>
    <t>片山　アンドレ　リカルド</t>
  </si>
  <si>
    <t>カタヤマ　アンドレ　リカルド</t>
  </si>
  <si>
    <t>NGUYEN QUOC DAT</t>
  </si>
  <si>
    <t>グエン　クオック　ダット</t>
  </si>
  <si>
    <t>HOANG DUY THANG</t>
  </si>
  <si>
    <t>ホアン　ズイ　タン</t>
  </si>
  <si>
    <t>NGO VAN ANH</t>
  </si>
  <si>
    <t>ゴー　ヴァン　アイン</t>
  </si>
  <si>
    <t>NGO VAN SANG</t>
  </si>
  <si>
    <t>ゴー　ヴァン　サン</t>
  </si>
  <si>
    <t>PHAM TAN LOC</t>
  </si>
  <si>
    <t>ファム　タン　ロク</t>
  </si>
  <si>
    <t>VO DUC SON</t>
  </si>
  <si>
    <t>ヴォ　ドゥック　ソン</t>
  </si>
  <si>
    <t>NGUYEN HUY TAI</t>
  </si>
  <si>
    <t>グエン　フィ　タイ</t>
  </si>
  <si>
    <t>NGUYEN THANH DAT</t>
  </si>
  <si>
    <t>グエン　タイン　ダット</t>
  </si>
  <si>
    <t>DUONG HOANG ANH</t>
  </si>
  <si>
    <t>ズオン　ホアン　アイン</t>
  </si>
  <si>
    <t>DANG THE DONG</t>
  </si>
  <si>
    <t>ダン　テー　ドン</t>
  </si>
  <si>
    <t>LE VIET DUNG</t>
  </si>
  <si>
    <t>レー　ヴィエット　ズン</t>
  </si>
  <si>
    <t>TRAN DUC KIEN</t>
  </si>
  <si>
    <t>チャン　ドゥック　キエン</t>
  </si>
  <si>
    <t>VU VAN DINH</t>
  </si>
  <si>
    <t>ヴー　ヴァン　ディン</t>
  </si>
  <si>
    <t>NGUYEN QUY TOAN</t>
  </si>
  <si>
    <t>グエン　クイ　トアン</t>
  </si>
  <si>
    <t>加藤木材工業 春日井</t>
  </si>
  <si>
    <t>NGUYEN VINH HIEU</t>
  </si>
  <si>
    <t>グエン　ヴィン　ヒエウ</t>
  </si>
  <si>
    <t>NGUYEN THI LOC</t>
  </si>
  <si>
    <t>グエン　ティ　ロック</t>
  </si>
  <si>
    <t>NGUYEN THI QUYEN</t>
  </si>
  <si>
    <t>グエン　ティ　クエン</t>
  </si>
  <si>
    <t>PHAM VAN THANH</t>
  </si>
  <si>
    <t>ファム　バン　タイン</t>
  </si>
  <si>
    <t>NGUYEN HOANG ANH</t>
  </si>
  <si>
    <t>グエン　ホアン　アイン</t>
  </si>
  <si>
    <t>グエン　ヴァン　チュオン</t>
  </si>
  <si>
    <t>LE TRUNG DUC</t>
  </si>
  <si>
    <t>レ　チュン　ジク</t>
  </si>
  <si>
    <t>CHU THANH AN</t>
  </si>
  <si>
    <t>チュー　タイン　アン</t>
  </si>
  <si>
    <t>NGUYEN VAN KIEN</t>
  </si>
  <si>
    <t>グエン　ヴァン　キエン</t>
  </si>
  <si>
    <t>NGUYEN XUAN DUONG</t>
  </si>
  <si>
    <t>グエン　スアン　ズオン</t>
  </si>
  <si>
    <t>PHAM HONG CUONG</t>
  </si>
  <si>
    <t>ファン　ホン　クオン</t>
  </si>
  <si>
    <t>TRAN NHU CANH</t>
  </si>
  <si>
    <t>チャン　ニュ　カン</t>
  </si>
  <si>
    <t>DANG NGOC SON</t>
  </si>
  <si>
    <t>ダン　ゴック　ソン</t>
  </si>
  <si>
    <t>TRAN NGOC DINH</t>
  </si>
  <si>
    <t>チャン　ノック　ディン</t>
  </si>
  <si>
    <t>リュ　ヴァン　トゥン</t>
  </si>
  <si>
    <t>ヴー　ディン　クアン</t>
  </si>
  <si>
    <t>NGUYEN DANH TIEP</t>
  </si>
  <si>
    <t>グエン　ダン　テイエプ</t>
  </si>
  <si>
    <t>DO VAN SON</t>
  </si>
  <si>
    <t>ド　ヴァン　ソン</t>
  </si>
  <si>
    <t>TRAN BA HUNG</t>
  </si>
  <si>
    <t>チャン　バ　フン</t>
  </si>
  <si>
    <t>SIDO SERGIO HIROJI</t>
  </si>
  <si>
    <t>シドウ　セルジオ　ヒロジ</t>
  </si>
  <si>
    <t>NGUYEN THI TRANG</t>
  </si>
  <si>
    <t>グエン　ティ　チャン</t>
  </si>
  <si>
    <t>BUI HUU KHOA</t>
  </si>
  <si>
    <t>ブイ　フウ　コア</t>
  </si>
  <si>
    <t>DANG MINH QUANG</t>
  </si>
  <si>
    <t>ダン　ミイン　クアン</t>
  </si>
  <si>
    <t>NGUYEN VAN DOAN</t>
  </si>
  <si>
    <t>グエン　ヴァン　ドアン</t>
  </si>
  <si>
    <t>BUI XUAN QUYET</t>
  </si>
  <si>
    <t>ブイ　スアン　クエット</t>
  </si>
  <si>
    <t>VU HUU HOANG</t>
  </si>
  <si>
    <t>ヴ　フュ　ホアン</t>
  </si>
  <si>
    <t>NGUYEN VAN TRUYEN</t>
  </si>
  <si>
    <t>グエン　ヴァン　チュエン</t>
  </si>
  <si>
    <t>VO VAN XUAN</t>
  </si>
  <si>
    <t>ヴォ　ヴァン　スアン</t>
  </si>
  <si>
    <t>DAM XUAN SOAT</t>
  </si>
  <si>
    <t>ダム　スアン　ソアット</t>
  </si>
  <si>
    <t>HA THO HOAN</t>
  </si>
  <si>
    <t>ハ　ト　ホアン</t>
  </si>
  <si>
    <t>PHAM HUY TIEN</t>
  </si>
  <si>
    <t>ファム　フィ　テイエン</t>
  </si>
  <si>
    <t>NGUYEN VAN QUANG</t>
  </si>
  <si>
    <t>VU NGOC HOAN</t>
  </si>
  <si>
    <t>ヴー　ゴック　ホアン</t>
  </si>
  <si>
    <t>LE MINH HIEU</t>
  </si>
  <si>
    <t>レー　ミン　ヒエウ</t>
  </si>
  <si>
    <t>NGUYEN NGOC PHONG</t>
  </si>
  <si>
    <t>グエン　ゴック　フォン</t>
  </si>
  <si>
    <t>田中　ヤスヒロ</t>
  </si>
  <si>
    <t>タナカ　ヤスヒロ</t>
  </si>
  <si>
    <t>レー　ヴィエット　チュン</t>
  </si>
  <si>
    <t>THAI BA THACH</t>
  </si>
  <si>
    <t>タイ　バー　タック</t>
  </si>
  <si>
    <t>TRAN XUAN DAT</t>
  </si>
  <si>
    <t>チャン　スアン　ダット</t>
  </si>
  <si>
    <t>NGUYEN DINH HUAN</t>
  </si>
  <si>
    <t>グエン　ディン　ファン</t>
  </si>
  <si>
    <t>TRAN NGOC HOAI</t>
  </si>
  <si>
    <t>チャン　ゴック　ホアイ</t>
  </si>
  <si>
    <t>LE DINH PHUC</t>
  </si>
  <si>
    <t>レ　ディン　フック</t>
  </si>
  <si>
    <t>DO TUAN ANH</t>
  </si>
  <si>
    <t>ドー　トゥアン　アイン</t>
  </si>
  <si>
    <t>PHUNG QUANG DUONG</t>
  </si>
  <si>
    <t>フン　クアン　ズオン</t>
  </si>
  <si>
    <t>LE VAN NAM</t>
  </si>
  <si>
    <t>レー　ヴァン　ナム</t>
  </si>
  <si>
    <t>PHAM VAN CANH</t>
  </si>
  <si>
    <t>ファム　ヴァン　カン</t>
  </si>
  <si>
    <t>BUI XUAN DUONG</t>
  </si>
  <si>
    <t>ブイ　スアン　ズオン</t>
  </si>
  <si>
    <t>NGUYEN VAN DU</t>
  </si>
  <si>
    <t>LE DUY KHAI</t>
  </si>
  <si>
    <t>レー　ズイ　カイ</t>
  </si>
  <si>
    <t>NGUYEN QUOC HUNG</t>
  </si>
  <si>
    <t>グエン　コック　フン</t>
  </si>
  <si>
    <t>TRAN QUOC TRUONG</t>
  </si>
  <si>
    <t>チャン　コック　チュオン</t>
  </si>
  <si>
    <t>NGUYEN DINH TANG</t>
  </si>
  <si>
    <t>グエン　デイン　タン</t>
  </si>
  <si>
    <t>NGUYEN VAN ANH</t>
  </si>
  <si>
    <t>グエン　バン　アン</t>
  </si>
  <si>
    <t>JONDA RAMOS VICTOR ADOLFO</t>
  </si>
  <si>
    <t>ホンダ　ビクトル</t>
  </si>
  <si>
    <t>BUI THI PHUONG</t>
  </si>
  <si>
    <t>ブイ　ティ　フォン</t>
  </si>
  <si>
    <t>NGUYEN VAN PHUC</t>
  </si>
  <si>
    <t>グエン　ヴァン　フック</t>
  </si>
  <si>
    <t>DANG VAN BINH</t>
  </si>
  <si>
    <t>ダン　ヴァン　ビン</t>
  </si>
  <si>
    <t>LE XUAN HOANG</t>
  </si>
  <si>
    <t>レ　スアン　ホアン</t>
  </si>
  <si>
    <t>HO SY CUONG</t>
  </si>
  <si>
    <t>ホー　シー　クオン</t>
  </si>
  <si>
    <t>PHAN VAN PHI</t>
  </si>
  <si>
    <t>ファン　ヴァン　フィ</t>
  </si>
  <si>
    <t>NGUYEN VAN NAM</t>
  </si>
  <si>
    <t>グエン　ヴァン　ナム</t>
  </si>
  <si>
    <t>THAI VAN HUNG</t>
  </si>
  <si>
    <t>NGUYEN QUOC LONG</t>
  </si>
  <si>
    <t>グエン　クォック　ロン</t>
  </si>
  <si>
    <t>TRAN VAN HUAN</t>
  </si>
  <si>
    <t>チャン　ヴァン　ファン</t>
  </si>
  <si>
    <t>DU DUC CANH</t>
  </si>
  <si>
    <t>ズ　ドゥック　カイン</t>
  </si>
  <si>
    <t>NGUYEN HUU NHAT</t>
  </si>
  <si>
    <t>グエン　ヒュ　ニャット</t>
  </si>
  <si>
    <t>NGUYEN DUY LAN</t>
  </si>
  <si>
    <t>グエン　ズイ　ラン</t>
  </si>
  <si>
    <t>VO HOANG CHUONG</t>
  </si>
  <si>
    <t>ヴォ　ホアン　チュオン</t>
  </si>
  <si>
    <t>LE SY HUNG</t>
  </si>
  <si>
    <t>レー　シー　フン</t>
  </si>
  <si>
    <t>TRAN VAN THAI</t>
  </si>
  <si>
    <t>チャン　ヴァン　タイ</t>
  </si>
  <si>
    <t>グエン　ヴァン　フオン</t>
  </si>
  <si>
    <t>LY VAN DUC</t>
  </si>
  <si>
    <t>リー　バン　ドク</t>
  </si>
  <si>
    <t>GOTO TAMIO MARIO</t>
  </si>
  <si>
    <t>ゴトウ　タミオ　マリオ</t>
  </si>
  <si>
    <t>VU VAN DUNG</t>
  </si>
  <si>
    <t>ブ　バン　ズン</t>
  </si>
  <si>
    <t>PHAN VAN THUC</t>
  </si>
  <si>
    <t>ファン　ヴァン　トゥック</t>
  </si>
  <si>
    <t>TRAN QUOC QUAN</t>
  </si>
  <si>
    <t>チャン　クオック　クアン</t>
  </si>
  <si>
    <t>PHAM DUC KHAC</t>
  </si>
  <si>
    <t>ファム　ドゥック　カック</t>
  </si>
  <si>
    <t>NGUYEN DUC CHUNG</t>
  </si>
  <si>
    <t>グエン　ドゥック　チュン</t>
  </si>
  <si>
    <t>NGUYEN DUC QUANG 　</t>
  </si>
  <si>
    <t>グエン　ドック　クアン</t>
  </si>
  <si>
    <t>LE NGOC THONG</t>
  </si>
  <si>
    <t>レ　ゴック　トン</t>
  </si>
  <si>
    <t>HOANG XUAN TUAN</t>
  </si>
  <si>
    <t>ホアン　スアン　トゥアン</t>
  </si>
  <si>
    <t>TRAN VAN QUANG</t>
  </si>
  <si>
    <t>チャン　ヴァン　クアン</t>
  </si>
  <si>
    <t>NGO VAN LINH</t>
  </si>
  <si>
    <t>ゴー　バン　リン</t>
  </si>
  <si>
    <t>PHAM VAN DONG</t>
  </si>
  <si>
    <t>ファム　バン　ドン</t>
  </si>
  <si>
    <t>トラン　バン　トゥアン</t>
  </si>
  <si>
    <t>LE TRAN NHAT LINH</t>
  </si>
  <si>
    <t>レ　チャン　ニャット　リン</t>
  </si>
  <si>
    <t>HIRATA AIZAWA RODRIGO HIROSHI</t>
  </si>
  <si>
    <t>ヒラタ　ロドリゴ　ヒロシ</t>
  </si>
  <si>
    <t>BUI NGOC SY</t>
  </si>
  <si>
    <t>ブイ　ゴック　シー</t>
  </si>
  <si>
    <t>VU VIET HUNG</t>
  </si>
  <si>
    <t>ブー　ベト　フン</t>
  </si>
  <si>
    <t>TRAN HUY CONG</t>
  </si>
  <si>
    <t>チャン　フイ　コン</t>
  </si>
  <si>
    <t>PHAN VAN QUY</t>
  </si>
  <si>
    <t>HUYNH TRUONG HUONG</t>
  </si>
  <si>
    <t>フィン　チュオン　フオン</t>
  </si>
  <si>
    <t>グエン　ヴァン　アイン</t>
  </si>
  <si>
    <t>HUYNH THANH LIEM</t>
  </si>
  <si>
    <t>フィン　タン　リエム</t>
  </si>
  <si>
    <t>NGUYEN VIET TIEP</t>
  </si>
  <si>
    <t>グエン　ベト　テイエップ</t>
  </si>
  <si>
    <t>HOANG TRUNG VIET</t>
  </si>
  <si>
    <t>ホアン　チュン　ベト</t>
  </si>
  <si>
    <t>LE DINH TUU</t>
  </si>
  <si>
    <t>レ　ディン トゥー</t>
  </si>
  <si>
    <t>DUONG THI PHUONG</t>
  </si>
  <si>
    <t>ズオン　ティ　フォン</t>
  </si>
  <si>
    <t>EKO BUDIANTO</t>
  </si>
  <si>
    <t>エコ　ブディアント</t>
  </si>
  <si>
    <t>PHAN VAN HOAT</t>
  </si>
  <si>
    <t>ファン　ヴァン　ホアット</t>
  </si>
  <si>
    <t>レ　ヴィエト　フン</t>
  </si>
  <si>
    <t>THAI CONG BANG</t>
  </si>
  <si>
    <t>タイ　コン　バン</t>
  </si>
  <si>
    <t>BUI VAN TRANG</t>
  </si>
  <si>
    <t>ブイ　ヴァン　チャン</t>
  </si>
  <si>
    <t>DUONG THANH BINH</t>
  </si>
  <si>
    <t>ズオン　タン　ビン</t>
  </si>
  <si>
    <t>BUI VAN CHINH</t>
  </si>
  <si>
    <t>ブイ　バン　チン</t>
  </si>
  <si>
    <t>LUONG VAN HAI</t>
  </si>
  <si>
    <t>ルオン　ヴァン　ハイ</t>
  </si>
  <si>
    <t>VU TRUNG HIEU</t>
  </si>
  <si>
    <t>ヴー　チュン　ヒュー</t>
  </si>
  <si>
    <t>VU THI DUYEN</t>
  </si>
  <si>
    <t>ヴ　ティ　ズエン</t>
  </si>
  <si>
    <t>安谷屋　ロベルト</t>
  </si>
  <si>
    <t>アダニヤ　ロベルト</t>
  </si>
  <si>
    <t>NOVAIS GONDO GERENE LUKAS</t>
  </si>
  <si>
    <t>ゴンドウ　ルカス</t>
  </si>
  <si>
    <t>LE DINH LOI</t>
  </si>
  <si>
    <t>レ　ディン　ロイ</t>
  </si>
  <si>
    <t>PHAN VAN QUAN</t>
  </si>
  <si>
    <t>ファン　ヴァン　クウアン</t>
  </si>
  <si>
    <t>NGUYEN XUAN NAM</t>
  </si>
  <si>
    <t>グエン　スアン　ナム</t>
  </si>
  <si>
    <t>CAO VAN QUANG</t>
  </si>
  <si>
    <t>カオ　ヴァン　クアン</t>
  </si>
  <si>
    <t>NGUYEN MINH THOAI</t>
  </si>
  <si>
    <t>グエン　ミン　トアイ</t>
  </si>
  <si>
    <t>LE BA PHU</t>
  </si>
  <si>
    <t>レ　バ　フー</t>
  </si>
  <si>
    <t>NGUYEN KHOA TIEN DAT</t>
  </si>
  <si>
    <t>グエン　コア　ティエン　ダット</t>
  </si>
  <si>
    <t>TRAN VAN CHINH</t>
  </si>
  <si>
    <t>チャン　ヴァン　チン</t>
  </si>
  <si>
    <t>NGUYEN DUY HUNG</t>
  </si>
  <si>
    <t>グエン　ズイ　フン</t>
  </si>
  <si>
    <t>NGUYEN THANH LUAN</t>
  </si>
  <si>
    <t>グエン　タイン　ルアン</t>
  </si>
  <si>
    <t>NGUYEN MINH HIEU</t>
  </si>
  <si>
    <t>グエン　ミン　ヒエウ</t>
  </si>
  <si>
    <t>NGUYEN HONG HIEU</t>
  </si>
  <si>
    <t>グエン　ホン　ヒエウ</t>
  </si>
  <si>
    <t>PHAM HUNG LUONG</t>
  </si>
  <si>
    <t>ファム　フン　ルオン</t>
  </si>
  <si>
    <t>TRAN NGUYEN MINH KHOA</t>
  </si>
  <si>
    <t>チャン　グエン　ミン　コア</t>
  </si>
  <si>
    <t>PHAN VAN HAI</t>
  </si>
  <si>
    <t>ファン　ヴァン　ハイ</t>
  </si>
  <si>
    <t>LE ANH TU</t>
  </si>
  <si>
    <t>レ　アイン　トゥ</t>
  </si>
  <si>
    <t>WATANABE MAYORGA ARMANDO JOSE</t>
  </si>
  <si>
    <t>ワタナベ　アルマンド</t>
  </si>
  <si>
    <t>TRAN VAN TIEN</t>
  </si>
  <si>
    <t>チャン　バン　ティエン</t>
  </si>
  <si>
    <t>TRAN THI TRANG</t>
  </si>
  <si>
    <t>チャン　ティ　チャン</t>
  </si>
  <si>
    <t>TRAN VAN VIET</t>
  </si>
  <si>
    <t>チャン　ヴァン　ヴィエット</t>
  </si>
  <si>
    <t>PHAM HOANG MINH</t>
  </si>
  <si>
    <t>ファム　ホアン　ミン</t>
  </si>
  <si>
    <t>TRINH VAN TU</t>
  </si>
  <si>
    <t>チン　ヴァン　トウ</t>
  </si>
  <si>
    <t>DONG LE XUAN HIEP</t>
  </si>
  <si>
    <t>ドン　レ　スアン　ヒエップ</t>
  </si>
  <si>
    <t>VU CONG MINH</t>
  </si>
  <si>
    <t>ヴ　コン　ミン</t>
  </si>
  <si>
    <t>TRAN THE HOANG</t>
  </si>
  <si>
    <t>チャン　テー　ホアン</t>
  </si>
  <si>
    <t>NGUYEN QUANG HOA</t>
  </si>
  <si>
    <t>グエン　クアン　ホア</t>
  </si>
  <si>
    <t>NGUYEN TRONG HIEU</t>
  </si>
  <si>
    <t>グエン　チゥン　ヒエウ</t>
  </si>
  <si>
    <t>チャン　バン　チン</t>
  </si>
  <si>
    <t>DO THI ANH</t>
  </si>
  <si>
    <t>ド　ティ　アイン</t>
  </si>
  <si>
    <t>PHAN HUU THI</t>
  </si>
  <si>
    <t>ファン　フュ　ティ</t>
  </si>
  <si>
    <t>TRAN TRONG KHOE</t>
  </si>
  <si>
    <t>チャン　チョン　クォエ</t>
  </si>
  <si>
    <t>NGUYEN HOANG TRUNG</t>
  </si>
  <si>
    <t>グエン　ホアン　チュン</t>
  </si>
  <si>
    <t>PHAN TRUNG NAM</t>
  </si>
  <si>
    <t>ファン　チュン　ナム</t>
  </si>
  <si>
    <t>VU VAN SON</t>
  </si>
  <si>
    <t>ヴ　ヴァン　ソン</t>
  </si>
  <si>
    <t>TRAN DUC TOAN</t>
  </si>
  <si>
    <t>チャン　ドゥック　トアン</t>
  </si>
  <si>
    <t>NGUYEN VAN PHUONG</t>
  </si>
  <si>
    <t>グエン　ヴァン　フォン</t>
  </si>
  <si>
    <t>NGUYEN VAN THACH</t>
  </si>
  <si>
    <t>グエン　ヴァン　タック</t>
  </si>
  <si>
    <t>NGUYEN THI THO</t>
  </si>
  <si>
    <t>グエン　ティ　ト</t>
  </si>
  <si>
    <t>TRAN QUANG DUC</t>
  </si>
  <si>
    <t>チャン　クアン　ドゥック</t>
  </si>
  <si>
    <t>NGUYEN MANH CUONG</t>
  </si>
  <si>
    <t>グエン　マイン　クオン</t>
  </si>
  <si>
    <t>NGUYEN VAN DAT</t>
  </si>
  <si>
    <t>グエン　ヴァン　ダット</t>
  </si>
  <si>
    <t>NGUYEN CONG NAM</t>
  </si>
  <si>
    <t>グエン　コン　ナム</t>
  </si>
  <si>
    <t>NGUYEN VAN LINH</t>
  </si>
  <si>
    <t>グエン　ヴァン　リン</t>
  </si>
  <si>
    <t>VUONG CONG MINH</t>
  </si>
  <si>
    <t>ヴォン　コン　ミン</t>
  </si>
  <si>
    <t>NGUYEN THANH Y</t>
  </si>
  <si>
    <t>グエン　タン　イー</t>
  </si>
  <si>
    <t>グエン　マン　クオン</t>
  </si>
  <si>
    <t>HOANG QUOC VIET</t>
  </si>
  <si>
    <t>ホアン　クォック　ベト</t>
  </si>
  <si>
    <t>CAO VAN SON</t>
  </si>
  <si>
    <t>カオ　ヴァン　ソン</t>
  </si>
  <si>
    <t>NGUYEN THE HAO</t>
  </si>
  <si>
    <t>グエン　テー　ハオ</t>
  </si>
  <si>
    <t>NGUYEN NGOC NHUT</t>
  </si>
  <si>
    <t>グエン　ゴック　ヌット</t>
  </si>
  <si>
    <t>PHAN DUY KHUONG</t>
  </si>
  <si>
    <t>ファン　ズイ　クオン</t>
  </si>
  <si>
    <t>ファム　ヴィン　クアン</t>
  </si>
  <si>
    <t>NGUYEN BA HIEU</t>
  </si>
  <si>
    <t>グエン　バー　ヒエウ</t>
  </si>
  <si>
    <t>TRAN NAM ANH</t>
  </si>
  <si>
    <t>チャン　ナム　アイン</t>
  </si>
  <si>
    <t>VU DUONG LINH</t>
  </si>
  <si>
    <t>ヴ　ヅオン　リン</t>
  </si>
  <si>
    <t>KIEU THANH MINH</t>
  </si>
  <si>
    <t>キュウ　タン　ミン</t>
  </si>
  <si>
    <t>DANG VAN MUOI</t>
  </si>
  <si>
    <t>ダン　バン　ムオイ</t>
  </si>
  <si>
    <t>DANG VAN HOAI PHONG</t>
  </si>
  <si>
    <t>LE DUC ANH</t>
  </si>
  <si>
    <t>レ　ドゥック　アイン</t>
  </si>
  <si>
    <t>VO DIEN VU MINH</t>
  </si>
  <si>
    <t>ヴォー　ディエン　ヴー　ミン</t>
  </si>
  <si>
    <t>BUI QUANG DAI</t>
  </si>
  <si>
    <t>ブイ　クアン　ダイ</t>
  </si>
  <si>
    <t>PHAM HUU CUONG</t>
  </si>
  <si>
    <t>ファム　ヒゥ　クオン</t>
  </si>
  <si>
    <t>ABE NUNES ERICO KENJI</t>
  </si>
  <si>
    <t>アベ　ケンジ</t>
  </si>
  <si>
    <t>TRAN THE AN</t>
  </si>
  <si>
    <t>チャン　テー　アン</t>
  </si>
  <si>
    <t>VU HAI LONG</t>
  </si>
  <si>
    <t>ヴー　ハイ　ロン</t>
  </si>
  <si>
    <t>DINH VAN TRUNG</t>
  </si>
  <si>
    <t>ディン　ヴァン　チュン</t>
  </si>
  <si>
    <t>LE NHI KHANG</t>
  </si>
  <si>
    <t>レ－　ニィ　カン</t>
  </si>
  <si>
    <t>VO HUY PHUONG</t>
  </si>
  <si>
    <t>ヴォ　フィ　フオン</t>
  </si>
  <si>
    <t>レ　ヴァン　ミン</t>
  </si>
  <si>
    <t>NAKIRI FERREIRA VALDINEI</t>
  </si>
  <si>
    <t>ナキリ　フェレイラ</t>
  </si>
  <si>
    <t>DAO TIEN MANH</t>
  </si>
  <si>
    <t>ダオ　ティエン　マイン</t>
  </si>
  <si>
    <t>グエン　クオック　タイ</t>
  </si>
  <si>
    <t>TRAN THANH LAM</t>
  </si>
  <si>
    <t>チャン　タイン　ラム</t>
  </si>
  <si>
    <t>NGUYEN VAN TUNG</t>
  </si>
  <si>
    <t>グエン　ヴァン　トゥン</t>
  </si>
  <si>
    <t>レ　ドゥク　アイン</t>
  </si>
  <si>
    <t>NGUYEN QUOC BAO</t>
  </si>
  <si>
    <t>グエン　クォック　バオ</t>
  </si>
  <si>
    <t>HOANG TIEN LONG</t>
  </si>
  <si>
    <t>ホアン　ティエン　ロン</t>
  </si>
  <si>
    <t>NGUYEN HUU KHANG</t>
  </si>
  <si>
    <t>グエン　ヒュウ　カン</t>
  </si>
  <si>
    <t>PHAM MINH HUAN</t>
  </si>
  <si>
    <t>ファム　ミン　フアン</t>
  </si>
  <si>
    <t>VO KIM THANH</t>
  </si>
  <si>
    <t>LE VAN QUANG</t>
  </si>
  <si>
    <t>レ　ヴァン　クアン</t>
  </si>
  <si>
    <t>NGO DANG BANG</t>
  </si>
  <si>
    <t>ゴ　ダン　バン</t>
  </si>
  <si>
    <t>NGUYEN QUANG TUNG</t>
  </si>
  <si>
    <t>グエン　クアン　トゥン</t>
  </si>
  <si>
    <t>グエン　フォン　クオン</t>
  </si>
  <si>
    <t>ダム　キエン　ラップ</t>
  </si>
  <si>
    <t>NGUYEN CONG HAU</t>
  </si>
  <si>
    <t>グエン　コン　ハウ</t>
  </si>
  <si>
    <t>グエン　ドゥック　フィ</t>
  </si>
  <si>
    <t>NGO DUY LONG</t>
  </si>
  <si>
    <t>ゴ　ズイ　ロン</t>
  </si>
  <si>
    <t>DUONG TUAN VIET</t>
  </si>
  <si>
    <t>ズオン　トゥアン　ヴィエット</t>
  </si>
  <si>
    <t>BARROS CORREA MARIANA</t>
  </si>
  <si>
    <t>バロス　コレア　マリアナ</t>
  </si>
  <si>
    <t>BOLZAN DOS PASSOS DIEGO</t>
  </si>
  <si>
    <t>ボルザン　ジエゴ</t>
  </si>
  <si>
    <t>NGUYEN DINH NHAT</t>
  </si>
  <si>
    <t>グエン　ディン　ニャット</t>
  </si>
  <si>
    <t>NGUYEN VANG DANG</t>
  </si>
  <si>
    <t>HOANG VAN CHUONG</t>
  </si>
  <si>
    <t>NGO VAN TOAN</t>
  </si>
  <si>
    <t>ゴー　ヴァン　トアン</t>
  </si>
  <si>
    <t>TRAN TUAN CUONG</t>
  </si>
  <si>
    <t>チャン　トアン　クオン</t>
  </si>
  <si>
    <t>NGUYEN DUC KIEN</t>
  </si>
  <si>
    <t>グエン　ドウク　キエン</t>
  </si>
  <si>
    <t>LO VIET DUC</t>
  </si>
  <si>
    <t>ロ　ヴィエット　ドゥック</t>
  </si>
  <si>
    <t>LY VAN NHAN</t>
  </si>
  <si>
    <t>SATO MARCELO YUUJI</t>
  </si>
  <si>
    <t>サトウ　マルセロ　ユウジ</t>
  </si>
  <si>
    <t>VU VAN BINH</t>
  </si>
  <si>
    <t>ヴー　ヴァン　ビン</t>
  </si>
  <si>
    <t>TRAN DINH GIANG</t>
  </si>
  <si>
    <t>チャン　ディン　ザン</t>
  </si>
  <si>
    <t>PHAM TAN DANH</t>
  </si>
  <si>
    <t>ファム　タン　ザイン</t>
  </si>
  <si>
    <t>NGUYEN NHU QUANG</t>
  </si>
  <si>
    <t>グエン　ヌ　クアン</t>
  </si>
  <si>
    <t>NGUYEN NGOC MANH</t>
  </si>
  <si>
    <t>NGUYEN THI HONG</t>
  </si>
  <si>
    <t>グエン　ティ　ホン</t>
  </si>
  <si>
    <t>フィン　タン　ファット</t>
  </si>
  <si>
    <t>NGUYEN ANH HAO</t>
  </si>
  <si>
    <t>グエン　アイン　ハオ</t>
  </si>
  <si>
    <t>NGUYEN MINH DIEN</t>
  </si>
  <si>
    <t>グエン　ミン　ディエン</t>
  </si>
  <si>
    <t>LE DINH DONG</t>
  </si>
  <si>
    <t>レ　ディン　ドン</t>
  </si>
  <si>
    <t>阿波根　カロリーナ　サチコ</t>
  </si>
  <si>
    <t>アワコン　カロリーナ　サチコ</t>
  </si>
  <si>
    <t>PERRIRA JOSIVAN DE SOUZA</t>
  </si>
  <si>
    <t>ペレイラ　ジョシバン　デ　ソウザ</t>
  </si>
  <si>
    <t>名古屋</t>
  </si>
  <si>
    <t>VU THI SAU</t>
  </si>
  <si>
    <t>ヴゥ　ティ　サウ</t>
  </si>
  <si>
    <t>グエン　アン　トゥアン</t>
  </si>
  <si>
    <t>中山　欣英</t>
  </si>
  <si>
    <t>ナカヤマ　ヨシヒデ</t>
  </si>
  <si>
    <t>小林　秀子</t>
  </si>
  <si>
    <t>コバヤシ　ヒデコ</t>
  </si>
  <si>
    <t>冨岡　一也</t>
  </si>
  <si>
    <t>トミオカ　カズヤ</t>
  </si>
  <si>
    <t>中山　雅和</t>
  </si>
  <si>
    <t>ナカヤマ　マサカズ</t>
  </si>
  <si>
    <t>佐藤　愛</t>
  </si>
  <si>
    <t>サトウ　アイ</t>
  </si>
  <si>
    <t>兼城　賢士</t>
  </si>
  <si>
    <t>カネシロ　ケンジ</t>
  </si>
  <si>
    <t>原　美輝</t>
  </si>
  <si>
    <t>ハラ　ミキ</t>
  </si>
  <si>
    <t>岡山(請負)</t>
  </si>
  <si>
    <t>景森　敦士</t>
  </si>
  <si>
    <t>カゲモリ　アツシ</t>
  </si>
  <si>
    <t>丸山　卓也</t>
  </si>
  <si>
    <t>マルヤマ　タツヤ</t>
  </si>
  <si>
    <t>林　久恵</t>
  </si>
  <si>
    <t>ハヤシ　ヒサエ</t>
  </si>
  <si>
    <t>小林　和法</t>
  </si>
  <si>
    <t>コバヤシ　カズノリ</t>
  </si>
  <si>
    <t>角南　泰行</t>
  </si>
  <si>
    <t>スナミ　ヤスユキ</t>
  </si>
  <si>
    <t>西岡　守</t>
  </si>
  <si>
    <t>ニシオカ　マモル</t>
  </si>
  <si>
    <t>長江　哲夫</t>
  </si>
  <si>
    <t>ナガエ　テツオ</t>
  </si>
  <si>
    <t>寺門　直文</t>
  </si>
  <si>
    <t>テラカド　ナオフミ</t>
  </si>
  <si>
    <t>内藤　忠</t>
  </si>
  <si>
    <t>ナイトウ　タダシ</t>
  </si>
  <si>
    <t>三宅　実</t>
  </si>
  <si>
    <t>ミヤケ　ミノル</t>
  </si>
  <si>
    <t>竹内　孝</t>
  </si>
  <si>
    <t>タケウチ　タカシ</t>
  </si>
  <si>
    <t>下谷　芳明</t>
  </si>
  <si>
    <t>シモタニ　ヨシアキ</t>
  </si>
  <si>
    <t>佐々野　修吉</t>
  </si>
  <si>
    <t>ササノ　シュウキチ</t>
  </si>
  <si>
    <t>岩尾　勝夫</t>
  </si>
  <si>
    <t>イワオ　ヒデオ</t>
  </si>
  <si>
    <t>西本　八壽裕</t>
  </si>
  <si>
    <t>ニシモト　ヤスヒロ</t>
  </si>
  <si>
    <t>宮田　明昇</t>
  </si>
  <si>
    <t>ミヤタ　アキノリ</t>
  </si>
  <si>
    <t>PUPUTO PRASETYO</t>
  </si>
  <si>
    <t>ププト　プラセティヨ</t>
  </si>
  <si>
    <t>YUDHA ARDI HERMAWAN</t>
  </si>
  <si>
    <t>ユダ　アルディ　ヘルマワン</t>
  </si>
  <si>
    <t>IKORI BILI ALDA</t>
  </si>
  <si>
    <t>イコリ　ビリ　アルダ</t>
  </si>
  <si>
    <t>MUHAMMAD KHOIRUR RIFAN　</t>
  </si>
  <si>
    <t>ムハンマド　コイルル　リファン</t>
  </si>
  <si>
    <t>RIDO GUSTI PRATAMA</t>
  </si>
  <si>
    <t>リド　グスティ　プラタマ</t>
  </si>
  <si>
    <t>OKTA SUSILO</t>
  </si>
  <si>
    <t>オクタ　スシロ</t>
  </si>
  <si>
    <t>ANDIKA FIRMANSYAH</t>
  </si>
  <si>
    <t>アンディカ　フィルマンシャー</t>
  </si>
  <si>
    <t>KHOIRUL ANAM</t>
  </si>
  <si>
    <t>コイルル　アナム</t>
  </si>
  <si>
    <t>森　保二</t>
  </si>
  <si>
    <t>モリ　ヤスジ</t>
  </si>
  <si>
    <t>運搬</t>
  </si>
  <si>
    <t>齋藤　勝</t>
  </si>
  <si>
    <t>サイトウ　マサル</t>
  </si>
  <si>
    <t>蒲　實</t>
  </si>
  <si>
    <t>ガマ　ミノル</t>
  </si>
  <si>
    <t>吉岡　宏</t>
  </si>
  <si>
    <t>ヨシオカ　ヒロシ</t>
  </si>
  <si>
    <t>投入</t>
  </si>
  <si>
    <t>中島　健</t>
  </si>
  <si>
    <t>ナカシマ　タケシ</t>
  </si>
  <si>
    <t>江口　保幸</t>
  </si>
  <si>
    <t>エグチ　ヤスユキ</t>
  </si>
  <si>
    <t>久米　亨</t>
  </si>
  <si>
    <t>クメ　トオル</t>
  </si>
  <si>
    <t>橋本　勝也</t>
  </si>
  <si>
    <t>ハシモト　カツヤ</t>
  </si>
  <si>
    <t>難波　修</t>
  </si>
  <si>
    <t>ナンバ　オサム</t>
  </si>
  <si>
    <t>入澤　憲二</t>
  </si>
  <si>
    <t>イリサワ　ケンジ</t>
  </si>
  <si>
    <t>矢野　美明</t>
  </si>
  <si>
    <t>ヤノ　ヨシアキ</t>
  </si>
  <si>
    <t>早川　広治</t>
  </si>
  <si>
    <t>ハヤカワ　コウジ</t>
  </si>
  <si>
    <t>久重　延夫</t>
  </si>
  <si>
    <t>ヒサエ　ノブオ</t>
  </si>
  <si>
    <t>ブローチ</t>
  </si>
  <si>
    <t>小玉　武志</t>
  </si>
  <si>
    <t>コダマ　タケシ</t>
  </si>
  <si>
    <t>松田　純一</t>
  </si>
  <si>
    <t>マツダ　ジュンイチ</t>
  </si>
  <si>
    <t>岡崎　浩二</t>
  </si>
  <si>
    <t>オカザキ　コウジ</t>
  </si>
  <si>
    <t>大﨑　康雄</t>
  </si>
  <si>
    <t>オオサキ　ヤスオ</t>
  </si>
  <si>
    <t>井上　裕基</t>
  </si>
  <si>
    <t>イノウエ　ユウキ</t>
  </si>
  <si>
    <t>NGUYEN　THE　DANG</t>
  </si>
  <si>
    <t>NGUYEN　XUAN　PHUC</t>
  </si>
  <si>
    <t>岡本　達典</t>
  </si>
  <si>
    <t>オカモト　タツノリ</t>
  </si>
  <si>
    <t>中川　聡</t>
  </si>
  <si>
    <t>ナカガワ　サトシ</t>
  </si>
  <si>
    <t>近藤　透</t>
  </si>
  <si>
    <t>コンドウ　トオル</t>
  </si>
  <si>
    <t>ナウファル　アンザル　</t>
  </si>
  <si>
    <t>LE  VAN HA</t>
  </si>
  <si>
    <t>レー　ヴァン　ハー</t>
  </si>
  <si>
    <t>NGUYEN NGOC　 DAI</t>
  </si>
  <si>
    <t>NGUYEN PHAM BANG</t>
  </si>
  <si>
    <t>三宅　誠</t>
  </si>
  <si>
    <t>ミヤケ　マコト</t>
  </si>
  <si>
    <t>安西　ルイズ　ユキオ</t>
  </si>
  <si>
    <t>VO KHAC HOP</t>
  </si>
  <si>
    <t>ヴォ　カック　ホップ</t>
  </si>
  <si>
    <t>NGUYEN THE QUAN</t>
  </si>
  <si>
    <t>グエン　テー　クアン</t>
  </si>
  <si>
    <t>グエン　ティ　フイン　ニウ</t>
  </si>
  <si>
    <t>HOANG THI CHUC</t>
  </si>
  <si>
    <t>ホアン　ティ　チュック</t>
  </si>
  <si>
    <t>金城　ジョルジ</t>
  </si>
  <si>
    <t>BUI MINH TUAN</t>
  </si>
  <si>
    <t>ブイ　ミン　トゥアン</t>
  </si>
  <si>
    <t>DO TRUNG KIEN</t>
  </si>
  <si>
    <t>ド　チュン　キエン</t>
  </si>
  <si>
    <t>NGUYEN TAN LONG</t>
  </si>
  <si>
    <t>RODRIGUES DE LIMA NETO RUBENS</t>
  </si>
  <si>
    <t>ロドリゲス　デ　リマ　ネト　ルーベンス</t>
  </si>
  <si>
    <t>HUNG HIEU TRUNG KIEN</t>
  </si>
  <si>
    <t>フン　ヒエウ　チュン　キエン</t>
  </si>
  <si>
    <t>NGUYEN TRONG TINH</t>
  </si>
  <si>
    <t>グエン　チョン　ティン</t>
  </si>
  <si>
    <t>名前</t>
    <phoneticPr fontId="2"/>
  </si>
  <si>
    <t>ハイツ長嶋201</t>
    <phoneticPr fontId="2"/>
  </si>
  <si>
    <t>フォーブル神池102</t>
    <phoneticPr fontId="2"/>
  </si>
  <si>
    <t>シルバーハイム名四201</t>
    <phoneticPr fontId="2"/>
  </si>
  <si>
    <t>ベルメゾン大山211</t>
    <phoneticPr fontId="2"/>
  </si>
  <si>
    <t>飯田第二コーポ 103</t>
    <phoneticPr fontId="2"/>
  </si>
  <si>
    <t>コンツェルハウスⅡＤ棟202</t>
    <phoneticPr fontId="2"/>
  </si>
  <si>
    <t>コンツェルハウス　Ｂ棟１０６</t>
    <phoneticPr fontId="2"/>
  </si>
  <si>
    <t>ビーフリー８　203号</t>
    <phoneticPr fontId="2"/>
  </si>
  <si>
    <t>アトレＢ棟205</t>
    <phoneticPr fontId="2"/>
  </si>
  <si>
    <t>アトレＢ棟101</t>
    <phoneticPr fontId="2"/>
  </si>
  <si>
    <t>CASA 弥冨 A棟203</t>
    <phoneticPr fontId="2"/>
  </si>
  <si>
    <t>CASA 弥冨 B棟203</t>
    <phoneticPr fontId="2"/>
  </si>
  <si>
    <t>CASA　弥冨A105</t>
    <phoneticPr fontId="2"/>
  </si>
  <si>
    <t>平島中4丁目村上賃家</t>
    <phoneticPr fontId="2"/>
  </si>
  <si>
    <t>セラタウン弥冨Ｃ棟201</t>
    <phoneticPr fontId="2"/>
  </si>
  <si>
    <t>セラタウン弥冨B棟101</t>
    <phoneticPr fontId="2"/>
  </si>
  <si>
    <t>パークタウン平島Ｄ201</t>
    <phoneticPr fontId="2"/>
  </si>
  <si>
    <t>安江一軒家</t>
    <phoneticPr fontId="2"/>
  </si>
  <si>
    <t>アトレ　A棟　106</t>
    <phoneticPr fontId="2"/>
  </si>
  <si>
    <t>鶴松　203</t>
    <phoneticPr fontId="2"/>
  </si>
  <si>
    <t>プチセゾン101号室</t>
    <phoneticPr fontId="2"/>
  </si>
  <si>
    <t>プチセゾン203号室</t>
    <phoneticPr fontId="2"/>
  </si>
  <si>
    <t>ラフィーネ久能402</t>
    <phoneticPr fontId="2"/>
  </si>
  <si>
    <t>ラフィーネ久能303</t>
    <phoneticPr fontId="2"/>
  </si>
  <si>
    <t>ニューエルディム小西A202</t>
    <phoneticPr fontId="2"/>
  </si>
  <si>
    <t>中須賀コーポⅠ　１０２</t>
    <phoneticPr fontId="2"/>
  </si>
  <si>
    <t>中須賀コーポⅡ　202号</t>
    <phoneticPr fontId="2"/>
  </si>
  <si>
    <t>中須賀コーポⅡ　101号</t>
    <phoneticPr fontId="2"/>
  </si>
  <si>
    <t>中須賀コーポⅡ201</t>
    <phoneticPr fontId="2"/>
  </si>
  <si>
    <t>中須賀コーポⅡ203</t>
    <phoneticPr fontId="2"/>
  </si>
  <si>
    <t>成広コーポ　Ⅰ　１０3</t>
    <phoneticPr fontId="2"/>
  </si>
  <si>
    <t>成広コーポ　Ⅰ　１０５</t>
    <phoneticPr fontId="2"/>
  </si>
  <si>
    <t>成広コーポⅠ　２０５</t>
    <phoneticPr fontId="2"/>
  </si>
  <si>
    <t>成広コーポⅡ101</t>
    <phoneticPr fontId="2"/>
  </si>
  <si>
    <t>成広コーポ　Ⅱ　１０２　</t>
    <phoneticPr fontId="2"/>
  </si>
  <si>
    <t>成広コーポⅡ203</t>
    <phoneticPr fontId="2"/>
  </si>
  <si>
    <t>成広コーポⅡ206</t>
    <phoneticPr fontId="2"/>
  </si>
  <si>
    <t>成広コーポⅡ207</t>
    <phoneticPr fontId="2"/>
  </si>
  <si>
    <t>成広矢原コーポ　Ⅰ　101</t>
    <phoneticPr fontId="2"/>
  </si>
  <si>
    <t>成広矢原コーポ　Ⅰ　103　　45000+2000</t>
    <phoneticPr fontId="2"/>
  </si>
  <si>
    <t>成広矢原コーポⅠ201</t>
    <phoneticPr fontId="2"/>
  </si>
  <si>
    <t>成広矢原コーポⅠ－203　　　45000+2000</t>
    <phoneticPr fontId="2"/>
  </si>
  <si>
    <t>成広矢原コーポ　Ⅰ　２０５　　　45000+2000</t>
    <phoneticPr fontId="2"/>
  </si>
  <si>
    <t>成広矢原コーポ　Ⅱ　101</t>
    <phoneticPr fontId="2"/>
  </si>
  <si>
    <t>成広矢原コーポ　Ⅱ　１０２　　45000+2000</t>
    <phoneticPr fontId="2"/>
  </si>
  <si>
    <t>成広矢原コーポ　Ⅱ　103</t>
    <phoneticPr fontId="2"/>
  </si>
  <si>
    <t>成広矢原コーポ　Ⅱ　201</t>
    <phoneticPr fontId="2"/>
  </si>
  <si>
    <t>成広矢原コーポ　Ⅱ　206</t>
    <phoneticPr fontId="2"/>
  </si>
  <si>
    <t>成広矢原コーポ　Ⅲ　１０1　</t>
    <phoneticPr fontId="2"/>
  </si>
  <si>
    <t>成広矢原コーポ　Ⅲ　１０３　45000+2000</t>
    <phoneticPr fontId="2"/>
  </si>
  <si>
    <t>成広矢原コーポⅢ105</t>
    <phoneticPr fontId="2"/>
  </si>
  <si>
    <t>成広矢原コーポⅢ106</t>
    <phoneticPr fontId="2"/>
  </si>
  <si>
    <t>成広矢原コーポⅢ　107号　　45000+2000</t>
    <phoneticPr fontId="2"/>
  </si>
  <si>
    <t>成広矢原コーポⅢ203  35000</t>
    <phoneticPr fontId="2"/>
  </si>
  <si>
    <t>成広矢原コーポⅤ　102　　　45000+2000</t>
    <phoneticPr fontId="2"/>
  </si>
  <si>
    <t>成広矢原コーポⅤ103</t>
    <phoneticPr fontId="2"/>
  </si>
  <si>
    <t>成広矢原コーポⅤ201　　　35000+2000</t>
    <phoneticPr fontId="2"/>
  </si>
  <si>
    <t>成広矢原コーポⅤ 203</t>
    <phoneticPr fontId="2"/>
  </si>
  <si>
    <t>成広矢原コーポⅤ205号  35000+2000</t>
    <phoneticPr fontId="2"/>
  </si>
  <si>
    <t>成広矢原コーポⅥ　101  45000+2000</t>
    <phoneticPr fontId="2"/>
  </si>
  <si>
    <t>成広矢原コーポⅥ102　　  45000+2000</t>
    <phoneticPr fontId="2"/>
  </si>
  <si>
    <t>成広矢原コーポⅥ105</t>
    <phoneticPr fontId="2"/>
  </si>
  <si>
    <t>成広矢原コーポⅥ106</t>
    <phoneticPr fontId="2"/>
  </si>
  <si>
    <t>成広矢原コーポⅥ203</t>
    <phoneticPr fontId="2"/>
  </si>
  <si>
    <t>成広矢原コーポⅥ205</t>
    <phoneticPr fontId="2"/>
  </si>
  <si>
    <t>成広矢原コーポⅦ102</t>
    <phoneticPr fontId="2"/>
  </si>
  <si>
    <t>成広矢原コーポⅦ　106　　</t>
    <phoneticPr fontId="2"/>
  </si>
  <si>
    <t xml:space="preserve">成広矢原コーポⅦ205号 </t>
    <phoneticPr fontId="2"/>
  </si>
  <si>
    <t>成広矢原コーポⅦ　206　　　</t>
    <phoneticPr fontId="2"/>
  </si>
  <si>
    <t>新矢原コーポ１Ｆ　　　30000+2000</t>
    <phoneticPr fontId="2"/>
  </si>
  <si>
    <t>ルミエール上池203</t>
    <phoneticPr fontId="2"/>
  </si>
  <si>
    <t>ビレッジハウス亀崎2号棟301</t>
    <phoneticPr fontId="2"/>
  </si>
  <si>
    <t>花水木Ｃ</t>
    <phoneticPr fontId="2"/>
  </si>
  <si>
    <t>古橋マンション101</t>
    <phoneticPr fontId="2"/>
  </si>
  <si>
    <t>ヴィラコート田園403</t>
    <phoneticPr fontId="2"/>
  </si>
  <si>
    <t>ドミール神明 B-103</t>
    <phoneticPr fontId="2"/>
  </si>
  <si>
    <t>各務ハイツ　３Ｄ</t>
    <phoneticPr fontId="2"/>
  </si>
  <si>
    <t>各務ハイツ４Ｈ</t>
    <phoneticPr fontId="2"/>
  </si>
  <si>
    <t>各務ハイツ4E</t>
    <phoneticPr fontId="2"/>
  </si>
  <si>
    <t>各務ハイツ４I</t>
    <phoneticPr fontId="2"/>
  </si>
  <si>
    <t>各務ハイツ３Ｆ</t>
    <phoneticPr fontId="2"/>
  </si>
  <si>
    <t>各務ハイツ　３E</t>
    <phoneticPr fontId="2"/>
  </si>
  <si>
    <t>大井町一軒家</t>
    <phoneticPr fontId="2"/>
  </si>
  <si>
    <t>がんたく店</t>
    <phoneticPr fontId="2"/>
  </si>
  <si>
    <t>ロジュマン千希A202</t>
    <phoneticPr fontId="2"/>
  </si>
  <si>
    <t>シャルム三田303</t>
    <phoneticPr fontId="2"/>
  </si>
  <si>
    <t>ハイツ165壬生Ｂ202</t>
    <phoneticPr fontId="2"/>
  </si>
  <si>
    <t>西住之江ハイツ205</t>
    <phoneticPr fontId="2"/>
  </si>
  <si>
    <t>岩本マンション402</t>
    <phoneticPr fontId="2"/>
  </si>
  <si>
    <t>グレイス旭A 202</t>
    <phoneticPr fontId="2"/>
  </si>
  <si>
    <t>メゾン辻山105</t>
    <phoneticPr fontId="2"/>
  </si>
  <si>
    <t>パークサイド泉201</t>
    <phoneticPr fontId="2"/>
  </si>
  <si>
    <t>リンピア長済203</t>
    <phoneticPr fontId="2"/>
  </si>
  <si>
    <t>ハイツアイカ味美403</t>
    <phoneticPr fontId="2"/>
  </si>
  <si>
    <t>スカイビーンズ柏原 202</t>
    <phoneticPr fontId="2"/>
  </si>
  <si>
    <t>エスポワール春日井203</t>
    <phoneticPr fontId="9"/>
  </si>
  <si>
    <t>A-style 台金屋１－１０５</t>
    <phoneticPr fontId="2"/>
  </si>
  <si>
    <t>家賃合計</t>
    <phoneticPr fontId="2"/>
  </si>
  <si>
    <t>職場</t>
    <phoneticPr fontId="2"/>
  </si>
  <si>
    <t>MAI TU ANH</t>
  </si>
  <si>
    <t>マイ　トゥ　アン</t>
  </si>
  <si>
    <t>TRAN THI HANH</t>
  </si>
  <si>
    <t>チャン　ティ　ハイン</t>
  </si>
  <si>
    <t>VU VAN HIEP</t>
  </si>
  <si>
    <t>ヴー　ヴァン　ヒエップ</t>
  </si>
  <si>
    <t>DA COSTA MARCIO JOSE</t>
  </si>
  <si>
    <t>ダ　コスタ　マルシオ　ジョゼ</t>
  </si>
  <si>
    <t>TRAN THU HUONG</t>
  </si>
  <si>
    <t>チャン　トゥ　ホウオン</t>
  </si>
  <si>
    <t>HUYNH HAI DANG</t>
  </si>
  <si>
    <t>フイン　ハイ　ダン</t>
  </si>
  <si>
    <t>解約</t>
    <rPh sb="0" eb="2">
      <t>カイヤク</t>
    </rPh>
    <phoneticPr fontId="9"/>
  </si>
  <si>
    <t>シャルム三田202</t>
    <phoneticPr fontId="9"/>
  </si>
  <si>
    <t>職場</t>
  </si>
  <si>
    <t>名前</t>
  </si>
  <si>
    <t>DO DINH THANH</t>
  </si>
  <si>
    <t>ドー　デイン　タン</t>
  </si>
  <si>
    <t>HO VIET PHANG</t>
  </si>
  <si>
    <t>ホー　ヴェット　ファン</t>
  </si>
  <si>
    <t>NGUYEN CHI THONG</t>
  </si>
  <si>
    <t>グエン　チ　トン</t>
  </si>
  <si>
    <t>TRAN HUU LOC</t>
  </si>
  <si>
    <t>チャン　ヒュウ　ロック</t>
  </si>
  <si>
    <t>HA TRONG HUNG</t>
  </si>
  <si>
    <t>ハー　チョン　フン</t>
  </si>
  <si>
    <t>HUA TRUONG TIEN</t>
  </si>
  <si>
    <t>フア　チュオン　ティエン</t>
  </si>
  <si>
    <t>NGUYEN THANH PHONG</t>
  </si>
  <si>
    <t>グエン　タイン　フォン</t>
  </si>
  <si>
    <t>NGUYEN VAN HAU</t>
  </si>
  <si>
    <t>グエン　ヴァン　ハウ</t>
  </si>
  <si>
    <t>DINH VAN THANG</t>
  </si>
  <si>
    <t>ディン　ヴァン　タン</t>
  </si>
  <si>
    <t>LE VAN HOANG</t>
  </si>
  <si>
    <t>レー　ヴァン　ホアン</t>
  </si>
  <si>
    <t>DANG HUYNH NAM</t>
  </si>
  <si>
    <t>ダン　フイン　ナム</t>
  </si>
  <si>
    <t>NGUYEN THAI NANG</t>
  </si>
  <si>
    <t>グエン　タイ　ナン</t>
  </si>
  <si>
    <t>NGUYEN XUAN HUONG</t>
  </si>
  <si>
    <t>グエン　スアン　フーン</t>
  </si>
  <si>
    <t>解約７月末</t>
    <rPh sb="0" eb="2">
      <t>カイヤク</t>
    </rPh>
    <rPh sb="3" eb="5">
      <t>ガツマツ</t>
    </rPh>
    <phoneticPr fontId="9"/>
  </si>
  <si>
    <t>成広矢原コーポⅠ　102</t>
    <rPh sb="0" eb="1">
      <t>シゲル</t>
    </rPh>
    <rPh sb="1" eb="2">
      <t>ヒロ</t>
    </rPh>
    <rPh sb="2" eb="4">
      <t>ヤハラ</t>
    </rPh>
    <phoneticPr fontId="9"/>
  </si>
  <si>
    <t>メゾン辻山102</t>
    <rPh sb="3" eb="5">
      <t>ツジヤマ</t>
    </rPh>
    <phoneticPr fontId="9"/>
  </si>
  <si>
    <t>金額</t>
    <rPh sb="0" eb="2">
      <t>キンガク</t>
    </rPh>
    <phoneticPr fontId="9"/>
  </si>
  <si>
    <t>8月中に退去
トゥアンさんに確認</t>
    <rPh sb="1" eb="2">
      <t>ガツ</t>
    </rPh>
    <rPh sb="2" eb="3">
      <t>チュウ</t>
    </rPh>
    <rPh sb="4" eb="6">
      <t>タイキョ</t>
    </rPh>
    <rPh sb="14" eb="16">
      <t>カクニン</t>
    </rPh>
    <phoneticPr fontId="9"/>
  </si>
  <si>
    <t>解約済</t>
    <rPh sb="0" eb="2">
      <t>カイヤク</t>
    </rPh>
    <rPh sb="2" eb="3">
      <t>スミ</t>
    </rPh>
    <phoneticPr fontId="9"/>
  </si>
  <si>
    <t>解約済</t>
    <rPh sb="0" eb="3">
      <t>カイヤクスミ</t>
    </rPh>
    <phoneticPr fontId="9"/>
  </si>
  <si>
    <t>HAN QUANG LINH</t>
  </si>
  <si>
    <t>ハン　クアン　リン</t>
  </si>
  <si>
    <t>アメニティハイツ田島203</t>
    <rPh sb="9" eb="10">
      <t>シマ</t>
    </rPh>
    <phoneticPr fontId="2"/>
  </si>
  <si>
    <t>全般</t>
  </si>
  <si>
    <t>PHAN QUOC DUC</t>
  </si>
  <si>
    <t>ファン　クオック　ドゥック</t>
  </si>
  <si>
    <t>神山　龍也</t>
  </si>
  <si>
    <t>カミヤマ　リュウヤ</t>
  </si>
  <si>
    <t>PHAM QUOC THINH</t>
  </si>
  <si>
    <t>ファム　クオック　ティン</t>
  </si>
  <si>
    <t>LE HUU NGHI</t>
  </si>
  <si>
    <t>レ　ヒュウ　ギー</t>
  </si>
  <si>
    <t>弥富平島町五反割一軒家</t>
    <rPh sb="0" eb="2">
      <t>ヤトミ</t>
    </rPh>
    <rPh sb="2" eb="8">
      <t>ヘイジマチョウゴタンワリ</t>
    </rPh>
    <rPh sb="8" eb="11">
      <t>イッケンヤ</t>
    </rPh>
    <phoneticPr fontId="2"/>
  </si>
  <si>
    <t>ロドリゲス　ヤカベ　シライベル　エリザ</t>
  </si>
  <si>
    <t>美鈴工業 本社</t>
  </si>
  <si>
    <t>LUU XUAN VU</t>
  </si>
  <si>
    <t>リュウ　スアン　ヴ</t>
  </si>
  <si>
    <t>TONG XUAN HOA</t>
  </si>
  <si>
    <t>トン　スアン　ホア</t>
  </si>
  <si>
    <t>美鈴工業 本庄</t>
  </si>
  <si>
    <t>LA VAN DAI</t>
  </si>
  <si>
    <t>ラ　ヴァン　ダイ</t>
  </si>
  <si>
    <t>DAO VAN TUONG</t>
  </si>
  <si>
    <t>ダオ　ヴァン　トウオン</t>
  </si>
  <si>
    <t>TRINH TRUNG HIEU</t>
  </si>
  <si>
    <t>チン　チュン　ヒエウ</t>
  </si>
  <si>
    <t>DUONG MINH TIEN</t>
  </si>
  <si>
    <t>ズオン　ミン　ティエン</t>
  </si>
  <si>
    <t>PHAM GIA UT</t>
  </si>
  <si>
    <t>ファム　ジャ　ウット</t>
  </si>
  <si>
    <t>PHAM THI NGOC ANH</t>
  </si>
  <si>
    <t>ファム　ティ　ゴック　アイン</t>
  </si>
  <si>
    <t>チャン　ヴァン　トアン</t>
  </si>
  <si>
    <t>TRAN QUY TRONG</t>
  </si>
  <si>
    <t>チャン　クイ　チョン</t>
  </si>
  <si>
    <t>PHAM HUNG</t>
  </si>
  <si>
    <t>ファム　フン</t>
  </si>
  <si>
    <t>VU QUANG HUNG</t>
  </si>
  <si>
    <t>ヴ　クアン　フン</t>
  </si>
  <si>
    <t>VO HUY TUAN</t>
  </si>
  <si>
    <t>ヴォ　フイ　トウアン</t>
  </si>
  <si>
    <t>メゾン辻山201</t>
    <rPh sb="3" eb="5">
      <t>ツジヤマ</t>
    </rPh>
    <phoneticPr fontId="9"/>
  </si>
  <si>
    <t>20205/6/1</t>
    <phoneticPr fontId="9"/>
  </si>
  <si>
    <t>LE DUC MANH</t>
  </si>
  <si>
    <t>レー　ドゥック　マイン</t>
  </si>
  <si>
    <t>MATSUMOTO MAURILIO</t>
  </si>
  <si>
    <t>マツモト　マウリリオ</t>
  </si>
  <si>
    <t>NGUYEN VAN HINH</t>
  </si>
  <si>
    <t>グエン　バン　ヒン</t>
  </si>
  <si>
    <t>DOAN NGOC THANG</t>
  </si>
  <si>
    <t>ドアン　ゴック　タン</t>
  </si>
  <si>
    <t>NGUYEN MANH HA</t>
  </si>
  <si>
    <t>グエン　マイン　ハー</t>
  </si>
  <si>
    <t>DUONG CHI THANH</t>
  </si>
  <si>
    <t>ズオン　チー　タイン</t>
  </si>
  <si>
    <t>NGUYEN VAN VUONG</t>
  </si>
  <si>
    <t>グエン　ヴァン　ヴォン</t>
  </si>
  <si>
    <t>LE VAN TRONG</t>
  </si>
  <si>
    <t>レー　ヴァン　チョン</t>
  </si>
  <si>
    <t>PHAM THUY HUONG AN</t>
  </si>
  <si>
    <t>ファム　トゥイ　フオン　アン</t>
  </si>
  <si>
    <t>解約日：2025/11/9</t>
    <rPh sb="0" eb="3">
      <t>カイヤクビ</t>
    </rPh>
    <phoneticPr fontId="9"/>
  </si>
  <si>
    <t>解約済み</t>
    <rPh sb="0" eb="3">
      <t>カイヤクズ</t>
    </rPh>
    <phoneticPr fontId="9"/>
  </si>
  <si>
    <t>11/29解約</t>
    <rPh sb="5" eb="7">
      <t>カイヤク</t>
    </rPh>
    <phoneticPr fontId="9"/>
  </si>
  <si>
    <t>鶴松102</t>
    <phoneticPr fontId="9"/>
  </si>
  <si>
    <t>各務ハイツ５I</t>
    <rPh sb="0" eb="2">
      <t>カガミ</t>
    </rPh>
    <phoneticPr fontId="9"/>
  </si>
  <si>
    <t>11月末解約</t>
    <rPh sb="2" eb="4">
      <t>ガツマツ</t>
    </rPh>
    <rPh sb="4" eb="6">
      <t>カイヤク</t>
    </rPh>
    <phoneticPr fontId="9"/>
  </si>
  <si>
    <t>３人場合</t>
    <rPh sb="1" eb="4">
      <t>ニンバアイ</t>
    </rPh>
    <phoneticPr fontId="9"/>
  </si>
  <si>
    <t>４人場合</t>
    <rPh sb="1" eb="4">
      <t>ニンバアイ</t>
    </rPh>
    <phoneticPr fontId="2"/>
  </si>
  <si>
    <t>NOFAL ADAM PRADITA</t>
  </si>
  <si>
    <t>ノファル　アダム　プラディタ</t>
  </si>
  <si>
    <t>NABIL ARYA SAPUTRA</t>
  </si>
  <si>
    <t>ナビル　アリャ　サプトラ</t>
  </si>
  <si>
    <t>DATUKA LEO SAPUTRA</t>
  </si>
  <si>
    <t>ダトゥカ　レオ　サプトラ</t>
  </si>
  <si>
    <t>20205/11末解約</t>
    <rPh sb="8" eb="9">
      <t>マツ</t>
    </rPh>
    <rPh sb="9" eb="11">
      <t>カイヤク</t>
    </rPh>
    <phoneticPr fontId="9"/>
  </si>
  <si>
    <t>2025.11末解約</t>
    <rPh sb="7" eb="8">
      <t>マツ</t>
    </rPh>
    <rPh sb="8" eb="10">
      <t>カイヤク</t>
    </rPh>
    <phoneticPr fontId="9"/>
  </si>
  <si>
    <t>エリエッタ延久Ⅰ-111</t>
    <rPh sb="5" eb="7">
      <t>エンキュウ</t>
    </rPh>
    <phoneticPr fontId="9"/>
  </si>
  <si>
    <t>2025/11/??</t>
    <phoneticPr fontId="9"/>
  </si>
  <si>
    <t>２DK</t>
    <phoneticPr fontId="9"/>
  </si>
  <si>
    <t>家賃</t>
    <rPh sb="0" eb="2">
      <t>ヤチン</t>
    </rPh>
    <phoneticPr fontId="9"/>
  </si>
  <si>
    <t>PHAM PHUNG TRUNG</t>
  </si>
  <si>
    <t>ファム　フン　チュン</t>
  </si>
  <si>
    <t>26/2/28??</t>
    <phoneticPr fontId="9"/>
  </si>
  <si>
    <t>BUI QUOC TUAN</t>
  </si>
  <si>
    <t>ブイ　クオック　トゥアン</t>
  </si>
  <si>
    <t>トゥイさんの借家</t>
    <rPh sb="6" eb="7">
      <t>カ</t>
    </rPh>
    <rPh sb="7" eb="8">
      <t>イエ</t>
    </rPh>
    <phoneticPr fontId="9"/>
  </si>
  <si>
    <t>HO DUC KHA</t>
  </si>
  <si>
    <t>ホー　ドゥック　カー</t>
  </si>
  <si>
    <t>TRUONG TAN PHUOC</t>
  </si>
  <si>
    <t>チュオン　タン　フォック</t>
  </si>
  <si>
    <t>LE DUC TRUNG</t>
  </si>
  <si>
    <t>レ　ドゥック　チュン</t>
  </si>
  <si>
    <t>TRAN VU DANG</t>
  </si>
  <si>
    <t>チャン　ヴ　ダン</t>
  </si>
  <si>
    <t>４人場合</t>
    <rPh sb="1" eb="4">
      <t>ニンバアイ</t>
    </rPh>
    <phoneticPr fontId="9"/>
  </si>
  <si>
    <t>VO TRUNG NGUYEN</t>
  </si>
  <si>
    <t>ヴォ　チュン　グエン</t>
  </si>
  <si>
    <t>DANG HOAI PHUONG</t>
  </si>
  <si>
    <t>ダン　ホアイ　フオン</t>
  </si>
  <si>
    <t>DANG NGUYEN HOANG ANH</t>
  </si>
  <si>
    <t>ダン　グエン　ホアン　アイン</t>
  </si>
  <si>
    <t>20252/12/17</t>
    <phoneticPr fontId="9"/>
  </si>
  <si>
    <t>HO SY DONG</t>
  </si>
  <si>
    <t>ホ　シ　ドン</t>
  </si>
  <si>
    <t xml:space="preserve">FERDIYANTO </t>
  </si>
  <si>
    <t>フェルディヤント</t>
  </si>
  <si>
    <t>BIMA SAPUTRA</t>
  </si>
  <si>
    <t>ビマ　サプトラ</t>
  </si>
  <si>
    <t>ANDREA ZAKKY AMANDHITA</t>
  </si>
  <si>
    <t>アンドレア　ザッキー　アマンディタ</t>
  </si>
  <si>
    <t>VU  TUAN VINH</t>
  </si>
  <si>
    <t>ヴー　トウアン　ヴィン</t>
  </si>
  <si>
    <t>DOAN NGOC DU</t>
  </si>
  <si>
    <t>ドアン　ゴック　ズ</t>
  </si>
  <si>
    <t>入社日</t>
  </si>
  <si>
    <t>事務所</t>
  </si>
  <si>
    <t>請負業務</t>
  </si>
  <si>
    <t>030801</t>
  </si>
  <si>
    <t>030802</t>
  </si>
  <si>
    <t>030803</t>
  </si>
  <si>
    <t>030804</t>
  </si>
  <si>
    <t>030805</t>
  </si>
  <si>
    <t>030806</t>
  </si>
  <si>
    <t>030807</t>
  </si>
  <si>
    <t>030808</t>
  </si>
  <si>
    <t>030809</t>
  </si>
  <si>
    <t>030810</t>
  </si>
  <si>
    <t>030811</t>
  </si>
  <si>
    <t>030813</t>
  </si>
  <si>
    <t>030814</t>
  </si>
  <si>
    <t>030815</t>
  </si>
  <si>
    <t>030816</t>
  </si>
  <si>
    <t>030817</t>
  </si>
  <si>
    <t>030818</t>
  </si>
  <si>
    <t>030819</t>
  </si>
  <si>
    <t>030812</t>
  </si>
  <si>
    <t>030820</t>
  </si>
  <si>
    <t>030821</t>
  </si>
  <si>
    <t>030822</t>
  </si>
  <si>
    <t>030823</t>
  </si>
  <si>
    <t>030824</t>
  </si>
  <si>
    <t>030825</t>
  </si>
  <si>
    <t>030826</t>
  </si>
  <si>
    <t>030827</t>
  </si>
  <si>
    <t>030828</t>
  </si>
  <si>
    <t>030829</t>
  </si>
  <si>
    <t>030830</t>
  </si>
  <si>
    <t>030831</t>
  </si>
  <si>
    <t>030832</t>
  </si>
  <si>
    <t>030833</t>
  </si>
  <si>
    <t>030834</t>
  </si>
  <si>
    <t>030835</t>
  </si>
  <si>
    <t>030836</t>
  </si>
  <si>
    <t>030837</t>
  </si>
  <si>
    <t>030838</t>
  </si>
  <si>
    <t>030839</t>
  </si>
  <si>
    <t>030840</t>
  </si>
  <si>
    <t>030901</t>
  </si>
  <si>
    <t>031201</t>
  </si>
  <si>
    <t>031202</t>
  </si>
  <si>
    <t>031203</t>
  </si>
  <si>
    <t>040101</t>
  </si>
  <si>
    <t>040102</t>
  </si>
  <si>
    <t>040201</t>
  </si>
  <si>
    <t>040202</t>
  </si>
  <si>
    <t>040203</t>
  </si>
  <si>
    <t>040205</t>
  </si>
  <si>
    <t>040301</t>
  </si>
  <si>
    <t>040302</t>
  </si>
  <si>
    <t>040401</t>
  </si>
  <si>
    <t>040402</t>
  </si>
  <si>
    <t>040501</t>
  </si>
  <si>
    <t>040502</t>
  </si>
  <si>
    <t>040503</t>
  </si>
  <si>
    <t>040504</t>
  </si>
  <si>
    <t>040505</t>
  </si>
  <si>
    <t>040506</t>
  </si>
  <si>
    <t>040507</t>
  </si>
  <si>
    <t>040601</t>
  </si>
  <si>
    <t>040602</t>
  </si>
  <si>
    <t>040603</t>
  </si>
  <si>
    <t>040701</t>
  </si>
  <si>
    <t>040702</t>
  </si>
  <si>
    <t>040703</t>
  </si>
  <si>
    <t>040704</t>
  </si>
  <si>
    <t>040705</t>
  </si>
  <si>
    <t>040706</t>
  </si>
  <si>
    <t>040707</t>
  </si>
  <si>
    <t>040708</t>
  </si>
  <si>
    <t>040709</t>
  </si>
  <si>
    <t>040710</t>
  </si>
  <si>
    <t>040711</t>
  </si>
  <si>
    <t>040712</t>
  </si>
  <si>
    <t>040713</t>
  </si>
  <si>
    <t>040901</t>
  </si>
  <si>
    <t>041001</t>
  </si>
  <si>
    <t>050101</t>
  </si>
  <si>
    <t>050201</t>
  </si>
  <si>
    <t>050202</t>
  </si>
  <si>
    <t>050401</t>
  </si>
  <si>
    <t>050402</t>
  </si>
  <si>
    <t>050403</t>
  </si>
  <si>
    <t>050404</t>
  </si>
  <si>
    <t>050405</t>
  </si>
  <si>
    <t>050406</t>
  </si>
  <si>
    <t>050701</t>
  </si>
  <si>
    <t>050801</t>
  </si>
  <si>
    <t>050802</t>
  </si>
  <si>
    <t>050803</t>
  </si>
  <si>
    <t>050901</t>
  </si>
  <si>
    <t>051001</t>
  </si>
  <si>
    <t>051002</t>
  </si>
  <si>
    <t>051201</t>
  </si>
  <si>
    <t>051202</t>
  </si>
  <si>
    <t>060101</t>
  </si>
  <si>
    <t>060102</t>
  </si>
  <si>
    <t>051205</t>
  </si>
  <si>
    <t>060301</t>
  </si>
  <si>
    <t>060302</t>
  </si>
  <si>
    <t>060303</t>
  </si>
  <si>
    <t>060304</t>
  </si>
  <si>
    <t>060305</t>
  </si>
  <si>
    <t>060501</t>
  </si>
  <si>
    <t>060601</t>
  </si>
  <si>
    <t>060602</t>
  </si>
  <si>
    <t>060901</t>
  </si>
  <si>
    <t>060902</t>
  </si>
  <si>
    <t>061101</t>
  </si>
  <si>
    <t>061102</t>
  </si>
  <si>
    <t>061103</t>
  </si>
  <si>
    <t>070101</t>
  </si>
  <si>
    <t>070201</t>
  </si>
  <si>
    <t>070301</t>
  </si>
  <si>
    <t>070302</t>
  </si>
  <si>
    <t>070303</t>
  </si>
  <si>
    <t>070304</t>
  </si>
  <si>
    <t>070305</t>
  </si>
  <si>
    <t>070306</t>
  </si>
  <si>
    <t>070307</t>
  </si>
  <si>
    <t>070308</t>
  </si>
  <si>
    <t>070309</t>
  </si>
  <si>
    <t>070310</t>
  </si>
  <si>
    <t>070401</t>
  </si>
  <si>
    <t>070402</t>
  </si>
  <si>
    <t>070403</t>
  </si>
  <si>
    <t>070501</t>
  </si>
  <si>
    <t>070502</t>
  </si>
  <si>
    <t>070503</t>
  </si>
  <si>
    <t>070504</t>
  </si>
  <si>
    <t>070801</t>
  </si>
  <si>
    <t>071101</t>
  </si>
  <si>
    <t>071102</t>
  </si>
  <si>
    <t>071103</t>
  </si>
  <si>
    <t>071104</t>
  </si>
  <si>
    <t>071105</t>
  </si>
  <si>
    <t>071201</t>
  </si>
  <si>
    <t>071202</t>
  </si>
  <si>
    <t>071203</t>
  </si>
  <si>
    <t>高雄工業 静岡</t>
    <rPh sb="0" eb="4">
      <t>タカオコウギョウ</t>
    </rPh>
    <rPh sb="5" eb="7">
      <t>シズオカ</t>
    </rPh>
    <phoneticPr fontId="10"/>
  </si>
  <si>
    <t>LE PHAT DAT</t>
  </si>
  <si>
    <t>レー　ファット　ダット</t>
  </si>
  <si>
    <t>ロジュマン久能　A棟203</t>
    <rPh sb="9" eb="10">
      <t>トウ</t>
    </rPh>
    <phoneticPr fontId="2"/>
  </si>
  <si>
    <t>CAO THANH HUY</t>
  </si>
  <si>
    <t>カオ　タイン　フイ</t>
  </si>
  <si>
    <t>高雄工業 静岡</t>
    <phoneticPr fontId="9"/>
  </si>
  <si>
    <t>コーリツ 本社</t>
    <phoneticPr fontId="9"/>
  </si>
  <si>
    <t>NGUYEN HON SON</t>
  </si>
  <si>
    <t>六甲電子</t>
    <phoneticPr fontId="9"/>
  </si>
  <si>
    <t>LE MANH HUNG</t>
    <phoneticPr fontId="9"/>
  </si>
  <si>
    <t>レ　マン　フン</t>
    <phoneticPr fontId="9"/>
  </si>
  <si>
    <t>070201</t>
    <phoneticPr fontId="9"/>
  </si>
  <si>
    <t>060102</t>
    <phoneticPr fontId="9"/>
  </si>
  <si>
    <t>070310</t>
    <phoneticPr fontId="9"/>
  </si>
  <si>
    <t>070101</t>
    <phoneticPr fontId="9"/>
  </si>
  <si>
    <t>070801</t>
    <phoneticPr fontId="9"/>
  </si>
  <si>
    <t>070402</t>
    <phoneticPr fontId="9"/>
  </si>
  <si>
    <t>070502</t>
    <phoneticPr fontId="9"/>
  </si>
  <si>
    <t>070504</t>
    <phoneticPr fontId="9"/>
  </si>
  <si>
    <t>070503</t>
    <phoneticPr fontId="9"/>
  </si>
  <si>
    <t>060501</t>
    <phoneticPr fontId="9"/>
  </si>
  <si>
    <t>070403</t>
    <phoneticPr fontId="9"/>
  </si>
  <si>
    <t>040507</t>
    <phoneticPr fontId="9"/>
  </si>
  <si>
    <t>070301</t>
    <phoneticPr fontId="9"/>
  </si>
  <si>
    <t>070302</t>
    <phoneticPr fontId="9"/>
  </si>
  <si>
    <t>070303</t>
    <phoneticPr fontId="9"/>
  </si>
  <si>
    <t>071103</t>
    <phoneticPr fontId="9"/>
  </si>
  <si>
    <t>070307</t>
    <phoneticPr fontId="9"/>
  </si>
  <si>
    <t>070308</t>
    <phoneticPr fontId="9"/>
  </si>
  <si>
    <t>070309</t>
    <phoneticPr fontId="9"/>
  </si>
  <si>
    <t>071105</t>
    <phoneticPr fontId="9"/>
  </si>
  <si>
    <t>070304</t>
    <phoneticPr fontId="9"/>
  </si>
  <si>
    <t>070305</t>
    <phoneticPr fontId="9"/>
  </si>
  <si>
    <t>070306</t>
    <phoneticPr fontId="9"/>
  </si>
  <si>
    <t>071104</t>
    <phoneticPr fontId="9"/>
  </si>
  <si>
    <t>051002</t>
    <phoneticPr fontId="9"/>
  </si>
  <si>
    <t>060301</t>
    <phoneticPr fontId="9"/>
  </si>
  <si>
    <t>060302</t>
    <phoneticPr fontId="9"/>
  </si>
  <si>
    <t>060303</t>
    <phoneticPr fontId="9"/>
  </si>
  <si>
    <t>060304</t>
    <phoneticPr fontId="9"/>
  </si>
  <si>
    <t>060305</t>
    <phoneticPr fontId="9"/>
  </si>
  <si>
    <t>050401</t>
    <phoneticPr fontId="9"/>
  </si>
  <si>
    <t>050402</t>
    <phoneticPr fontId="9"/>
  </si>
  <si>
    <t>050405</t>
    <phoneticPr fontId="9"/>
  </si>
  <si>
    <t>050403</t>
    <phoneticPr fontId="9"/>
  </si>
  <si>
    <t>050404</t>
    <phoneticPr fontId="9"/>
  </si>
  <si>
    <t>050406</t>
    <phoneticPr fontId="9"/>
  </si>
  <si>
    <t>051201</t>
    <phoneticPr fontId="9"/>
  </si>
  <si>
    <t>051202</t>
    <phoneticPr fontId="9"/>
  </si>
  <si>
    <t>050202</t>
    <phoneticPr fontId="9"/>
  </si>
  <si>
    <t>高雄工業 岡山</t>
    <rPh sb="0" eb="4">
      <t>タカオコウギョウ</t>
    </rPh>
    <rPh sb="5" eb="7">
      <t>オカヤマ</t>
    </rPh>
    <phoneticPr fontId="10"/>
  </si>
  <si>
    <t>DO TAN LEN</t>
  </si>
  <si>
    <t>ド　タン　レン</t>
  </si>
  <si>
    <t>LAM THANH HUU</t>
  </si>
  <si>
    <t>ラム　タイン　ヒュウ</t>
  </si>
  <si>
    <t>2026/1/3１解約</t>
    <rPh sb="9" eb="11">
      <t>カイヤク</t>
    </rPh>
    <phoneticPr fontId="9"/>
  </si>
  <si>
    <t>TU XUAN THUAN</t>
  </si>
  <si>
    <t>トゥ　スアン　トウアン</t>
  </si>
  <si>
    <t>全般</t>
    <rPh sb="0" eb="2">
      <t>ゼンパン</t>
    </rPh>
    <phoneticPr fontId="10"/>
  </si>
  <si>
    <t>６人場合</t>
    <rPh sb="1" eb="4">
      <t>ニンバアイ</t>
    </rPh>
    <phoneticPr fontId="9"/>
  </si>
  <si>
    <t>20226/1/27</t>
    <phoneticPr fontId="9"/>
  </si>
  <si>
    <t>TRAN HUY THONG</t>
    <phoneticPr fontId="9"/>
  </si>
  <si>
    <t>チャン　フィ　トォン</t>
    <phoneticPr fontId="9"/>
  </si>
  <si>
    <t>派遣先</t>
    <rPh sb="0" eb="3">
      <t>ハケンサキ</t>
    </rPh>
    <phoneticPr fontId="2"/>
  </si>
  <si>
    <t>氏名</t>
    <rPh sb="0" eb="2">
      <t>シメイ</t>
    </rPh>
    <phoneticPr fontId="2"/>
  </si>
  <si>
    <t>家賃</t>
    <rPh sb="0" eb="2">
      <t>ヤチン</t>
    </rPh>
    <phoneticPr fontId="2"/>
  </si>
  <si>
    <t>050701</t>
    <phoneticPr fontId="9"/>
  </si>
  <si>
    <t>070101</t>
    <phoneticPr fontId="2"/>
  </si>
  <si>
    <t>070401</t>
    <phoneticPr fontId="9"/>
  </si>
  <si>
    <t>071201</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</si>
</sst>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76" formatCode="yyyy/m/d;@"/>
  </numFmts>
  <fonts count="33">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20"/>
      <color theme="1"/>
      <name val="游ゴシック"/>
      <family val="3"/>
      <charset val="128"/>
      <scheme val="minor"/>
    </font>
    <font>
      <sz val="11"/>
      <color rgb="FFFF0000"/>
      <name val="游ゴシック"/>
      <family val="2"/>
      <charset val="128"/>
      <scheme val="minor"/>
    </font>
    <font>
      <sz val="11"/>
      <name val="游ゴシック"/>
      <family val="2"/>
      <charset val="128"/>
      <scheme val="minor"/>
    </font>
    <font>
      <sz val="11"/>
      <color theme="1"/>
      <name val="游ゴシック"/>
      <family val="3"/>
      <charset val="128"/>
      <scheme val="minor"/>
    </font>
    <font>
      <sz val="11"/>
      <name val="游ゴシック"/>
      <family val="3"/>
      <charset val="128"/>
      <scheme val="minor"/>
    </font>
    <font>
      <sz val="11"/>
      <color rgb="FFFF0000"/>
      <name val="游ゴシック"/>
      <family val="3"/>
      <charset val="128"/>
      <scheme val="minor"/>
    </font>
    <font>
      <b/>
      <sz val="9"/>
      <color indexed="81"/>
      <name val="MS P ゴシック"/>
      <family val="3"/>
      <charset val="128"/>
    </font>
    <font>
      <sz val="11"/>
      <color theme="5" tint="0.39997558519241921"/>
      <name val="游ゴシック"/>
      <family val="3"/>
      <charset val="128"/>
      <scheme val="minor"/>
    </font>
    <font>
      <sz val="9"/>
      <color indexed="81"/>
      <name val="MS P ゴシック"/>
      <family val="3"/>
      <charset val="128"/>
    </font>
    <font>
      <sz val="9"/>
      <color theme="1"/>
      <name val="游ゴシック"/>
      <family val="2"/>
      <charset val="128"/>
      <scheme val="minor"/>
    </font>
    <font>
      <sz val="9"/>
      <color theme="1"/>
      <name val="游ゴシック"/>
      <family val="3"/>
      <charset val="128"/>
      <scheme val="minor"/>
    </font>
    <font>
      <sz val="11"/>
      <color theme="1"/>
      <name val="游ゴシック"/>
      <family val="3"/>
      <charset val="128"/>
    </font>
    <font>
      <b/>
      <sz val="11"/>
      <color indexed="81"/>
      <name val="MS P ゴシック"/>
      <family val="3"/>
      <charset val="128"/>
    </font>
    <font>
      <b/>
      <sz val="12"/>
      <color indexed="81"/>
      <name val="MS P ゴシック"/>
      <family val="3"/>
      <charset val="128"/>
    </font>
    <font>
      <b/>
      <sz val="14"/>
      <color indexed="81"/>
      <name val="MS P ゴシック"/>
      <family val="3"/>
      <charset val="128"/>
    </font>
    <font>
      <b/>
      <sz val="11"/>
      <color rgb="FFFF0000"/>
      <name val="游ゴシック"/>
      <family val="3"/>
      <charset val="128"/>
      <scheme val="minor"/>
    </font>
    <font>
      <sz val="11"/>
      <color rgb="FF000000"/>
      <name val="游ゴシック"/>
      <family val="3"/>
      <charset val="128"/>
      <scheme val="minor"/>
    </font>
    <font>
      <sz val="6"/>
      <color theme="1"/>
      <name val="游ゴシック"/>
      <family val="3"/>
      <charset val="128"/>
      <scheme val="minor"/>
    </font>
    <font>
      <sz val="11"/>
      <color theme="1"/>
      <name val="游ゴシック"/>
      <family val="2"/>
      <scheme val="minor"/>
    </font>
    <font>
      <b/>
      <sz val="11"/>
      <color theme="1"/>
      <name val="游ゴシック"/>
      <family val="3"/>
      <charset val="128"/>
      <scheme val="minor"/>
    </font>
    <font>
      <b/>
      <sz val="11"/>
      <color theme="1"/>
      <name val="游ゴシック"/>
      <family val="3"/>
      <charset val="128"/>
    </font>
    <font>
      <b/>
      <sz val="11"/>
      <name val="游ゴシック"/>
      <family val="3"/>
      <charset val="128"/>
      <scheme val="minor"/>
    </font>
    <font>
      <sz val="6"/>
      <color theme="1"/>
      <name val="游ゴシック"/>
      <family val="2"/>
      <charset val="128"/>
      <scheme val="minor"/>
    </font>
    <font>
      <b/>
      <sz val="14"/>
      <color theme="1"/>
      <name val="游ゴシック"/>
      <family val="3"/>
      <charset val="128"/>
      <scheme val="minor"/>
    </font>
    <font>
      <sz val="14"/>
      <color theme="1"/>
      <name val="游ゴシック"/>
      <family val="3"/>
      <charset val="128"/>
      <scheme val="minor"/>
    </font>
    <font>
      <sz val="14"/>
      <name val="游ゴシック"/>
      <family val="3"/>
      <charset val="128"/>
      <scheme val="minor"/>
    </font>
    <font>
      <sz val="14"/>
      <color rgb="FFFF0000"/>
      <name val="游ゴシック"/>
      <family val="3"/>
      <charset val="128"/>
      <scheme val="minor"/>
    </font>
    <font>
      <b/>
      <i/>
      <sz val="11"/>
      <color rgb="FF0070C0"/>
      <name val="游ゴシック"/>
      <family val="3"/>
      <charset val="128"/>
      <scheme val="minor"/>
    </font>
    <font>
      <sz val="14"/>
      <color theme="1"/>
      <name val="游ゴシック"/>
      <family val="2"/>
      <charset val="128"/>
      <scheme val="minor"/>
    </font>
    <font>
      <sz val="11"/>
      <color theme="5" tint="0.59999389629810485"/>
      <name val="游ゴシック"/>
      <family val="2"/>
      <charset val="128"/>
      <scheme val="minor"/>
    </font>
  </fonts>
  <fills count="22">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F6699"/>
        <bgColor indexed="64"/>
      </patternFill>
    </fill>
    <fill>
      <patternFill patternType="solid">
        <fgColor theme="5"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theme="4" tint="0.79998168889431442"/>
      </patternFill>
    </fill>
    <fill>
      <patternFill patternType="solid">
        <fgColor rgb="FFFF0000"/>
        <bgColor indexed="64"/>
      </patternFill>
    </fill>
    <fill>
      <patternFill patternType="solid">
        <fgColor theme="8" tint="0.79998168889431442"/>
        <bgColor indexed="64"/>
      </patternFill>
    </fill>
    <fill>
      <patternFill patternType="solid">
        <fgColor rgb="FF92D05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hair">
        <color indexed="64"/>
      </bottom>
      <diagonal/>
    </border>
    <border diagonalUp="1">
      <left style="thin">
        <color indexed="64"/>
      </left>
      <right style="thin">
        <color indexed="64"/>
      </right>
      <top style="thin">
        <color indexed="64"/>
      </top>
      <bottom style="hair">
        <color indexed="64"/>
      </bottom>
      <diagonal style="thin">
        <color indexed="64"/>
      </diagonal>
    </border>
    <border>
      <left style="thin">
        <color indexed="64"/>
      </left>
      <right style="thin">
        <color indexed="64"/>
      </right>
      <top style="hair">
        <color indexed="64"/>
      </top>
      <bottom style="hair">
        <color indexed="64"/>
      </bottom>
      <diagonal/>
    </border>
    <border diagonalUp="1">
      <left style="thin">
        <color indexed="64"/>
      </left>
      <right style="thin">
        <color indexed="64"/>
      </right>
      <top style="hair">
        <color indexed="64"/>
      </top>
      <bottom style="hair">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double">
        <color indexed="64"/>
      </bottom>
      <diagonal/>
    </border>
    <border diagonalUp="1">
      <left style="thin">
        <color indexed="64"/>
      </left>
      <right style="thin">
        <color indexed="64"/>
      </right>
      <top style="hair">
        <color indexed="64"/>
      </top>
      <bottom style="double">
        <color indexed="64"/>
      </bottom>
      <diagonal style="thin">
        <color indexed="64"/>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s>
  <cellStyleXfs count="4">
    <xf numFmtId="0" fontId="0" fillId="0" borderId="0">
      <alignment vertical="center"/>
    </xf>
    <xf numFmtId="38" fontId="1" fillId="0" borderId="0" applyFont="0" applyFill="0" applyBorder="0" applyAlignment="0" applyProtection="0">
      <alignment vertical="center"/>
    </xf>
    <xf numFmtId="0" fontId="6" fillId="0" borderId="0">
      <alignment vertical="center"/>
    </xf>
    <xf numFmtId="6" fontId="1" fillId="0" borderId="0" applyFont="0" applyFill="0" applyBorder="0" applyAlignment="0" applyProtection="0">
      <alignment vertical="center"/>
    </xf>
  </cellStyleXfs>
  <cellXfs count="582">
    <xf numFmtId="0" fontId="0" fillId="0" borderId="0" xfId="0">
      <alignment vertical="center"/>
    </xf>
    <xf numFmtId="0" fontId="0" fillId="0" borderId="1" xfId="0" applyBorder="1">
      <alignment vertical="center"/>
    </xf>
    <xf numFmtId="14" fontId="0" fillId="0" borderId="1" xfId="0" applyNumberFormat="1" applyBorder="1" applyAlignment="1">
      <alignment horizontal="center" vertical="center"/>
    </xf>
    <xf numFmtId="38" fontId="0" fillId="0" borderId="5" xfId="1" applyFont="1" applyBorder="1" applyAlignment="1">
      <alignment horizontal="center" vertical="center"/>
    </xf>
    <xf numFmtId="38" fontId="0" fillId="11" borderId="1" xfId="1" applyFont="1" applyFill="1" applyBorder="1" applyAlignment="1">
      <alignment horizontal="center" vertical="center"/>
    </xf>
    <xf numFmtId="38" fontId="0" fillId="11" borderId="0" xfId="1" applyFont="1" applyFill="1" applyBorder="1" applyAlignment="1">
      <alignment horizontal="center" vertical="center"/>
    </xf>
    <xf numFmtId="38" fontId="0" fillId="0" borderId="0" xfId="1" applyFont="1" applyFill="1" applyBorder="1" applyAlignment="1">
      <alignment horizontal="center" vertical="center"/>
    </xf>
    <xf numFmtId="0" fontId="6" fillId="0" borderId="1" xfId="0" applyFont="1" applyBorder="1" applyAlignment="1">
      <alignment horizontal="center" vertical="center"/>
    </xf>
    <xf numFmtId="38" fontId="4" fillId="0" borderId="0" xfId="1" applyFont="1" applyFill="1" applyBorder="1" applyAlignment="1">
      <alignment horizontal="center" vertical="center"/>
    </xf>
    <xf numFmtId="0" fontId="6" fillId="0" borderId="1" xfId="0" applyFont="1" applyBorder="1" applyAlignment="1">
      <alignment horizontal="center" vertical="center" shrinkToFit="1"/>
    </xf>
    <xf numFmtId="38" fontId="0" fillId="0" borderId="0" xfId="1" applyFont="1" applyBorder="1" applyAlignment="1">
      <alignment horizontal="center" vertical="center"/>
    </xf>
    <xf numFmtId="38" fontId="0" fillId="0" borderId="1" xfId="1" applyFont="1" applyBorder="1" applyAlignment="1">
      <alignment horizontal="center" vertical="center"/>
    </xf>
    <xf numFmtId="38" fontId="0" fillId="0" borderId="1" xfId="1" applyFont="1" applyFill="1" applyBorder="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38" fontId="5" fillId="0" borderId="1" xfId="1" applyFont="1" applyFill="1" applyBorder="1" applyAlignment="1">
      <alignment horizontal="center" vertical="center"/>
    </xf>
    <xf numFmtId="38" fontId="5" fillId="0" borderId="0" xfId="1" applyFont="1" applyFill="1" applyBorder="1" applyAlignment="1">
      <alignment horizontal="center" vertical="center"/>
    </xf>
    <xf numFmtId="0" fontId="5" fillId="0" borderId="1" xfId="0" applyFont="1" applyBorder="1" applyAlignment="1">
      <alignment horizontal="center" vertical="center"/>
    </xf>
    <xf numFmtId="0" fontId="6" fillId="0" borderId="0" xfId="0" applyFont="1" applyAlignment="1">
      <alignment horizontal="center" vertical="center" shrinkToFit="1"/>
    </xf>
    <xf numFmtId="38" fontId="0" fillId="0" borderId="0" xfId="1" applyFont="1" applyAlignment="1">
      <alignment horizontal="center" vertical="center"/>
    </xf>
    <xf numFmtId="0" fontId="0" fillId="11" borderId="1" xfId="0" applyFill="1" applyBorder="1" applyAlignment="1">
      <alignment horizontal="center" vertical="center"/>
    </xf>
    <xf numFmtId="0" fontId="14" fillId="0" borderId="0" xfId="2" applyFont="1" applyAlignment="1">
      <alignment horizontal="center" vertical="center" shrinkToFit="1"/>
    </xf>
    <xf numFmtId="38" fontId="0" fillId="0" borderId="3" xfId="1" applyFont="1" applyBorder="1" applyAlignment="1">
      <alignment horizontal="center" vertical="center"/>
    </xf>
    <xf numFmtId="38" fontId="0" fillId="0" borderId="9" xfId="1" applyFont="1" applyBorder="1" applyAlignment="1">
      <alignment horizontal="center" vertical="center"/>
    </xf>
    <xf numFmtId="0" fontId="0" fillId="16" borderId="0" xfId="0" applyFill="1" applyAlignment="1">
      <alignment horizontal="center" vertical="center"/>
    </xf>
    <xf numFmtId="0" fontId="0" fillId="0" borderId="3" xfId="0" applyBorder="1" applyAlignment="1">
      <alignment horizontal="center" vertical="center"/>
    </xf>
    <xf numFmtId="0" fontId="0" fillId="6" borderId="0" xfId="0" applyFill="1" applyAlignment="1">
      <alignment horizontal="center" vertical="center"/>
    </xf>
    <xf numFmtId="0" fontId="0" fillId="0" borderId="1" xfId="0" applyBorder="1" applyAlignment="1">
      <alignment horizontal="center" vertical="center"/>
    </xf>
    <xf numFmtId="0" fontId="0" fillId="8" borderId="0" xfId="0" applyFill="1" applyAlignment="1">
      <alignment horizontal="center" vertical="center"/>
    </xf>
    <xf numFmtId="0" fontId="0" fillId="10" borderId="0" xfId="0" applyFill="1" applyAlignment="1">
      <alignment horizontal="center" vertical="center"/>
    </xf>
    <xf numFmtId="49" fontId="6" fillId="10" borderId="0" xfId="0" applyNumberFormat="1" applyFont="1" applyFill="1" applyAlignment="1">
      <alignment horizontal="center" vertical="center"/>
    </xf>
    <xf numFmtId="0" fontId="0" fillId="12" borderId="0" xfId="0" applyFill="1" applyAlignment="1">
      <alignment horizontal="center" vertical="center"/>
    </xf>
    <xf numFmtId="0" fontId="0" fillId="5" borderId="0" xfId="0" applyFill="1" applyAlignment="1">
      <alignment horizontal="center" vertical="center"/>
    </xf>
    <xf numFmtId="0" fontId="0" fillId="14" borderId="0" xfId="0" applyFill="1" applyAlignment="1">
      <alignment horizontal="center" vertical="center"/>
    </xf>
    <xf numFmtId="0" fontId="0" fillId="13" borderId="0" xfId="0" applyFill="1" applyAlignment="1">
      <alignment horizontal="center" vertical="center"/>
    </xf>
    <xf numFmtId="0" fontId="0" fillId="9" borderId="2" xfId="0" applyFill="1" applyBorder="1" applyAlignment="1">
      <alignment horizontal="center" vertical="center"/>
    </xf>
    <xf numFmtId="0" fontId="0" fillId="3" borderId="0" xfId="0" applyFill="1" applyAlignment="1">
      <alignment horizontal="center" vertical="center"/>
    </xf>
    <xf numFmtId="0" fontId="7" fillId="12" borderId="0" xfId="0" applyFont="1" applyFill="1" applyAlignment="1">
      <alignment horizontal="center" vertical="center"/>
    </xf>
    <xf numFmtId="0" fontId="8" fillId="12" borderId="0" xfId="0" applyFont="1" applyFill="1" applyAlignment="1">
      <alignment horizontal="center" vertical="center"/>
    </xf>
    <xf numFmtId="0" fontId="0" fillId="3" borderId="2" xfId="0" applyFill="1" applyBorder="1" applyAlignment="1">
      <alignment horizontal="center" vertical="center"/>
    </xf>
    <xf numFmtId="0" fontId="0" fillId="15" borderId="0" xfId="0" applyFill="1" applyAlignment="1">
      <alignment horizontal="center" vertical="center"/>
    </xf>
    <xf numFmtId="0" fontId="0" fillId="2" borderId="0" xfId="0" applyFill="1" applyAlignment="1">
      <alignment horizontal="center" vertical="center"/>
    </xf>
    <xf numFmtId="0" fontId="0" fillId="4" borderId="0" xfId="0" applyFill="1" applyAlignment="1">
      <alignment horizontal="center" vertical="center"/>
    </xf>
    <xf numFmtId="0" fontId="0" fillId="0" borderId="5" xfId="0" applyBorder="1" applyAlignment="1">
      <alignment horizontal="center" vertical="center"/>
    </xf>
    <xf numFmtId="0" fontId="5" fillId="10" borderId="0" xfId="0" applyFont="1" applyFill="1" applyAlignment="1">
      <alignment horizontal="center" vertical="center"/>
    </xf>
    <xf numFmtId="0" fontId="3" fillId="0" borderId="0" xfId="0" applyFont="1" applyAlignment="1">
      <alignment horizontal="center" vertical="center"/>
    </xf>
    <xf numFmtId="0" fontId="0" fillId="7" borderId="0" xfId="0" applyFill="1" applyAlignment="1">
      <alignment horizontal="center" vertical="center"/>
    </xf>
    <xf numFmtId="0" fontId="0" fillId="11" borderId="0" xfId="0" applyFill="1" applyAlignment="1">
      <alignment horizontal="center" vertical="center"/>
    </xf>
    <xf numFmtId="0" fontId="0" fillId="4" borderId="2" xfId="0" applyFill="1" applyBorder="1" applyAlignment="1">
      <alignment horizontal="center" vertical="center"/>
    </xf>
    <xf numFmtId="49" fontId="7" fillId="6" borderId="0" xfId="0" applyNumberFormat="1" applyFont="1" applyFill="1" applyAlignment="1">
      <alignment horizontal="center" vertical="center"/>
    </xf>
    <xf numFmtId="49" fontId="10" fillId="6" borderId="0" xfId="0" applyNumberFormat="1" applyFont="1" applyFill="1" applyAlignment="1">
      <alignment horizontal="center" vertical="center"/>
    </xf>
    <xf numFmtId="0" fontId="0" fillId="17" borderId="0" xfId="0" applyFill="1" applyAlignment="1">
      <alignment horizontal="center" vertical="center"/>
    </xf>
    <xf numFmtId="0" fontId="0" fillId="5" borderId="2" xfId="0" applyFill="1" applyBorder="1" applyAlignment="1">
      <alignment horizontal="center" vertical="center"/>
    </xf>
    <xf numFmtId="0" fontId="0" fillId="10" borderId="8" xfId="0" applyFill="1" applyBorder="1" applyAlignment="1">
      <alignment horizontal="center" vertical="center"/>
    </xf>
    <xf numFmtId="0" fontId="0" fillId="10" borderId="2" xfId="0" applyFill="1" applyBorder="1" applyAlignment="1">
      <alignment horizontal="center" vertical="center"/>
    </xf>
    <xf numFmtId="0" fontId="0" fillId="10" borderId="7" xfId="0" applyFill="1" applyBorder="1" applyAlignment="1">
      <alignment horizontal="center" vertical="center"/>
    </xf>
    <xf numFmtId="0" fontId="0" fillId="10" borderId="12" xfId="0" applyFill="1" applyBorder="1" applyAlignment="1">
      <alignment horizontal="center" vertical="center"/>
    </xf>
    <xf numFmtId="0" fontId="0" fillId="10" borderId="3" xfId="0" applyFill="1" applyBorder="1" applyAlignment="1">
      <alignment horizontal="center" vertical="center"/>
    </xf>
    <xf numFmtId="0" fontId="0" fillId="10" borderId="9" xfId="0" applyFill="1" applyBorder="1" applyAlignment="1">
      <alignment horizontal="center" vertical="center"/>
    </xf>
    <xf numFmtId="0" fontId="0" fillId="8" borderId="2" xfId="0" applyFill="1" applyBorder="1" applyAlignment="1">
      <alignment horizontal="center" vertical="center"/>
    </xf>
    <xf numFmtId="0" fontId="0" fillId="6" borderId="2" xfId="0" applyFill="1" applyBorder="1" applyAlignment="1">
      <alignment horizontal="center" vertical="center"/>
    </xf>
    <xf numFmtId="0" fontId="0" fillId="0" borderId="0" xfId="0" applyAlignment="1">
      <alignment horizontal="left" vertical="center" shrinkToFit="1"/>
    </xf>
    <xf numFmtId="14" fontId="0" fillId="0" borderId="0" xfId="0" applyNumberFormat="1" applyAlignment="1">
      <alignment horizontal="left" vertical="center" shrinkToFit="1"/>
    </xf>
    <xf numFmtId="14" fontId="0" fillId="0" borderId="1" xfId="0" applyNumberFormat="1" applyBorder="1" applyAlignment="1">
      <alignment horizontal="left" vertical="center" shrinkToFit="1"/>
    </xf>
    <xf numFmtId="0" fontId="0" fillId="0" borderId="1" xfId="0" applyBorder="1" applyAlignment="1">
      <alignment horizontal="left" vertical="center" shrinkToFit="1"/>
    </xf>
    <xf numFmtId="38" fontId="0" fillId="0" borderId="1" xfId="1" applyFont="1" applyBorder="1" applyAlignment="1">
      <alignment horizontal="left" vertical="center" shrinkToFit="1"/>
    </xf>
    <xf numFmtId="38" fontId="0" fillId="0" borderId="1" xfId="1" applyFont="1" applyFill="1" applyBorder="1" applyAlignment="1">
      <alignment horizontal="left" vertical="center" shrinkToFit="1"/>
    </xf>
    <xf numFmtId="38" fontId="0" fillId="0" borderId="6" xfId="1" applyFont="1" applyBorder="1" applyAlignment="1">
      <alignment horizontal="left" vertical="center" shrinkToFit="1"/>
    </xf>
    <xf numFmtId="14" fontId="0" fillId="0" borderId="1" xfId="1" applyNumberFormat="1" applyFont="1" applyBorder="1" applyAlignment="1">
      <alignment horizontal="left" vertical="center" shrinkToFit="1"/>
    </xf>
    <xf numFmtId="38" fontId="0" fillId="0" borderId="3" xfId="1" applyFont="1" applyBorder="1" applyAlignment="1">
      <alignment horizontal="left" vertical="center" shrinkToFit="1"/>
    </xf>
    <xf numFmtId="38" fontId="0" fillId="0" borderId="6" xfId="1" applyFont="1" applyFill="1" applyBorder="1" applyAlignment="1">
      <alignment horizontal="left" vertical="center" shrinkToFit="1"/>
    </xf>
    <xf numFmtId="38" fontId="0" fillId="0" borderId="5" xfId="1" applyFont="1" applyBorder="1" applyAlignment="1">
      <alignment horizontal="left" vertical="center" shrinkToFit="1"/>
    </xf>
    <xf numFmtId="38" fontId="0" fillId="0" borderId="8" xfId="1" applyFont="1" applyBorder="1" applyAlignment="1">
      <alignment horizontal="left" vertical="center" shrinkToFit="1"/>
    </xf>
    <xf numFmtId="38" fontId="0" fillId="0" borderId="16" xfId="1" applyFont="1" applyBorder="1" applyAlignment="1">
      <alignment horizontal="left" vertical="center" shrinkToFit="1"/>
    </xf>
    <xf numFmtId="38" fontId="0" fillId="0" borderId="0" xfId="1" applyFont="1" applyBorder="1" applyAlignment="1">
      <alignment horizontal="left" vertical="center" shrinkToFit="1"/>
    </xf>
    <xf numFmtId="0" fontId="0" fillId="0" borderId="5" xfId="0" applyBorder="1" applyAlignment="1">
      <alignment horizontal="left" vertical="center" shrinkToFit="1"/>
    </xf>
    <xf numFmtId="0" fontId="0" fillId="0" borderId="6" xfId="0" applyBorder="1" applyAlignment="1">
      <alignment horizontal="left" vertical="center" shrinkToFit="1"/>
    </xf>
    <xf numFmtId="38" fontId="0" fillId="11" borderId="1" xfId="1" applyFont="1" applyFill="1" applyBorder="1" applyAlignment="1">
      <alignment horizontal="left" vertical="center" shrinkToFit="1"/>
    </xf>
    <xf numFmtId="38" fontId="0" fillId="0" borderId="6" xfId="1" applyFont="1" applyBorder="1" applyAlignment="1">
      <alignment horizontal="center" vertical="center"/>
    </xf>
    <xf numFmtId="0" fontId="12" fillId="0" borderId="0" xfId="0" applyFont="1" applyAlignment="1">
      <alignment horizontal="center" vertical="center"/>
    </xf>
    <xf numFmtId="38" fontId="18" fillId="11" borderId="6" xfId="1" applyFont="1" applyFill="1" applyBorder="1" applyAlignment="1">
      <alignment horizontal="left" vertical="center" shrinkToFit="1"/>
    </xf>
    <xf numFmtId="0" fontId="0" fillId="0" borderId="1" xfId="1" applyNumberFormat="1" applyFont="1" applyBorder="1" applyAlignment="1">
      <alignment horizontal="center" vertical="center"/>
    </xf>
    <xf numFmtId="0" fontId="0" fillId="11" borderId="1" xfId="1" applyNumberFormat="1" applyFont="1" applyFill="1" applyBorder="1" applyAlignment="1">
      <alignment horizontal="center" vertical="center"/>
    </xf>
    <xf numFmtId="0" fontId="1" fillId="11" borderId="1" xfId="1" applyNumberFormat="1" applyFont="1" applyFill="1" applyBorder="1" applyAlignment="1">
      <alignment horizontal="center" vertical="center"/>
    </xf>
    <xf numFmtId="0" fontId="0" fillId="0" borderId="1" xfId="1" applyNumberFormat="1" applyFont="1" applyFill="1" applyBorder="1" applyAlignment="1">
      <alignment horizontal="center" vertical="center"/>
    </xf>
    <xf numFmtId="0" fontId="0" fillId="11" borderId="5" xfId="0" applyFill="1" applyBorder="1" applyAlignment="1">
      <alignment horizontal="center" vertical="center"/>
    </xf>
    <xf numFmtId="14" fontId="0" fillId="0" borderId="5" xfId="1" applyNumberFormat="1" applyFont="1" applyBorder="1" applyAlignment="1">
      <alignment horizontal="center" vertical="center"/>
    </xf>
    <xf numFmtId="0" fontId="0" fillId="0" borderId="6" xfId="1" applyNumberFormat="1" applyFont="1" applyBorder="1" applyAlignment="1">
      <alignment horizontal="center" vertical="center"/>
    </xf>
    <xf numFmtId="0" fontId="0" fillId="0" borderId="0" xfId="1" applyNumberFormat="1" applyFont="1" applyBorder="1" applyAlignment="1">
      <alignment horizontal="center" vertical="center"/>
    </xf>
    <xf numFmtId="38" fontId="0" fillId="0" borderId="8" xfId="1" applyFont="1" applyBorder="1" applyAlignment="1">
      <alignment horizontal="center" vertical="center"/>
    </xf>
    <xf numFmtId="38" fontId="0" fillId="0" borderId="2" xfId="1" applyFont="1" applyBorder="1" applyAlignment="1">
      <alignment horizontal="left" vertical="center" shrinkToFit="1"/>
    </xf>
    <xf numFmtId="38" fontId="0" fillId="0" borderId="2" xfId="1" applyFont="1" applyBorder="1" applyAlignment="1">
      <alignment horizontal="center" vertical="center"/>
    </xf>
    <xf numFmtId="0" fontId="0" fillId="0" borderId="2" xfId="1" applyNumberFormat="1" applyFont="1" applyBorder="1" applyAlignment="1">
      <alignment horizontal="center" vertical="center"/>
    </xf>
    <xf numFmtId="14" fontId="0" fillId="0" borderId="8" xfId="0" applyNumberFormat="1" applyBorder="1" applyAlignment="1">
      <alignment horizontal="left" vertical="center" shrinkToFit="1"/>
    </xf>
    <xf numFmtId="14" fontId="0" fillId="0" borderId="6" xfId="0" applyNumberFormat="1" applyBorder="1" applyAlignment="1">
      <alignment horizontal="left" vertical="center" shrinkToFit="1"/>
    </xf>
    <xf numFmtId="0" fontId="0" fillId="0" borderId="5" xfId="1" applyNumberFormat="1" applyFont="1" applyBorder="1" applyAlignment="1">
      <alignment horizontal="center" vertical="center"/>
    </xf>
    <xf numFmtId="38" fontId="0" fillId="0" borderId="17" xfId="1" applyFont="1" applyBorder="1" applyAlignment="1">
      <alignment horizontal="left" vertical="center" shrinkToFit="1"/>
    </xf>
    <xf numFmtId="38" fontId="0" fillId="0" borderId="12" xfId="1" applyFont="1" applyBorder="1" applyAlignment="1">
      <alignment horizontal="left" vertical="center" shrinkToFit="1"/>
    </xf>
    <xf numFmtId="38" fontId="0" fillId="0" borderId="12" xfId="1" applyFont="1" applyBorder="1" applyAlignment="1">
      <alignment horizontal="center" vertical="center"/>
    </xf>
    <xf numFmtId="0" fontId="0" fillId="0" borderId="12" xfId="1" applyNumberFormat="1" applyFont="1" applyBorder="1" applyAlignment="1">
      <alignment horizontal="center" vertical="center"/>
    </xf>
    <xf numFmtId="38" fontId="0" fillId="0" borderId="12" xfId="1" applyFont="1" applyFill="1" applyBorder="1" applyAlignment="1">
      <alignment horizontal="left" vertical="center" shrinkToFit="1"/>
    </xf>
    <xf numFmtId="38" fontId="0" fillId="0" borderId="0" xfId="1" applyFont="1" applyFill="1" applyBorder="1" applyAlignment="1">
      <alignment horizontal="left" vertical="center" shrinkToFit="1"/>
    </xf>
    <xf numFmtId="38" fontId="0" fillId="0" borderId="2" xfId="1" applyFont="1" applyFill="1" applyBorder="1" applyAlignment="1">
      <alignment horizontal="left" vertical="center" shrinkToFit="1"/>
    </xf>
    <xf numFmtId="38" fontId="5" fillId="0" borderId="3" xfId="1" applyFont="1" applyFill="1" applyBorder="1" applyAlignment="1">
      <alignment horizontal="center" vertical="center"/>
    </xf>
    <xf numFmtId="38" fontId="0" fillId="0" borderId="5" xfId="1" applyFont="1" applyFill="1" applyBorder="1" applyAlignment="1">
      <alignment horizontal="left" vertical="center" shrinkToFit="1"/>
    </xf>
    <xf numFmtId="38" fontId="0" fillId="0" borderId="16" xfId="1" applyFont="1" applyBorder="1" applyAlignment="1">
      <alignment horizontal="center" vertical="center"/>
    </xf>
    <xf numFmtId="0" fontId="0" fillId="0" borderId="16" xfId="1" applyNumberFormat="1" applyFont="1" applyBorder="1" applyAlignment="1">
      <alignment horizontal="center" vertical="center"/>
    </xf>
    <xf numFmtId="0" fontId="0" fillId="0" borderId="2" xfId="0" applyBorder="1" applyAlignment="1">
      <alignment horizontal="left" vertical="center" shrinkToFit="1"/>
    </xf>
    <xf numFmtId="38" fontId="0" fillId="0" borderId="3" xfId="1" applyFont="1" applyFill="1" applyBorder="1" applyAlignment="1">
      <alignment horizontal="center" vertical="center"/>
    </xf>
    <xf numFmtId="38" fontId="0" fillId="11" borderId="3" xfId="1" applyFont="1" applyFill="1" applyBorder="1" applyAlignment="1">
      <alignment horizontal="center" vertical="center"/>
    </xf>
    <xf numFmtId="0" fontId="0" fillId="0" borderId="12" xfId="0" applyBorder="1" applyAlignment="1">
      <alignment horizontal="left" vertical="center" shrinkToFit="1"/>
    </xf>
    <xf numFmtId="38" fontId="0" fillId="0" borderId="7" xfId="1" applyFont="1" applyBorder="1" applyAlignment="1">
      <alignment horizontal="center" vertical="center"/>
    </xf>
    <xf numFmtId="0" fontId="0" fillId="0" borderId="16" xfId="0" applyBorder="1" applyAlignment="1">
      <alignment horizontal="left" vertical="center" shrinkToFit="1"/>
    </xf>
    <xf numFmtId="38" fontId="0" fillId="0" borderId="10" xfId="1" applyFont="1" applyBorder="1" applyAlignment="1">
      <alignment horizontal="center" vertical="center"/>
    </xf>
    <xf numFmtId="0" fontId="0" fillId="11" borderId="6" xfId="1" applyNumberFormat="1" applyFont="1" applyFill="1" applyBorder="1" applyAlignment="1">
      <alignment horizontal="center" vertical="center"/>
    </xf>
    <xf numFmtId="0" fontId="14" fillId="11" borderId="1" xfId="2" applyFont="1" applyFill="1" applyBorder="1" applyAlignment="1">
      <alignment horizontal="center" vertical="center"/>
    </xf>
    <xf numFmtId="0" fontId="14" fillId="18" borderId="1" xfId="2" applyFont="1" applyFill="1" applyBorder="1" applyAlignment="1">
      <alignment horizontal="center" vertical="center"/>
    </xf>
    <xf numFmtId="0" fontId="0" fillId="0" borderId="1" xfId="1" applyNumberFormat="1" applyFont="1" applyBorder="1" applyAlignment="1">
      <alignment horizontal="left" vertical="center"/>
    </xf>
    <xf numFmtId="0" fontId="0" fillId="2" borderId="1" xfId="1" applyNumberFormat="1" applyFont="1" applyFill="1" applyBorder="1" applyAlignment="1">
      <alignment horizontal="center" vertical="center"/>
    </xf>
    <xf numFmtId="38" fontId="0" fillId="0" borderId="6" xfId="1" applyFont="1" applyBorder="1" applyAlignment="1">
      <alignment horizontal="center" vertical="center" shrinkToFit="1"/>
    </xf>
    <xf numFmtId="38" fontId="0" fillId="0" borderId="1" xfId="1" applyFont="1" applyBorder="1" applyAlignment="1">
      <alignment horizontal="center" vertical="center" shrinkToFit="1"/>
    </xf>
    <xf numFmtId="38" fontId="5" fillId="0" borderId="5" xfId="1" applyFont="1" applyFill="1" applyBorder="1" applyAlignment="1">
      <alignment horizontal="center" vertical="center"/>
    </xf>
    <xf numFmtId="14" fontId="0" fillId="11" borderId="5" xfId="0" applyNumberFormat="1" applyFill="1" applyBorder="1" applyAlignment="1">
      <alignment horizontal="center" vertical="center"/>
    </xf>
    <xf numFmtId="0" fontId="14" fillId="0" borderId="1" xfId="2" applyFont="1" applyBorder="1" applyAlignment="1">
      <alignment horizontal="center" vertical="center"/>
    </xf>
    <xf numFmtId="0" fontId="14" fillId="0" borderId="0" xfId="2" applyFont="1" applyAlignment="1">
      <alignment horizontal="center" vertical="center"/>
    </xf>
    <xf numFmtId="0" fontId="6" fillId="0" borderId="0" xfId="0" applyFont="1" applyAlignment="1">
      <alignment horizontal="center" vertical="center"/>
    </xf>
    <xf numFmtId="0" fontId="6" fillId="10" borderId="0" xfId="0" applyFont="1" applyFill="1" applyAlignment="1">
      <alignment horizontal="center" vertical="center"/>
    </xf>
    <xf numFmtId="0" fontId="7" fillId="6" borderId="0" xfId="0" applyFont="1" applyFill="1" applyAlignment="1">
      <alignment horizontal="center" vertical="center"/>
    </xf>
    <xf numFmtId="38" fontId="18" fillId="0" borderId="2" xfId="1" applyFont="1" applyBorder="1" applyAlignment="1">
      <alignment horizontal="left" vertical="center" shrinkToFit="1"/>
    </xf>
    <xf numFmtId="0" fontId="19" fillId="0" borderId="1" xfId="0" applyFont="1" applyBorder="1" applyAlignment="1">
      <alignment horizontal="center" vertical="center"/>
    </xf>
    <xf numFmtId="0" fontId="0" fillId="0" borderId="3" xfId="1" applyNumberFormat="1" applyFont="1" applyBorder="1" applyAlignment="1">
      <alignment horizontal="center" vertical="center"/>
    </xf>
    <xf numFmtId="14" fontId="0" fillId="0" borderId="7" xfId="1" applyNumberFormat="1" applyFont="1" applyBorder="1" applyAlignment="1">
      <alignment horizontal="center" vertical="center"/>
    </xf>
    <xf numFmtId="0" fontId="0" fillId="0" borderId="8" xfId="1" applyNumberFormat="1" applyFont="1" applyBorder="1" applyAlignment="1">
      <alignment horizontal="center" vertical="center"/>
    </xf>
    <xf numFmtId="0" fontId="0" fillId="11" borderId="3" xfId="1" applyNumberFormat="1" applyFont="1" applyFill="1" applyBorder="1" applyAlignment="1">
      <alignment horizontal="center" vertical="center"/>
    </xf>
    <xf numFmtId="0" fontId="0" fillId="11" borderId="8" xfId="1" applyNumberFormat="1" applyFont="1" applyFill="1" applyBorder="1" applyAlignment="1">
      <alignment horizontal="center" vertical="center"/>
    </xf>
    <xf numFmtId="0" fontId="0" fillId="0" borderId="17" xfId="1" applyNumberFormat="1" applyFont="1" applyBorder="1" applyAlignment="1">
      <alignment horizontal="center" vertical="center"/>
    </xf>
    <xf numFmtId="0" fontId="0" fillId="0" borderId="7" xfId="1" applyNumberFormat="1" applyFont="1" applyBorder="1" applyAlignment="1">
      <alignment horizontal="center" vertical="center"/>
    </xf>
    <xf numFmtId="0" fontId="0" fillId="0" borderId="3" xfId="1" applyNumberFormat="1" applyFont="1" applyBorder="1" applyAlignment="1">
      <alignment horizontal="left" vertical="center"/>
    </xf>
    <xf numFmtId="38" fontId="0" fillId="0" borderId="0" xfId="1" applyFont="1" applyBorder="1" applyAlignment="1">
      <alignment horizontal="center" vertical="center" shrinkToFit="1"/>
    </xf>
    <xf numFmtId="38" fontId="4" fillId="0" borderId="0" xfId="1" applyFont="1" applyBorder="1" applyAlignment="1">
      <alignment horizontal="left" vertical="center" shrinkToFit="1"/>
    </xf>
    <xf numFmtId="0" fontId="0" fillId="11" borderId="0" xfId="1" applyNumberFormat="1" applyFont="1" applyFill="1" applyBorder="1" applyAlignment="1">
      <alignment horizontal="center" vertical="center"/>
    </xf>
    <xf numFmtId="38" fontId="5" fillId="0" borderId="1" xfId="1" applyFont="1" applyBorder="1" applyAlignment="1">
      <alignment horizontal="left" vertical="center" shrinkToFit="1"/>
    </xf>
    <xf numFmtId="38" fontId="5" fillId="0" borderId="0" xfId="1" applyFont="1" applyBorder="1" applyAlignment="1">
      <alignment horizontal="left" vertical="center" shrinkToFit="1"/>
    </xf>
    <xf numFmtId="0" fontId="5" fillId="11" borderId="1" xfId="0" applyFont="1" applyFill="1" applyBorder="1" applyAlignment="1">
      <alignment horizontal="center" vertical="center"/>
    </xf>
    <xf numFmtId="0" fontId="13" fillId="0" borderId="1" xfId="1" applyNumberFormat="1" applyFont="1" applyBorder="1" applyAlignment="1">
      <alignment horizontal="center" vertical="center"/>
    </xf>
    <xf numFmtId="176" fontId="0" fillId="0" borderId="1" xfId="0" applyNumberFormat="1" applyBorder="1" applyAlignment="1">
      <alignment horizontal="center" vertical="center"/>
    </xf>
    <xf numFmtId="176" fontId="0" fillId="0" borderId="0" xfId="0" applyNumberFormat="1" applyAlignment="1">
      <alignment horizontal="center" vertical="center"/>
    </xf>
    <xf numFmtId="176" fontId="0" fillId="0" borderId="14" xfId="0" applyNumberFormat="1" applyBorder="1" applyAlignment="1">
      <alignment horizontal="center" vertical="center"/>
    </xf>
    <xf numFmtId="176" fontId="0" fillId="0" borderId="13" xfId="0" applyNumberFormat="1" applyBorder="1" applyAlignment="1">
      <alignment horizontal="center" vertical="center"/>
    </xf>
    <xf numFmtId="176" fontId="0" fillId="11" borderId="13" xfId="0" applyNumberFormat="1" applyFill="1" applyBorder="1" applyAlignment="1">
      <alignment horizontal="center" vertical="center"/>
    </xf>
    <xf numFmtId="176" fontId="0" fillId="11" borderId="1" xfId="0" applyNumberFormat="1" applyFill="1" applyBorder="1" applyAlignment="1">
      <alignment horizontal="center" vertical="center"/>
    </xf>
    <xf numFmtId="176" fontId="0" fillId="0" borderId="15" xfId="0" applyNumberFormat="1" applyBorder="1" applyAlignment="1">
      <alignment horizontal="center" vertical="center"/>
    </xf>
    <xf numFmtId="176" fontId="5" fillId="11" borderId="1" xfId="0" applyNumberFormat="1" applyFont="1" applyFill="1" applyBorder="1" applyAlignment="1">
      <alignment horizontal="center" vertical="center"/>
    </xf>
    <xf numFmtId="176" fontId="5" fillId="0" borderId="1" xfId="0" applyNumberFormat="1" applyFont="1" applyBorder="1" applyAlignment="1">
      <alignment horizontal="center" vertical="center"/>
    </xf>
    <xf numFmtId="176" fontId="5" fillId="0" borderId="0" xfId="0" applyNumberFormat="1" applyFont="1" applyAlignment="1">
      <alignment horizontal="center" vertical="center"/>
    </xf>
    <xf numFmtId="176" fontId="5" fillId="0" borderId="14" xfId="0" applyNumberFormat="1" applyFont="1" applyBorder="1" applyAlignment="1">
      <alignment horizontal="center" vertical="center"/>
    </xf>
    <xf numFmtId="0" fontId="0" fillId="11" borderId="0" xfId="0" applyFill="1" applyAlignment="1">
      <alignment horizontal="left" vertical="center" shrinkToFit="1"/>
    </xf>
    <xf numFmtId="0" fontId="0" fillId="2" borderId="3" xfId="1" applyNumberFormat="1" applyFont="1" applyFill="1" applyBorder="1" applyAlignment="1">
      <alignment horizontal="center" vertical="center"/>
    </xf>
    <xf numFmtId="0" fontId="0" fillId="11" borderId="0" xfId="0" applyFill="1">
      <alignment vertical="center"/>
    </xf>
    <xf numFmtId="0" fontId="21" fillId="0" borderId="1" xfId="0" applyFont="1" applyBorder="1" applyAlignment="1">
      <alignment horizontal="center" vertical="center" wrapText="1"/>
    </xf>
    <xf numFmtId="0" fontId="0" fillId="0" borderId="0" xfId="0" applyAlignment="1">
      <alignment horizontal="left" vertical="center"/>
    </xf>
    <xf numFmtId="0" fontId="0" fillId="11" borderId="0" xfId="0" applyFill="1" applyAlignment="1">
      <alignment horizontal="left" vertical="center"/>
    </xf>
    <xf numFmtId="0" fontId="0" fillId="3" borderId="0" xfId="0" applyFill="1" applyAlignment="1">
      <alignment horizontal="left" vertical="center"/>
    </xf>
    <xf numFmtId="0" fontId="0" fillId="11" borderId="1" xfId="0" applyFill="1" applyBorder="1" applyAlignment="1">
      <alignment horizontal="left" vertical="center"/>
    </xf>
    <xf numFmtId="0" fontId="0" fillId="2" borderId="0" xfId="0" applyFill="1" applyAlignment="1">
      <alignment horizontal="left" vertical="center"/>
    </xf>
    <xf numFmtId="0" fontId="0" fillId="0" borderId="1" xfId="0" applyBorder="1" applyAlignment="1">
      <alignment horizontal="left" vertical="center"/>
    </xf>
    <xf numFmtId="0" fontId="0" fillId="7" borderId="0" xfId="0" applyFill="1" applyAlignment="1">
      <alignment horizontal="left" vertical="center"/>
    </xf>
    <xf numFmtId="0" fontId="0" fillId="12" borderId="0" xfId="0" applyFill="1" applyAlignment="1">
      <alignment horizontal="left" vertical="center"/>
    </xf>
    <xf numFmtId="0" fontId="0" fillId="4" borderId="0" xfId="0" applyFill="1" applyAlignment="1">
      <alignment horizontal="left" vertical="center"/>
    </xf>
    <xf numFmtId="0" fontId="0" fillId="4" borderId="2" xfId="0" applyFill="1" applyBorder="1" applyAlignment="1">
      <alignment horizontal="left" vertical="center"/>
    </xf>
    <xf numFmtId="0" fontId="0" fillId="0" borderId="3" xfId="0" applyBorder="1" applyAlignment="1">
      <alignment horizontal="left" vertical="center"/>
    </xf>
    <xf numFmtId="0" fontId="0" fillId="17" borderId="0" xfId="0" applyFill="1" applyAlignment="1">
      <alignment horizontal="left" vertical="center"/>
    </xf>
    <xf numFmtId="0" fontId="0" fillId="5" borderId="0" xfId="0" applyFill="1" applyAlignment="1">
      <alignment horizontal="left" vertical="center"/>
    </xf>
    <xf numFmtId="0" fontId="0" fillId="5" borderId="2" xfId="0" applyFill="1" applyBorder="1" applyAlignment="1">
      <alignment horizontal="left" vertical="center"/>
    </xf>
    <xf numFmtId="0" fontId="0" fillId="8" borderId="0" xfId="0" applyFill="1" applyAlignment="1">
      <alignment horizontal="left" vertical="center"/>
    </xf>
    <xf numFmtId="0" fontId="0" fillId="8" borderId="2" xfId="0" applyFill="1" applyBorder="1" applyAlignment="1">
      <alignment horizontal="left" vertical="center"/>
    </xf>
    <xf numFmtId="0" fontId="0" fillId="10" borderId="0" xfId="0" applyFill="1" applyAlignment="1">
      <alignment horizontal="left" vertical="center"/>
    </xf>
    <xf numFmtId="0" fontId="14" fillId="0" borderId="0" xfId="2" applyFont="1" applyAlignment="1">
      <alignment horizontal="left" vertical="center" shrinkToFit="1"/>
    </xf>
    <xf numFmtId="0" fontId="0" fillId="6" borderId="0" xfId="0" applyFill="1" applyAlignment="1">
      <alignment horizontal="left" vertical="center"/>
    </xf>
    <xf numFmtId="0" fontId="0" fillId="10" borderId="2" xfId="0" applyFill="1" applyBorder="1" applyAlignment="1">
      <alignment horizontal="left" vertical="center"/>
    </xf>
    <xf numFmtId="0" fontId="6" fillId="0" borderId="1" xfId="0" applyFont="1" applyBorder="1" applyAlignment="1">
      <alignment horizontal="left" vertical="center" shrinkToFit="1"/>
    </xf>
    <xf numFmtId="0" fontId="6" fillId="0" borderId="0" xfId="0" applyFont="1" applyAlignment="1">
      <alignment horizontal="left" vertical="center" shrinkToFit="1"/>
    </xf>
    <xf numFmtId="49" fontId="6" fillId="10" borderId="0" xfId="0" applyNumberFormat="1" applyFont="1" applyFill="1" applyAlignment="1">
      <alignment horizontal="left" vertical="center"/>
    </xf>
    <xf numFmtId="49" fontId="10" fillId="6" borderId="0" xfId="0" applyNumberFormat="1" applyFont="1" applyFill="1" applyAlignment="1">
      <alignment horizontal="left" vertical="center"/>
    </xf>
    <xf numFmtId="0" fontId="0" fillId="0" borderId="4" xfId="0" applyBorder="1" applyAlignment="1">
      <alignment horizontal="left" vertical="center"/>
    </xf>
    <xf numFmtId="0" fontId="0" fillId="10" borderId="4" xfId="0" applyFill="1" applyBorder="1" applyAlignment="1">
      <alignment horizontal="left" vertical="center"/>
    </xf>
    <xf numFmtId="0" fontId="0" fillId="0" borderId="5" xfId="0" applyBorder="1" applyAlignment="1">
      <alignment horizontal="left" vertical="center"/>
    </xf>
    <xf numFmtId="0" fontId="0" fillId="10" borderId="11" xfId="0" applyFill="1" applyBorder="1" applyAlignment="1">
      <alignment horizontal="left" vertical="center"/>
    </xf>
    <xf numFmtId="0" fontId="0" fillId="10" borderId="12" xfId="0" applyFill="1" applyBorder="1" applyAlignment="1">
      <alignment horizontal="left" vertical="center"/>
    </xf>
    <xf numFmtId="0" fontId="13" fillId="0" borderId="0" xfId="0" applyFont="1" applyAlignment="1">
      <alignment horizontal="left" vertical="center"/>
    </xf>
    <xf numFmtId="0" fontId="0" fillId="9" borderId="2" xfId="0" applyFill="1" applyBorder="1" applyAlignment="1">
      <alignment horizontal="left" vertical="center"/>
    </xf>
    <xf numFmtId="0" fontId="0" fillId="6" borderId="2" xfId="0" applyFill="1" applyBorder="1" applyAlignment="1">
      <alignment horizontal="left" vertical="center"/>
    </xf>
    <xf numFmtId="0" fontId="5" fillId="0" borderId="1" xfId="0" applyFont="1" applyBorder="1" applyAlignment="1">
      <alignment horizontal="left" vertical="center"/>
    </xf>
    <xf numFmtId="0" fontId="5" fillId="0" borderId="0" xfId="0" applyFont="1" applyAlignment="1">
      <alignment horizontal="left" vertical="center"/>
    </xf>
    <xf numFmtId="0" fontId="5" fillId="10" borderId="0" xfId="0" applyFont="1" applyFill="1" applyAlignment="1">
      <alignment horizontal="left" vertical="center"/>
    </xf>
    <xf numFmtId="0" fontId="21" fillId="0" borderId="1" xfId="0" applyFont="1" applyBorder="1" applyAlignment="1">
      <alignment horizontal="left" vertical="center"/>
    </xf>
    <xf numFmtId="0" fontId="0" fillId="16" borderId="0" xfId="0" applyFill="1" applyAlignment="1">
      <alignment horizontal="left" vertical="center"/>
    </xf>
    <xf numFmtId="0" fontId="8" fillId="12" borderId="0" xfId="0" applyFont="1" applyFill="1" applyAlignment="1">
      <alignment horizontal="left" vertical="center"/>
    </xf>
    <xf numFmtId="0" fontId="0" fillId="13" borderId="0" xfId="0" applyFill="1" applyAlignment="1">
      <alignment horizontal="left" vertical="center"/>
    </xf>
    <xf numFmtId="0" fontId="0" fillId="3" borderId="2" xfId="0" applyFill="1" applyBorder="1" applyAlignment="1">
      <alignment horizontal="left" vertical="center"/>
    </xf>
    <xf numFmtId="0" fontId="0" fillId="14" borderId="0" xfId="0" applyFill="1" applyAlignment="1">
      <alignment horizontal="left" vertical="center"/>
    </xf>
    <xf numFmtId="0" fontId="0" fillId="15" borderId="0" xfId="0" applyFill="1" applyAlignment="1">
      <alignment horizontal="left" vertical="center"/>
    </xf>
    <xf numFmtId="0" fontId="6" fillId="11" borderId="1" xfId="1" applyNumberFormat="1" applyFont="1" applyFill="1" applyBorder="1" applyAlignment="1">
      <alignment horizontal="center" vertical="center"/>
    </xf>
    <xf numFmtId="38" fontId="0" fillId="0" borderId="1" xfId="1" applyFont="1" applyBorder="1" applyAlignment="1">
      <alignment horizontal="left" vertical="center"/>
    </xf>
    <xf numFmtId="0" fontId="14" fillId="18" borderId="0" xfId="2" applyFont="1" applyFill="1" applyAlignment="1">
      <alignment horizontal="center" vertical="center"/>
    </xf>
    <xf numFmtId="0" fontId="14" fillId="18" borderId="0" xfId="2" applyFont="1" applyFill="1" applyAlignment="1">
      <alignment horizontal="center" vertical="center" shrinkToFit="1"/>
    </xf>
    <xf numFmtId="0" fontId="14" fillId="18" borderId="0" xfId="2" applyFont="1" applyFill="1" applyAlignment="1">
      <alignment horizontal="left" vertical="center" shrinkToFit="1"/>
    </xf>
    <xf numFmtId="176" fontId="0" fillId="11" borderId="0" xfId="0" applyNumberFormat="1" applyFill="1" applyAlignment="1">
      <alignment horizontal="center" vertical="center"/>
    </xf>
    <xf numFmtId="38" fontId="0" fillId="11" borderId="0" xfId="1" applyFont="1" applyFill="1" applyBorder="1" applyAlignment="1">
      <alignment horizontal="center" vertical="center" shrinkToFit="1"/>
    </xf>
    <xf numFmtId="38" fontId="0" fillId="11" borderId="0" xfId="1" applyFont="1" applyFill="1" applyBorder="1" applyAlignment="1">
      <alignment horizontal="left" vertical="center" shrinkToFit="1"/>
    </xf>
    <xf numFmtId="38" fontId="22" fillId="0" borderId="0" xfId="1" applyFont="1" applyBorder="1" applyAlignment="1">
      <alignment horizontal="center" vertical="center"/>
    </xf>
    <xf numFmtId="38" fontId="22" fillId="0" borderId="0" xfId="1" applyFont="1" applyAlignment="1">
      <alignment horizontal="center" vertical="center"/>
    </xf>
    <xf numFmtId="38" fontId="1" fillId="0" borderId="3" xfId="1" applyFont="1" applyBorder="1" applyAlignment="1">
      <alignment horizontal="center" vertical="center"/>
    </xf>
    <xf numFmtId="38" fontId="22" fillId="0" borderId="2" xfId="1" applyFont="1" applyBorder="1" applyAlignment="1">
      <alignment horizontal="center" vertical="center"/>
    </xf>
    <xf numFmtId="38" fontId="22" fillId="0" borderId="0" xfId="1" applyFont="1" applyFill="1" applyBorder="1" applyAlignment="1">
      <alignment horizontal="center" vertical="center"/>
    </xf>
    <xf numFmtId="38" fontId="22" fillId="0" borderId="1" xfId="1" applyFont="1" applyBorder="1" applyAlignment="1">
      <alignment horizontal="center" vertical="center" shrinkToFit="1"/>
    </xf>
    <xf numFmtId="38" fontId="22" fillId="0" borderId="2" xfId="1" applyFont="1" applyBorder="1" applyAlignment="1">
      <alignment horizontal="center" vertical="center" shrinkToFit="1"/>
    </xf>
    <xf numFmtId="38" fontId="0" fillId="0" borderId="11" xfId="1" applyFont="1" applyBorder="1" applyAlignment="1">
      <alignment horizontal="left" vertical="center" shrinkToFit="1"/>
    </xf>
    <xf numFmtId="38" fontId="0" fillId="0" borderId="5" xfId="1" applyFont="1" applyBorder="1" applyAlignment="1">
      <alignment horizontal="center" vertical="center" shrinkToFit="1"/>
    </xf>
    <xf numFmtId="38" fontId="22" fillId="0" borderId="12" xfId="1" applyFont="1" applyBorder="1" applyAlignment="1">
      <alignment horizontal="center" vertical="center" shrinkToFit="1"/>
    </xf>
    <xf numFmtId="38" fontId="0" fillId="0" borderId="0" xfId="1" applyFont="1" applyAlignment="1">
      <alignment horizontal="left" vertical="center"/>
    </xf>
    <xf numFmtId="38" fontId="22" fillId="0" borderId="3" xfId="1" applyFont="1" applyBorder="1" applyAlignment="1">
      <alignment horizontal="center" vertical="center"/>
    </xf>
    <xf numFmtId="38" fontId="24" fillId="0" borderId="0" xfId="1" applyFont="1" applyFill="1" applyBorder="1" applyAlignment="1">
      <alignment horizontal="center" vertical="center"/>
    </xf>
    <xf numFmtId="38" fontId="24" fillId="0" borderId="3" xfId="1" applyFont="1" applyFill="1" applyBorder="1" applyAlignment="1">
      <alignment horizontal="center" vertical="center"/>
    </xf>
    <xf numFmtId="38" fontId="22" fillId="11" borderId="0" xfId="1" applyFont="1" applyFill="1" applyBorder="1" applyAlignment="1">
      <alignment horizontal="center" vertical="center"/>
    </xf>
    <xf numFmtId="38" fontId="22" fillId="0" borderId="3" xfId="1" applyFont="1" applyFill="1" applyBorder="1" applyAlignment="1">
      <alignment horizontal="center" vertical="center"/>
    </xf>
    <xf numFmtId="38" fontId="22" fillId="11" borderId="12" xfId="1" applyFont="1" applyFill="1" applyBorder="1" applyAlignment="1">
      <alignment horizontal="center" vertical="center"/>
    </xf>
    <xf numFmtId="38" fontId="22" fillId="11" borderId="3" xfId="1" applyFont="1" applyFill="1" applyBorder="1" applyAlignment="1">
      <alignment horizontal="center" vertical="center"/>
    </xf>
    <xf numFmtId="176" fontId="0" fillId="0" borderId="5" xfId="0" applyNumberFormat="1" applyBorder="1" applyAlignment="1">
      <alignment horizontal="center" vertical="center"/>
    </xf>
    <xf numFmtId="0" fontId="1" fillId="2" borderId="1" xfId="1" applyNumberFormat="1" applyFont="1" applyFill="1" applyBorder="1" applyAlignment="1">
      <alignment horizontal="center" vertical="center"/>
    </xf>
    <xf numFmtId="38" fontId="6" fillId="0" borderId="1" xfId="1" applyFont="1" applyBorder="1" applyAlignment="1">
      <alignment horizontal="center" vertical="center"/>
    </xf>
    <xf numFmtId="38" fontId="0" fillId="11" borderId="5" xfId="0" applyNumberFormat="1" applyFill="1" applyBorder="1" applyAlignment="1">
      <alignment horizontal="left" vertical="center"/>
    </xf>
    <xf numFmtId="38" fontId="0" fillId="19" borderId="1" xfId="1" applyFont="1" applyFill="1" applyBorder="1" applyAlignment="1">
      <alignment horizontal="center" vertical="center"/>
    </xf>
    <xf numFmtId="38" fontId="22" fillId="0" borderId="0" xfId="1" applyFont="1" applyBorder="1" applyAlignment="1">
      <alignment horizontal="left" vertical="center" shrinkToFit="1"/>
    </xf>
    <xf numFmtId="38" fontId="0" fillId="11" borderId="0" xfId="0" applyNumberFormat="1" applyFill="1" applyAlignment="1">
      <alignment horizontal="left" vertical="center"/>
    </xf>
    <xf numFmtId="38" fontId="22" fillId="0" borderId="0" xfId="1" applyFont="1" applyBorder="1" applyAlignment="1">
      <alignment horizontal="center" vertical="center" shrinkToFit="1"/>
    </xf>
    <xf numFmtId="38" fontId="5" fillId="11" borderId="1" xfId="1" applyFont="1" applyFill="1" applyBorder="1" applyAlignment="1">
      <alignment horizontal="center" vertical="center"/>
    </xf>
    <xf numFmtId="0" fontId="6" fillId="11" borderId="0" xfId="0" applyFont="1" applyFill="1" applyAlignment="1">
      <alignment horizontal="center" vertical="center"/>
    </xf>
    <xf numFmtId="6" fontId="0" fillId="11" borderId="0" xfId="3" applyFont="1" applyFill="1" applyBorder="1">
      <alignment vertical="center"/>
    </xf>
    <xf numFmtId="6" fontId="0" fillId="0" borderId="1" xfId="3" applyFont="1" applyBorder="1" applyAlignment="1">
      <alignment horizontal="center" vertical="center"/>
    </xf>
    <xf numFmtId="6" fontId="6" fillId="11" borderId="0" xfId="3" applyFont="1" applyFill="1" applyBorder="1">
      <alignment vertical="center"/>
    </xf>
    <xf numFmtId="0" fontId="22" fillId="0" borderId="0" xfId="0" applyFont="1" applyAlignment="1">
      <alignment horizontal="center" vertical="center"/>
    </xf>
    <xf numFmtId="0" fontId="0" fillId="11" borderId="18" xfId="0" applyFill="1" applyBorder="1" applyAlignment="1">
      <alignment horizontal="center" vertical="center"/>
    </xf>
    <xf numFmtId="38" fontId="6" fillId="0" borderId="19" xfId="1" applyFont="1" applyBorder="1" applyAlignment="1">
      <alignment horizontal="center" vertical="center"/>
    </xf>
    <xf numFmtId="0" fontId="0" fillId="11" borderId="20" xfId="0" applyFill="1" applyBorder="1" applyAlignment="1">
      <alignment horizontal="center" vertical="center"/>
    </xf>
    <xf numFmtId="38" fontId="6" fillId="0" borderId="21" xfId="1" applyFont="1" applyBorder="1" applyAlignment="1">
      <alignment horizontal="center" vertical="center"/>
    </xf>
    <xf numFmtId="38" fontId="6" fillId="0" borderId="20" xfId="1" applyFont="1" applyBorder="1" applyAlignment="1">
      <alignment horizontal="center" vertical="center"/>
    </xf>
    <xf numFmtId="0" fontId="0" fillId="11" borderId="22" xfId="0" applyFill="1" applyBorder="1" applyAlignment="1">
      <alignment horizontal="center" vertical="center"/>
    </xf>
    <xf numFmtId="0" fontId="0" fillId="11" borderId="23" xfId="0" applyFill="1" applyBorder="1" applyAlignment="1">
      <alignment horizontal="center" vertical="center"/>
    </xf>
    <xf numFmtId="0" fontId="0" fillId="11" borderId="24" xfId="0" applyFill="1" applyBorder="1" applyAlignment="1">
      <alignment horizontal="center" vertical="center"/>
    </xf>
    <xf numFmtId="38" fontId="6" fillId="0" borderId="25" xfId="1" applyFont="1" applyBorder="1" applyAlignment="1">
      <alignment horizontal="center" vertical="center"/>
    </xf>
    <xf numFmtId="38" fontId="6" fillId="0" borderId="24" xfId="1" applyFont="1" applyBorder="1" applyAlignment="1">
      <alignment horizontal="center" vertical="center"/>
    </xf>
    <xf numFmtId="0" fontId="0" fillId="11" borderId="27" xfId="0" applyFill="1" applyBorder="1" applyAlignment="1">
      <alignment horizontal="center" vertical="center"/>
    </xf>
    <xf numFmtId="38" fontId="6" fillId="0" borderId="27" xfId="1" applyFont="1" applyBorder="1" applyAlignment="1">
      <alignment horizontal="center" vertical="center"/>
    </xf>
    <xf numFmtId="0" fontId="0" fillId="11" borderId="26" xfId="0" applyFill="1" applyBorder="1" applyAlignment="1">
      <alignment horizontal="center" vertical="center"/>
    </xf>
    <xf numFmtId="38" fontId="6" fillId="0" borderId="26" xfId="1" applyFont="1" applyBorder="1" applyAlignment="1">
      <alignment horizontal="center" vertical="center"/>
    </xf>
    <xf numFmtId="38" fontId="6" fillId="11" borderId="27" xfId="1" applyFont="1" applyFill="1" applyBorder="1" applyAlignment="1">
      <alignment horizontal="center" vertical="center"/>
    </xf>
    <xf numFmtId="38" fontId="6" fillId="11" borderId="20" xfId="1" applyFont="1" applyFill="1" applyBorder="1" applyAlignment="1">
      <alignment horizontal="center" vertical="center"/>
    </xf>
    <xf numFmtId="38" fontId="6" fillId="11" borderId="20" xfId="1" applyFont="1" applyFill="1" applyBorder="1" applyAlignment="1">
      <alignment horizontal="center" vertical="center" shrinkToFit="1"/>
    </xf>
    <xf numFmtId="38" fontId="22" fillId="0" borderId="20" xfId="1" applyFont="1" applyBorder="1" applyAlignment="1">
      <alignment horizontal="center" vertical="center"/>
    </xf>
    <xf numFmtId="38" fontId="7" fillId="11" borderId="20" xfId="1" applyFont="1" applyFill="1" applyBorder="1" applyAlignment="1">
      <alignment horizontal="center" vertical="center"/>
    </xf>
    <xf numFmtId="38" fontId="6" fillId="11" borderId="23" xfId="1" applyFont="1" applyFill="1" applyBorder="1" applyAlignment="1">
      <alignment horizontal="center" vertical="center"/>
    </xf>
    <xf numFmtId="38" fontId="8" fillId="11" borderId="23" xfId="1" applyFont="1" applyFill="1" applyBorder="1" applyAlignment="1">
      <alignment horizontal="center" vertical="center"/>
    </xf>
    <xf numFmtId="38" fontId="6" fillId="11" borderId="24" xfId="1" applyFont="1" applyFill="1" applyBorder="1" applyAlignment="1">
      <alignment horizontal="center" vertical="center"/>
    </xf>
    <xf numFmtId="0" fontId="0" fillId="11" borderId="28" xfId="0" applyFill="1" applyBorder="1" applyAlignment="1">
      <alignment horizontal="center" vertical="center"/>
    </xf>
    <xf numFmtId="0" fontId="0" fillId="11" borderId="16" xfId="0" applyFill="1" applyBorder="1" applyAlignment="1">
      <alignment horizontal="center" vertical="center"/>
    </xf>
    <xf numFmtId="0" fontId="0" fillId="11" borderId="29" xfId="0" applyFill="1" applyBorder="1" applyAlignment="1">
      <alignment horizontal="center" vertical="center"/>
    </xf>
    <xf numFmtId="38" fontId="6" fillId="11" borderId="16" xfId="1" applyFont="1" applyFill="1" applyBorder="1" applyAlignment="1">
      <alignment horizontal="center" vertical="center"/>
    </xf>
    <xf numFmtId="38" fontId="6" fillId="11" borderId="28" xfId="1" applyFont="1" applyFill="1" applyBorder="1" applyAlignment="1">
      <alignment horizontal="center" vertical="center"/>
    </xf>
    <xf numFmtId="6" fontId="0" fillId="11" borderId="6" xfId="3" applyFont="1" applyFill="1" applyBorder="1">
      <alignment vertical="center"/>
    </xf>
    <xf numFmtId="0" fontId="0" fillId="11" borderId="6" xfId="0" applyFill="1" applyBorder="1" applyAlignment="1">
      <alignment horizontal="center" vertical="center"/>
    </xf>
    <xf numFmtId="38" fontId="6" fillId="11" borderId="22" xfId="1" applyFont="1" applyFill="1" applyBorder="1" applyAlignment="1">
      <alignment horizontal="center" vertical="center"/>
    </xf>
    <xf numFmtId="0" fontId="0" fillId="11" borderId="1" xfId="0" applyFill="1" applyBorder="1">
      <alignment vertical="center"/>
    </xf>
    <xf numFmtId="0" fontId="6" fillId="11" borderId="1" xfId="0" applyFont="1" applyFill="1" applyBorder="1" applyAlignment="1">
      <alignment horizontal="center" vertical="center"/>
    </xf>
    <xf numFmtId="6" fontId="6" fillId="11" borderId="1" xfId="3" applyFont="1" applyFill="1" applyBorder="1">
      <alignment vertical="center"/>
    </xf>
    <xf numFmtId="38" fontId="22" fillId="0" borderId="20" xfId="1" applyFont="1" applyBorder="1" applyAlignment="1">
      <alignment vertical="center" shrinkToFit="1"/>
    </xf>
    <xf numFmtId="38" fontId="6" fillId="0" borderId="20" xfId="1" applyFont="1" applyBorder="1" applyAlignment="1">
      <alignment vertical="center" shrinkToFit="1"/>
    </xf>
    <xf numFmtId="38" fontId="18" fillId="11" borderId="20" xfId="1" applyFont="1" applyFill="1" applyBorder="1" applyAlignment="1">
      <alignment vertical="center" shrinkToFit="1"/>
    </xf>
    <xf numFmtId="38" fontId="22" fillId="0" borderId="18" xfId="1" applyFont="1" applyBorder="1" applyAlignment="1">
      <alignment horizontal="center" vertical="center"/>
    </xf>
    <xf numFmtId="38" fontId="22" fillId="0" borderId="24" xfId="1" applyFont="1" applyBorder="1" applyAlignment="1">
      <alignment horizontal="center" vertical="center"/>
    </xf>
    <xf numFmtId="38" fontId="22" fillId="0" borderId="27" xfId="1" applyFont="1" applyBorder="1" applyAlignment="1">
      <alignment horizontal="center" vertical="center"/>
    </xf>
    <xf numFmtId="38" fontId="22" fillId="0" borderId="26" xfId="1" applyFont="1" applyBorder="1" applyAlignment="1">
      <alignment horizontal="center" vertical="center"/>
    </xf>
    <xf numFmtId="38" fontId="22" fillId="11" borderId="27" xfId="1" applyFont="1" applyFill="1" applyBorder="1" applyAlignment="1">
      <alignment horizontal="center" vertical="center"/>
    </xf>
    <xf numFmtId="38" fontId="22" fillId="11" borderId="20" xfId="1" applyFont="1" applyFill="1" applyBorder="1" applyAlignment="1">
      <alignment horizontal="center" vertical="center"/>
    </xf>
    <xf numFmtId="38" fontId="22" fillId="11" borderId="20" xfId="1" applyFont="1" applyFill="1" applyBorder="1" applyAlignment="1">
      <alignment horizontal="center" vertical="center" shrinkToFit="1"/>
    </xf>
    <xf numFmtId="38" fontId="22" fillId="11" borderId="23" xfId="1" applyFont="1" applyFill="1" applyBorder="1" applyAlignment="1">
      <alignment horizontal="center" vertical="center"/>
    </xf>
    <xf numFmtId="38" fontId="22" fillId="11" borderId="24" xfId="1" applyFont="1" applyFill="1" applyBorder="1" applyAlignment="1">
      <alignment horizontal="center" vertical="center"/>
    </xf>
    <xf numFmtId="38" fontId="24" fillId="11" borderId="20" xfId="1" applyFont="1" applyFill="1" applyBorder="1" applyAlignment="1">
      <alignment horizontal="center" vertical="center"/>
    </xf>
    <xf numFmtId="38" fontId="22" fillId="11" borderId="16" xfId="1" applyFont="1" applyFill="1" applyBorder="1" applyAlignment="1">
      <alignment horizontal="center" vertical="center"/>
    </xf>
    <xf numFmtId="38" fontId="22" fillId="11" borderId="28" xfId="1" applyFont="1" applyFill="1" applyBorder="1" applyAlignment="1">
      <alignment horizontal="center" vertical="center"/>
    </xf>
    <xf numFmtId="38" fontId="22" fillId="11" borderId="22" xfId="1" applyFont="1" applyFill="1" applyBorder="1" applyAlignment="1">
      <alignment horizontal="center" vertical="center"/>
    </xf>
    <xf numFmtId="0" fontId="22" fillId="11" borderId="1" xfId="0" applyFont="1" applyFill="1" applyBorder="1" applyAlignment="1">
      <alignment horizontal="center" vertical="center"/>
    </xf>
    <xf numFmtId="0" fontId="22" fillId="11" borderId="0" xfId="0" applyFont="1" applyFill="1" applyAlignment="1">
      <alignment horizontal="center" vertical="center"/>
    </xf>
    <xf numFmtId="38" fontId="22" fillId="0" borderId="20" xfId="1" applyFont="1" applyFill="1" applyBorder="1" applyAlignment="1">
      <alignment vertical="center" shrinkToFit="1"/>
    </xf>
    <xf numFmtId="38" fontId="22" fillId="0" borderId="27" xfId="1" applyFont="1" applyBorder="1" applyAlignment="1">
      <alignment vertical="center" shrinkToFit="1"/>
    </xf>
    <xf numFmtId="0" fontId="22" fillId="0" borderId="20" xfId="0" applyFont="1" applyBorder="1" applyAlignment="1">
      <alignment vertical="center" shrinkToFit="1"/>
    </xf>
    <xf numFmtId="38" fontId="22" fillId="0" borderId="24" xfId="1" applyFont="1" applyBorder="1" applyAlignment="1">
      <alignment vertical="center" shrinkToFit="1"/>
    </xf>
    <xf numFmtId="38" fontId="22" fillId="0" borderId="23" xfId="1" applyFont="1" applyBorder="1" applyAlignment="1">
      <alignment vertical="center" shrinkToFit="1"/>
    </xf>
    <xf numFmtId="38" fontId="18" fillId="0" borderId="20" xfId="1" applyFont="1" applyBorder="1" applyAlignment="1">
      <alignment vertical="center" shrinkToFit="1"/>
    </xf>
    <xf numFmtId="38" fontId="22" fillId="0" borderId="16" xfId="1" applyFont="1" applyBorder="1" applyAlignment="1">
      <alignment vertical="center" shrinkToFit="1"/>
    </xf>
    <xf numFmtId="0" fontId="22" fillId="0" borderId="23" xfId="0" applyFont="1" applyBorder="1" applyAlignment="1">
      <alignment vertical="center" shrinkToFit="1"/>
    </xf>
    <xf numFmtId="38" fontId="22" fillId="0" borderId="28" xfId="1" applyFont="1" applyBorder="1" applyAlignment="1">
      <alignment vertical="center" shrinkToFit="1"/>
    </xf>
    <xf numFmtId="0" fontId="22" fillId="0" borderId="27" xfId="0" applyFont="1" applyBorder="1" applyAlignment="1">
      <alignment vertical="center" shrinkToFit="1"/>
    </xf>
    <xf numFmtId="0" fontId="22" fillId="0" borderId="24" xfId="0" applyFont="1" applyBorder="1" applyAlignment="1">
      <alignment vertical="center" shrinkToFit="1"/>
    </xf>
    <xf numFmtId="0" fontId="22" fillId="0" borderId="22" xfId="0" applyFont="1" applyBorder="1" applyAlignment="1">
      <alignment vertical="center" shrinkToFit="1"/>
    </xf>
    <xf numFmtId="0" fontId="22" fillId="0" borderId="6" xfId="0" applyFont="1" applyBorder="1">
      <alignment vertical="center"/>
    </xf>
    <xf numFmtId="0" fontId="22" fillId="0" borderId="0" xfId="0" applyFont="1">
      <alignment vertical="center"/>
    </xf>
    <xf numFmtId="14" fontId="6" fillId="0" borderId="18" xfId="0" applyNumberFormat="1" applyFont="1" applyBorder="1" applyAlignment="1">
      <alignment vertical="center" shrinkToFit="1"/>
    </xf>
    <xf numFmtId="14" fontId="6" fillId="0" borderId="20" xfId="0" applyNumberFormat="1" applyFont="1" applyBorder="1" applyAlignment="1">
      <alignment vertical="center" shrinkToFit="1"/>
    </xf>
    <xf numFmtId="14" fontId="6" fillId="0" borderId="24" xfId="0" applyNumberFormat="1" applyFont="1" applyBorder="1" applyAlignment="1">
      <alignment vertical="center" shrinkToFit="1"/>
    </xf>
    <xf numFmtId="38" fontId="6" fillId="0" borderId="27" xfId="1" applyFont="1" applyBorder="1" applyAlignment="1">
      <alignment vertical="center" shrinkToFit="1"/>
    </xf>
    <xf numFmtId="0" fontId="6" fillId="0" borderId="20" xfId="0" applyFont="1" applyBorder="1" applyAlignment="1">
      <alignment vertical="center" shrinkToFit="1"/>
    </xf>
    <xf numFmtId="38" fontId="6" fillId="0" borderId="24" xfId="1" applyFont="1" applyBorder="1" applyAlignment="1">
      <alignment vertical="center" shrinkToFit="1"/>
    </xf>
    <xf numFmtId="38" fontId="6" fillId="0" borderId="26" xfId="1" applyFont="1" applyBorder="1" applyAlignment="1">
      <alignment vertical="center" shrinkToFit="1"/>
    </xf>
    <xf numFmtId="38" fontId="8" fillId="0" borderId="27" xfId="1" applyFont="1" applyBorder="1" applyAlignment="1">
      <alignment vertical="center"/>
    </xf>
    <xf numFmtId="38" fontId="6" fillId="0" borderId="20" xfId="1" applyFont="1" applyFill="1" applyBorder="1" applyAlignment="1">
      <alignment vertical="center" shrinkToFit="1"/>
    </xf>
    <xf numFmtId="38" fontId="6" fillId="0" borderId="24" xfId="1" applyFont="1" applyFill="1" applyBorder="1" applyAlignment="1">
      <alignment vertical="center" shrinkToFit="1"/>
    </xf>
    <xf numFmtId="38" fontId="6" fillId="0" borderId="20" xfId="1" applyFont="1" applyBorder="1" applyAlignment="1">
      <alignment vertical="center"/>
    </xf>
    <xf numFmtId="38" fontId="6" fillId="0" borderId="23" xfId="1" applyFont="1" applyBorder="1" applyAlignment="1">
      <alignment vertical="center" shrinkToFit="1"/>
    </xf>
    <xf numFmtId="38" fontId="7" fillId="11" borderId="23" xfId="1" applyFont="1" applyFill="1" applyBorder="1" applyAlignment="1">
      <alignment horizontal="center" vertical="center"/>
    </xf>
    <xf numFmtId="6" fontId="0" fillId="0" borderId="0" xfId="3" applyFont="1" applyAlignment="1">
      <alignment horizontal="center" vertical="center" shrinkToFit="1"/>
    </xf>
    <xf numFmtId="38" fontId="24" fillId="11" borderId="23" xfId="1" applyFont="1" applyFill="1" applyBorder="1" applyAlignment="1">
      <alignment horizontal="center" vertical="center"/>
    </xf>
    <xf numFmtId="0" fontId="6" fillId="0" borderId="27" xfId="0" applyFont="1" applyBorder="1" applyAlignment="1">
      <alignment vertical="center" shrinkToFit="1"/>
    </xf>
    <xf numFmtId="38" fontId="6" fillId="0" borderId="24" xfId="1" applyFont="1" applyFill="1" applyBorder="1" applyAlignment="1">
      <alignment horizontal="center" vertical="center"/>
    </xf>
    <xf numFmtId="38" fontId="22" fillId="0" borderId="24" xfId="1" applyFont="1" applyFill="1" applyBorder="1" applyAlignment="1">
      <alignment horizontal="center" vertical="center"/>
    </xf>
    <xf numFmtId="38" fontId="6" fillId="11" borderId="27" xfId="1" applyFont="1" applyFill="1" applyBorder="1" applyAlignment="1">
      <alignment horizontal="center" vertical="center" shrinkToFit="1"/>
    </xf>
    <xf numFmtId="38" fontId="6" fillId="11" borderId="23" xfId="1" applyFont="1" applyFill="1" applyBorder="1" applyAlignment="1">
      <alignment horizontal="center" vertical="center" shrinkToFit="1"/>
    </xf>
    <xf numFmtId="38" fontId="22" fillId="11" borderId="23" xfId="1" applyFont="1" applyFill="1" applyBorder="1" applyAlignment="1">
      <alignment horizontal="center" vertical="center" shrinkToFit="1"/>
    </xf>
    <xf numFmtId="38" fontId="14" fillId="11" borderId="27" xfId="1" applyFont="1" applyFill="1" applyBorder="1" applyAlignment="1">
      <alignment horizontal="center" vertical="center"/>
    </xf>
    <xf numFmtId="38" fontId="23" fillId="11" borderId="27" xfId="1" applyFont="1" applyFill="1" applyBorder="1" applyAlignment="1">
      <alignment horizontal="center" vertical="center"/>
    </xf>
    <xf numFmtId="6" fontId="6" fillId="0" borderId="1" xfId="3" applyFont="1" applyBorder="1" applyAlignment="1">
      <alignment horizontal="center" vertical="center"/>
    </xf>
    <xf numFmtId="6" fontId="6" fillId="0" borderId="18" xfId="3" applyFont="1" applyBorder="1" applyAlignment="1">
      <alignment horizontal="center" vertical="center"/>
    </xf>
    <xf numFmtId="6" fontId="0" fillId="0" borderId="18" xfId="3" applyFont="1" applyBorder="1" applyAlignment="1">
      <alignment horizontal="center" vertical="center"/>
    </xf>
    <xf numFmtId="6" fontId="6" fillId="0" borderId="20" xfId="3" applyFont="1" applyBorder="1" applyAlignment="1">
      <alignment horizontal="center" vertical="center"/>
    </xf>
    <xf numFmtId="6" fontId="0" fillId="0" borderId="20" xfId="3" applyFont="1" applyBorder="1" applyAlignment="1">
      <alignment horizontal="center" vertical="center"/>
    </xf>
    <xf numFmtId="6" fontId="6" fillId="0" borderId="24" xfId="3" applyFont="1" applyBorder="1" applyAlignment="1">
      <alignment horizontal="center" vertical="center"/>
    </xf>
    <xf numFmtId="6" fontId="0" fillId="0" borderId="24" xfId="3" applyFont="1" applyBorder="1" applyAlignment="1">
      <alignment horizontal="center" vertical="center"/>
    </xf>
    <xf numFmtId="6" fontId="6" fillId="0" borderId="27" xfId="3" applyFont="1" applyBorder="1" applyAlignment="1">
      <alignment horizontal="center" vertical="center"/>
    </xf>
    <xf numFmtId="6" fontId="0" fillId="0" borderId="27" xfId="3" applyFont="1" applyBorder="1" applyAlignment="1">
      <alignment horizontal="center" vertical="center"/>
    </xf>
    <xf numFmtId="6" fontId="6" fillId="0" borderId="26" xfId="3" applyFont="1" applyBorder="1" applyAlignment="1">
      <alignment horizontal="center" vertical="center"/>
    </xf>
    <xf numFmtId="6" fontId="0" fillId="0" borderId="26" xfId="3" applyFont="1" applyBorder="1" applyAlignment="1">
      <alignment horizontal="center" vertical="center"/>
    </xf>
    <xf numFmtId="6" fontId="6" fillId="0" borderId="24" xfId="3" applyFont="1" applyFill="1" applyBorder="1" applyAlignment="1">
      <alignment horizontal="center" vertical="center"/>
    </xf>
    <xf numFmtId="6" fontId="6" fillId="11" borderId="27" xfId="3" applyFont="1" applyFill="1" applyBorder="1" applyAlignment="1">
      <alignment horizontal="center" vertical="center"/>
    </xf>
    <xf numFmtId="6" fontId="6" fillId="11" borderId="20" xfId="3" applyFont="1" applyFill="1" applyBorder="1" applyAlignment="1">
      <alignment horizontal="center" vertical="center" shrinkToFit="1"/>
    </xf>
    <xf numFmtId="6" fontId="6" fillId="11" borderId="20" xfId="3" applyFont="1" applyFill="1" applyBorder="1" applyAlignment="1">
      <alignment horizontal="center" vertical="center"/>
    </xf>
    <xf numFmtId="6" fontId="6" fillId="11" borderId="24" xfId="3" applyFont="1" applyFill="1" applyBorder="1" applyAlignment="1">
      <alignment horizontal="center" vertical="center"/>
    </xf>
    <xf numFmtId="6" fontId="6" fillId="11" borderId="23" xfId="3" applyFont="1" applyFill="1" applyBorder="1" applyAlignment="1">
      <alignment horizontal="center" vertical="center" shrinkToFit="1"/>
    </xf>
    <xf numFmtId="6" fontId="0" fillId="0" borderId="23" xfId="3" applyFont="1" applyBorder="1" applyAlignment="1">
      <alignment horizontal="center" vertical="center"/>
    </xf>
    <xf numFmtId="6" fontId="6" fillId="11" borderId="23" xfId="3" applyFont="1" applyFill="1" applyBorder="1" applyAlignment="1">
      <alignment horizontal="center" vertical="center"/>
    </xf>
    <xf numFmtId="6" fontId="7" fillId="11" borderId="20" xfId="3" applyFont="1" applyFill="1" applyBorder="1" applyAlignment="1">
      <alignment horizontal="center" vertical="center"/>
    </xf>
    <xf numFmtId="6" fontId="6" fillId="11" borderId="16" xfId="3" applyFont="1" applyFill="1" applyBorder="1" applyAlignment="1">
      <alignment horizontal="center" vertical="center"/>
    </xf>
    <xf numFmtId="6" fontId="0" fillId="0" borderId="16" xfId="3" applyFont="1" applyBorder="1" applyAlignment="1">
      <alignment horizontal="center" vertical="center"/>
    </xf>
    <xf numFmtId="6" fontId="6" fillId="11" borderId="28" xfId="3" applyFont="1" applyFill="1" applyBorder="1" applyAlignment="1">
      <alignment horizontal="center" vertical="center"/>
    </xf>
    <xf numFmtId="6" fontId="0" fillId="0" borderId="28" xfId="3" applyFont="1" applyBorder="1" applyAlignment="1">
      <alignment horizontal="center" vertical="center"/>
    </xf>
    <xf numFmtId="6" fontId="14" fillId="11" borderId="27" xfId="3" applyFont="1" applyFill="1" applyBorder="1" applyAlignment="1">
      <alignment horizontal="center" vertical="center"/>
    </xf>
    <xf numFmtId="6" fontId="6" fillId="11" borderId="22" xfId="3" applyFont="1" applyFill="1" applyBorder="1" applyAlignment="1">
      <alignment horizontal="center" vertical="center"/>
    </xf>
    <xf numFmtId="6" fontId="0" fillId="0" borderId="22" xfId="3" applyFont="1" applyBorder="1" applyAlignment="1">
      <alignment horizontal="center" vertical="center"/>
    </xf>
    <xf numFmtId="6" fontId="6" fillId="0" borderId="0" xfId="3" applyFont="1" applyBorder="1">
      <alignment vertical="center"/>
    </xf>
    <xf numFmtId="6" fontId="0" fillId="0" borderId="0" xfId="3" applyFont="1" applyBorder="1">
      <alignment vertical="center"/>
    </xf>
    <xf numFmtId="6" fontId="6" fillId="0" borderId="0" xfId="3" applyFont="1">
      <alignment vertical="center"/>
    </xf>
    <xf numFmtId="6" fontId="0" fillId="0" borderId="0" xfId="3" applyFont="1">
      <alignment vertical="center"/>
    </xf>
    <xf numFmtId="0" fontId="0" fillId="0" borderId="18" xfId="0" applyBorder="1">
      <alignment vertical="center"/>
    </xf>
    <xf numFmtId="0" fontId="0" fillId="0" borderId="18" xfId="0" applyBorder="1" applyAlignment="1">
      <alignment horizontal="center" vertical="center"/>
    </xf>
    <xf numFmtId="0" fontId="22" fillId="0" borderId="18" xfId="0" applyFont="1" applyBorder="1" applyAlignment="1">
      <alignment horizontal="center" vertical="center"/>
    </xf>
    <xf numFmtId="6" fontId="0" fillId="0" borderId="18" xfId="3" applyFont="1" applyBorder="1" applyAlignment="1">
      <alignment horizontal="center" vertical="center" shrinkToFit="1"/>
    </xf>
    <xf numFmtId="0" fontId="0" fillId="0" borderId="20" xfId="0" applyBorder="1">
      <alignment vertical="center"/>
    </xf>
    <xf numFmtId="6" fontId="22" fillId="0" borderId="20" xfId="3" applyFont="1" applyBorder="1" applyAlignment="1">
      <alignment horizontal="center" vertical="center"/>
    </xf>
    <xf numFmtId="6" fontId="0" fillId="0" borderId="20" xfId="3" applyFont="1" applyBorder="1" applyAlignment="1">
      <alignment horizontal="center" vertical="center" shrinkToFit="1"/>
    </xf>
    <xf numFmtId="6" fontId="0" fillId="0" borderId="20" xfId="0" applyNumberFormat="1" applyBorder="1" applyAlignment="1">
      <alignment horizontal="center" vertical="center"/>
    </xf>
    <xf numFmtId="0" fontId="0" fillId="0" borderId="22" xfId="0" applyBorder="1" applyAlignment="1">
      <alignment horizontal="center" vertical="center"/>
    </xf>
    <xf numFmtId="6" fontId="22" fillId="0" borderId="22" xfId="3" applyFont="1" applyBorder="1" applyAlignment="1">
      <alignment horizontal="center" vertical="center"/>
    </xf>
    <xf numFmtId="6" fontId="0" fillId="0" borderId="22" xfId="3" applyFont="1" applyBorder="1" applyAlignment="1">
      <alignment horizontal="center" vertical="center" shrinkToFit="1"/>
    </xf>
    <xf numFmtId="0" fontId="0" fillId="0" borderId="20" xfId="0" applyBorder="1" applyAlignment="1">
      <alignment horizontal="center" vertical="center"/>
    </xf>
    <xf numFmtId="0" fontId="0" fillId="0" borderId="17" xfId="1" applyNumberFormat="1" applyFont="1" applyFill="1" applyBorder="1" applyAlignment="1">
      <alignment horizontal="center" vertical="center"/>
    </xf>
    <xf numFmtId="14" fontId="0" fillId="0" borderId="0" xfId="0" applyNumberFormat="1" applyAlignment="1">
      <alignment horizontal="center" vertical="center" shrinkToFit="1"/>
    </xf>
    <xf numFmtId="14" fontId="0" fillId="0" borderId="5" xfId="0" applyNumberFormat="1" applyBorder="1" applyAlignment="1">
      <alignment horizontal="center" vertical="center" shrinkToFit="1"/>
    </xf>
    <xf numFmtId="14" fontId="0" fillId="0" borderId="1" xfId="0" applyNumberFormat="1" applyBorder="1" applyAlignment="1">
      <alignment horizontal="center" vertical="center" shrinkToFit="1"/>
    </xf>
    <xf numFmtId="14" fontId="0" fillId="0" borderId="4" xfId="0" applyNumberFormat="1" applyBorder="1" applyAlignment="1">
      <alignment horizontal="center" vertical="center" shrinkToFit="1"/>
    </xf>
    <xf numFmtId="14" fontId="0" fillId="11" borderId="4" xfId="0" applyNumberFormat="1" applyFill="1" applyBorder="1" applyAlignment="1">
      <alignment horizontal="center" vertical="center" shrinkToFit="1"/>
    </xf>
    <xf numFmtId="14" fontId="0" fillId="0" borderId="10" xfId="0" applyNumberFormat="1" applyBorder="1" applyAlignment="1">
      <alignment horizontal="center" vertical="center" shrinkToFit="1"/>
    </xf>
    <xf numFmtId="14" fontId="5" fillId="0" borderId="1" xfId="0" applyNumberFormat="1" applyFont="1" applyBorder="1" applyAlignment="1">
      <alignment horizontal="center" vertical="center" shrinkToFit="1"/>
    </xf>
    <xf numFmtId="14" fontId="5" fillId="0" borderId="0" xfId="0" applyNumberFormat="1" applyFont="1" applyAlignment="1">
      <alignment horizontal="center" vertical="center" shrinkToFit="1"/>
    </xf>
    <xf numFmtId="14" fontId="5" fillId="11" borderId="1" xfId="0" applyNumberFormat="1" applyFont="1" applyFill="1" applyBorder="1" applyAlignment="1">
      <alignment horizontal="center" vertical="center" shrinkToFit="1"/>
    </xf>
    <xf numFmtId="14" fontId="0" fillId="11" borderId="0" xfId="0" applyNumberFormat="1" applyFill="1" applyAlignment="1">
      <alignment horizontal="center" vertical="center" shrinkToFit="1"/>
    </xf>
    <xf numFmtId="14" fontId="0" fillId="11" borderId="1" xfId="0" applyNumberFormat="1" applyFill="1" applyBorder="1" applyAlignment="1">
      <alignment horizontal="center" vertical="center" shrinkToFit="1"/>
    </xf>
    <xf numFmtId="0" fontId="0" fillId="11" borderId="7" xfId="1" applyNumberFormat="1" applyFont="1" applyFill="1" applyBorder="1" applyAlignment="1">
      <alignment horizontal="center" vertical="center"/>
    </xf>
    <xf numFmtId="0" fontId="25" fillId="0" borderId="3"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0" fontId="4" fillId="0" borderId="3" xfId="1" applyNumberFormat="1" applyFont="1" applyBorder="1" applyAlignment="1">
      <alignment horizontal="center" vertical="center"/>
    </xf>
    <xf numFmtId="0" fontId="0" fillId="0" borderId="2" xfId="0" applyBorder="1" applyAlignment="1">
      <alignment horizontal="center" vertical="center"/>
    </xf>
    <xf numFmtId="0" fontId="0" fillId="0" borderId="2" xfId="0" applyBorder="1" applyAlignment="1">
      <alignment horizontal="left" vertical="center"/>
    </xf>
    <xf numFmtId="38" fontId="0" fillId="0" borderId="8" xfId="1" applyFont="1" applyFill="1" applyBorder="1" applyAlignment="1">
      <alignment horizontal="center" vertical="center"/>
    </xf>
    <xf numFmtId="0" fontId="5" fillId="0" borderId="1" xfId="1" applyNumberFormat="1" applyFont="1" applyFill="1" applyBorder="1" applyAlignment="1">
      <alignment horizontal="center" vertical="center"/>
    </xf>
    <xf numFmtId="0" fontId="5" fillId="0" borderId="3" xfId="1" applyNumberFormat="1" applyFont="1" applyBorder="1" applyAlignment="1">
      <alignment horizontal="center" vertical="center"/>
    </xf>
    <xf numFmtId="0" fontId="4" fillId="0" borderId="1" xfId="1" applyNumberFormat="1" applyFont="1" applyBorder="1" applyAlignment="1">
      <alignment horizontal="center" vertical="center"/>
    </xf>
    <xf numFmtId="0" fontId="1" fillId="0" borderId="1" xfId="1" applyNumberFormat="1" applyFont="1" applyBorder="1" applyAlignment="1">
      <alignment horizontal="center" vertical="center"/>
    </xf>
    <xf numFmtId="14" fontId="0" fillId="0" borderId="1" xfId="1" applyNumberFormat="1" applyFont="1" applyBorder="1" applyAlignment="1">
      <alignment horizontal="right" vertical="center"/>
    </xf>
    <xf numFmtId="0" fontId="14" fillId="0" borderId="0" xfId="2" applyFont="1" applyAlignment="1">
      <alignment vertical="center" shrinkToFit="1"/>
    </xf>
    <xf numFmtId="38" fontId="4" fillId="0" borderId="1" xfId="1" applyFont="1" applyBorder="1" applyAlignment="1">
      <alignment horizontal="left" vertical="center" shrinkToFit="1"/>
    </xf>
    <xf numFmtId="38" fontId="0" fillId="2" borderId="0" xfId="1" applyFont="1" applyFill="1" applyBorder="1" applyAlignment="1">
      <alignment horizontal="left" vertical="center" shrinkToFit="1"/>
    </xf>
    <xf numFmtId="14" fontId="0" fillId="2" borderId="0" xfId="0" applyNumberFormat="1" applyFill="1" applyAlignment="1">
      <alignment horizontal="left" vertical="center" shrinkToFit="1"/>
    </xf>
    <xf numFmtId="38" fontId="0" fillId="2" borderId="2" xfId="1" applyFont="1" applyFill="1" applyBorder="1" applyAlignment="1">
      <alignment horizontal="left" vertical="center" shrinkToFit="1"/>
    </xf>
    <xf numFmtId="0" fontId="6" fillId="11" borderId="1" xfId="0" applyFont="1" applyFill="1" applyBorder="1" applyAlignment="1">
      <alignment horizontal="center" vertical="center" shrinkToFit="1"/>
    </xf>
    <xf numFmtId="0" fontId="6" fillId="11" borderId="1" xfId="0" applyFont="1" applyFill="1" applyBorder="1" applyAlignment="1">
      <alignment horizontal="left" vertical="center" shrinkToFit="1"/>
    </xf>
    <xf numFmtId="14" fontId="18" fillId="0" borderId="4" xfId="0" applyNumberFormat="1" applyFont="1" applyBorder="1" applyAlignment="1">
      <alignment horizontal="center" vertical="center" shrinkToFit="1"/>
    </xf>
    <xf numFmtId="0" fontId="26" fillId="0" borderId="3" xfId="1" applyNumberFormat="1" applyFont="1" applyBorder="1" applyAlignment="1">
      <alignment horizontal="center" vertical="center"/>
    </xf>
    <xf numFmtId="0" fontId="19" fillId="0" borderId="0" xfId="0" applyFont="1" applyAlignment="1">
      <alignment horizontal="center" vertical="center"/>
    </xf>
    <xf numFmtId="0" fontId="0" fillId="0" borderId="2" xfId="1" applyNumberFormat="1" applyFont="1" applyFill="1" applyBorder="1" applyAlignment="1">
      <alignment horizontal="center" vertical="center"/>
    </xf>
    <xf numFmtId="0" fontId="6" fillId="0" borderId="3" xfId="1" applyNumberFormat="1" applyFont="1" applyBorder="1" applyAlignment="1">
      <alignment horizontal="center" vertical="center"/>
    </xf>
    <xf numFmtId="14" fontId="6" fillId="0" borderId="1" xfId="0" applyNumberFormat="1" applyFont="1" applyBorder="1" applyAlignment="1">
      <alignment horizontal="center" vertical="center"/>
    </xf>
    <xf numFmtId="0" fontId="6" fillId="0" borderId="0" xfId="1" applyNumberFormat="1" applyFont="1" applyBorder="1" applyAlignment="1">
      <alignment horizontal="center" vertical="center"/>
    </xf>
    <xf numFmtId="0" fontId="6" fillId="0" borderId="2" xfId="1" applyNumberFormat="1" applyFont="1" applyBorder="1" applyAlignment="1">
      <alignment horizontal="center" vertical="center"/>
    </xf>
    <xf numFmtId="0" fontId="6" fillId="0" borderId="8" xfId="1" applyNumberFormat="1" applyFont="1" applyBorder="1" applyAlignment="1">
      <alignment horizontal="center" vertical="center"/>
    </xf>
    <xf numFmtId="0" fontId="6" fillId="0" borderId="1" xfId="1" applyNumberFormat="1" applyFont="1" applyBorder="1" applyAlignment="1">
      <alignment horizontal="center" vertical="center"/>
    </xf>
    <xf numFmtId="0" fontId="6" fillId="0" borderId="1" xfId="1" applyNumberFormat="1" applyFont="1" applyFill="1" applyBorder="1" applyAlignment="1">
      <alignment horizontal="center" vertical="center"/>
    </xf>
    <xf numFmtId="0" fontId="6" fillId="11" borderId="3" xfId="1" applyNumberFormat="1" applyFont="1" applyFill="1" applyBorder="1" applyAlignment="1">
      <alignment horizontal="center" vertical="center"/>
    </xf>
    <xf numFmtId="0" fontId="6" fillId="0" borderId="12" xfId="1" applyNumberFormat="1" applyFont="1" applyBorder="1" applyAlignment="1">
      <alignment horizontal="center" vertical="center"/>
    </xf>
    <xf numFmtId="0" fontId="6" fillId="11" borderId="8" xfId="1" applyNumberFormat="1" applyFont="1" applyFill="1" applyBorder="1" applyAlignment="1">
      <alignment horizontal="center" vertical="center"/>
    </xf>
    <xf numFmtId="0" fontId="6" fillId="2" borderId="1" xfId="1" applyNumberFormat="1" applyFont="1" applyFill="1" applyBorder="1" applyAlignment="1">
      <alignment horizontal="center" vertical="center"/>
    </xf>
    <xf numFmtId="0" fontId="6" fillId="11" borderId="0" xfId="1" applyNumberFormat="1" applyFont="1" applyFill="1" applyBorder="1" applyAlignment="1">
      <alignment horizontal="center" vertical="center"/>
    </xf>
    <xf numFmtId="0" fontId="6" fillId="0" borderId="17" xfId="1" applyNumberFormat="1" applyFont="1" applyBorder="1" applyAlignment="1">
      <alignment horizontal="center" vertical="center"/>
    </xf>
    <xf numFmtId="0" fontId="6" fillId="0" borderId="7" xfId="1" applyNumberFormat="1" applyFont="1" applyBorder="1" applyAlignment="1">
      <alignment horizontal="center" vertical="center"/>
    </xf>
    <xf numFmtId="0" fontId="8" fillId="0" borderId="17" xfId="1" applyNumberFormat="1" applyFont="1" applyBorder="1" applyAlignment="1">
      <alignment horizontal="center" vertical="center"/>
    </xf>
    <xf numFmtId="0" fontId="7" fillId="11" borderId="8" xfId="1" applyNumberFormat="1" applyFont="1" applyFill="1" applyBorder="1" applyAlignment="1">
      <alignment horizontal="center" vertical="center"/>
    </xf>
    <xf numFmtId="38" fontId="6" fillId="11" borderId="3" xfId="1" applyFont="1" applyFill="1" applyBorder="1" applyAlignment="1">
      <alignment horizontal="center" vertical="center"/>
    </xf>
    <xf numFmtId="0" fontId="7" fillId="0" borderId="1" xfId="1" applyNumberFormat="1" applyFont="1" applyFill="1" applyBorder="1" applyAlignment="1">
      <alignment horizontal="center" vertical="center"/>
    </xf>
    <xf numFmtId="0" fontId="6" fillId="0" borderId="2" xfId="1" applyNumberFormat="1" applyFont="1" applyFill="1" applyBorder="1" applyAlignment="1">
      <alignment horizontal="center" vertical="center"/>
    </xf>
    <xf numFmtId="0" fontId="7" fillId="0" borderId="3" xfId="1" applyNumberFormat="1" applyFont="1" applyBorder="1" applyAlignment="1">
      <alignment horizontal="center" vertical="center"/>
    </xf>
    <xf numFmtId="0" fontId="6" fillId="0" borderId="6" xfId="1" applyNumberFormat="1" applyFont="1" applyBorder="1" applyAlignment="1">
      <alignment horizontal="center" vertical="center"/>
    </xf>
    <xf numFmtId="0" fontId="6" fillId="0" borderId="5" xfId="1" applyNumberFormat="1" applyFont="1" applyBorder="1" applyAlignment="1">
      <alignment horizontal="center" vertical="center"/>
    </xf>
    <xf numFmtId="0" fontId="6" fillId="0" borderId="0" xfId="0" applyFont="1">
      <alignment vertical="center"/>
    </xf>
    <xf numFmtId="0" fontId="6" fillId="0" borderId="17" xfId="1" applyNumberFormat="1" applyFont="1" applyFill="1" applyBorder="1" applyAlignment="1">
      <alignment horizontal="center" vertical="center"/>
    </xf>
    <xf numFmtId="0" fontId="5" fillId="0" borderId="2" xfId="0" applyFont="1" applyBorder="1" applyAlignment="1">
      <alignment horizontal="center" vertical="center"/>
    </xf>
    <xf numFmtId="0" fontId="21" fillId="0" borderId="2" xfId="0" applyFont="1" applyBorder="1" applyAlignment="1">
      <alignment horizontal="center" vertical="center" wrapText="1"/>
    </xf>
    <xf numFmtId="0" fontId="21" fillId="0" borderId="2" xfId="0" applyFont="1" applyBorder="1" applyAlignment="1">
      <alignment horizontal="left" vertical="center"/>
    </xf>
    <xf numFmtId="0" fontId="14" fillId="11" borderId="0" xfId="2" applyFont="1" applyFill="1" applyAlignment="1">
      <alignment horizontal="center" vertical="center" shrinkToFit="1"/>
    </xf>
    <xf numFmtId="0" fontId="14" fillId="11" borderId="0" xfId="2" applyFont="1" applyFill="1" applyAlignment="1">
      <alignment horizontal="left" vertical="center" shrinkToFit="1"/>
    </xf>
    <xf numFmtId="0" fontId="27" fillId="0" borderId="3" xfId="1" applyNumberFormat="1" applyFont="1" applyBorder="1" applyAlignment="1">
      <alignment horizontal="center" vertical="center"/>
    </xf>
    <xf numFmtId="0" fontId="27" fillId="0" borderId="0" xfId="1" applyNumberFormat="1" applyFont="1" applyBorder="1" applyAlignment="1">
      <alignment horizontal="center" vertical="center"/>
    </xf>
    <xf numFmtId="0" fontId="27" fillId="0" borderId="2" xfId="1" applyNumberFormat="1" applyFont="1" applyBorder="1" applyAlignment="1">
      <alignment horizontal="center" vertical="center"/>
    </xf>
    <xf numFmtId="0" fontId="27" fillId="0" borderId="8" xfId="1" applyNumberFormat="1" applyFont="1" applyBorder="1" applyAlignment="1">
      <alignment horizontal="center" vertical="center"/>
    </xf>
    <xf numFmtId="0" fontId="27" fillId="0" borderId="1" xfId="1" applyNumberFormat="1" applyFont="1" applyBorder="1" applyAlignment="1">
      <alignment horizontal="center" vertical="center"/>
    </xf>
    <xf numFmtId="0" fontId="28" fillId="0" borderId="1" xfId="1" applyNumberFormat="1" applyFont="1" applyBorder="1" applyAlignment="1">
      <alignment horizontal="center" vertical="center"/>
    </xf>
    <xf numFmtId="0" fontId="27" fillId="0" borderId="1" xfId="1" applyNumberFormat="1" applyFont="1" applyFill="1" applyBorder="1" applyAlignment="1">
      <alignment horizontal="center" vertical="center"/>
    </xf>
    <xf numFmtId="0" fontId="27" fillId="11" borderId="3" xfId="1" applyNumberFormat="1" applyFont="1" applyFill="1" applyBorder="1" applyAlignment="1">
      <alignment horizontal="center" vertical="center"/>
    </xf>
    <xf numFmtId="0" fontId="27" fillId="0" borderId="12" xfId="1" applyNumberFormat="1" applyFont="1" applyBorder="1" applyAlignment="1">
      <alignment horizontal="center" vertical="center"/>
    </xf>
    <xf numFmtId="0" fontId="27" fillId="11" borderId="1" xfId="1" applyNumberFormat="1" applyFont="1" applyFill="1" applyBorder="1" applyAlignment="1">
      <alignment horizontal="center" vertical="center"/>
    </xf>
    <xf numFmtId="0" fontId="27" fillId="11" borderId="8" xfId="1" applyNumberFormat="1" applyFont="1" applyFill="1" applyBorder="1" applyAlignment="1">
      <alignment horizontal="center" vertical="center"/>
    </xf>
    <xf numFmtId="0" fontId="27" fillId="0" borderId="1" xfId="0" applyFont="1" applyBorder="1" applyAlignment="1">
      <alignment horizontal="center" vertical="center"/>
    </xf>
    <xf numFmtId="0" fontId="27" fillId="11" borderId="0" xfId="1" applyNumberFormat="1" applyFont="1" applyFill="1" applyBorder="1" applyAlignment="1">
      <alignment horizontal="center" vertical="center"/>
    </xf>
    <xf numFmtId="0" fontId="27" fillId="0" borderId="17" xfId="1" applyNumberFormat="1" applyFont="1" applyBorder="1" applyAlignment="1">
      <alignment horizontal="center" vertical="center"/>
    </xf>
    <xf numFmtId="0" fontId="27" fillId="0" borderId="7" xfId="1" applyNumberFormat="1" applyFont="1" applyBorder="1" applyAlignment="1">
      <alignment horizontal="center" vertical="center"/>
    </xf>
    <xf numFmtId="0" fontId="1" fillId="0" borderId="17" xfId="1" applyNumberFormat="1" applyFont="1" applyFill="1" applyBorder="1" applyAlignment="1">
      <alignment horizontal="center" vertical="center"/>
    </xf>
    <xf numFmtId="0" fontId="28" fillId="11" borderId="8" xfId="1" applyNumberFormat="1" applyFont="1" applyFill="1" applyBorder="1" applyAlignment="1">
      <alignment horizontal="center" vertical="center"/>
    </xf>
    <xf numFmtId="0" fontId="28" fillId="11" borderId="3" xfId="1" applyNumberFormat="1" applyFont="1" applyFill="1" applyBorder="1" applyAlignment="1">
      <alignment horizontal="center" vertical="center"/>
    </xf>
    <xf numFmtId="0" fontId="27" fillId="2" borderId="1" xfId="1" applyNumberFormat="1" applyFont="1" applyFill="1" applyBorder="1" applyAlignment="1">
      <alignment horizontal="center" vertical="center"/>
    </xf>
    <xf numFmtId="38" fontId="27" fillId="0" borderId="1" xfId="1" applyFont="1" applyBorder="1" applyAlignment="1">
      <alignment horizontal="center" vertical="center"/>
    </xf>
    <xf numFmtId="38" fontId="27" fillId="11" borderId="3" xfId="1" applyFont="1" applyFill="1" applyBorder="1" applyAlignment="1">
      <alignment horizontal="center" vertical="center"/>
    </xf>
    <xf numFmtId="0" fontId="20" fillId="0" borderId="3" xfId="1" applyNumberFormat="1" applyFont="1" applyBorder="1" applyAlignment="1">
      <alignment horizontal="center" vertical="center"/>
    </xf>
    <xf numFmtId="0" fontId="28" fillId="0" borderId="1" xfId="1" applyNumberFormat="1" applyFont="1" applyFill="1" applyBorder="1" applyAlignment="1">
      <alignment horizontal="center" vertical="center"/>
    </xf>
    <xf numFmtId="0" fontId="27" fillId="0" borderId="2" xfId="1" applyNumberFormat="1" applyFont="1" applyFill="1" applyBorder="1" applyAlignment="1">
      <alignment horizontal="center" vertical="center"/>
    </xf>
    <xf numFmtId="0" fontId="28" fillId="0" borderId="3" xfId="1" applyNumberFormat="1" applyFont="1" applyBorder="1" applyAlignment="1">
      <alignment horizontal="center" vertical="center"/>
    </xf>
    <xf numFmtId="0" fontId="27" fillId="0" borderId="6" xfId="1" applyNumberFormat="1" applyFont="1" applyBorder="1" applyAlignment="1">
      <alignment horizontal="center" vertical="center"/>
    </xf>
    <xf numFmtId="0" fontId="27" fillId="0" borderId="5" xfId="1" applyNumberFormat="1" applyFont="1" applyBorder="1" applyAlignment="1">
      <alignment horizontal="center" vertical="center"/>
    </xf>
    <xf numFmtId="0" fontId="27" fillId="0" borderId="0" xfId="0" applyFont="1" applyAlignment="1">
      <alignment horizontal="center" vertical="center"/>
    </xf>
    <xf numFmtId="0" fontId="8" fillId="0" borderId="0" xfId="1" applyNumberFormat="1" applyFont="1" applyBorder="1" applyAlignment="1">
      <alignment horizontal="left" vertical="center"/>
    </xf>
    <xf numFmtId="176" fontId="4" fillId="0" borderId="14" xfId="0" applyNumberFormat="1" applyFont="1" applyBorder="1" applyAlignment="1">
      <alignment horizontal="left" vertical="center"/>
    </xf>
    <xf numFmtId="176" fontId="4" fillId="0" borderId="0" xfId="0" applyNumberFormat="1" applyFont="1" applyAlignment="1">
      <alignment horizontal="left" vertical="center"/>
    </xf>
    <xf numFmtId="38" fontId="0" fillId="11" borderId="1" xfId="1" applyFont="1" applyFill="1" applyBorder="1" applyAlignment="1">
      <alignment horizontal="center" vertical="center" shrinkToFit="1"/>
    </xf>
    <xf numFmtId="0" fontId="6" fillId="0" borderId="2" xfId="1" applyNumberFormat="1" applyFont="1" applyBorder="1" applyAlignment="1">
      <alignment horizontal="left" vertical="center"/>
    </xf>
    <xf numFmtId="176" fontId="0" fillId="2" borderId="1" xfId="0" applyNumberFormat="1" applyFill="1" applyBorder="1" applyAlignment="1">
      <alignment horizontal="center" vertical="center"/>
    </xf>
    <xf numFmtId="0" fontId="6" fillId="11" borderId="1" xfId="0" applyFont="1" applyFill="1" applyBorder="1">
      <alignment vertical="center"/>
    </xf>
    <xf numFmtId="0" fontId="29" fillId="0" borderId="0" xfId="1" applyNumberFormat="1" applyFont="1" applyBorder="1" applyAlignment="1">
      <alignment horizontal="center" vertical="center"/>
    </xf>
    <xf numFmtId="38" fontId="27" fillId="11" borderId="1" xfId="1" applyFont="1" applyFill="1" applyBorder="1" applyAlignment="1">
      <alignment horizontal="center" vertical="center"/>
    </xf>
    <xf numFmtId="38" fontId="4" fillId="0" borderId="1" xfId="1" applyFont="1" applyBorder="1" applyAlignment="1">
      <alignment horizontal="right" vertical="center"/>
    </xf>
    <xf numFmtId="0" fontId="27" fillId="0" borderId="16" xfId="1" applyNumberFormat="1" applyFont="1" applyFill="1" applyBorder="1" applyAlignment="1">
      <alignment horizontal="center" vertical="center"/>
    </xf>
    <xf numFmtId="0" fontId="27" fillId="0" borderId="0" xfId="1" applyNumberFormat="1" applyFont="1" applyFill="1" applyBorder="1" applyAlignment="1">
      <alignment horizontal="center" vertical="center"/>
    </xf>
    <xf numFmtId="0" fontId="27" fillId="0" borderId="17" xfId="1" applyNumberFormat="1" applyFont="1" applyFill="1" applyBorder="1" applyAlignment="1">
      <alignment horizontal="center" vertical="center"/>
    </xf>
    <xf numFmtId="0" fontId="27" fillId="11" borderId="17" xfId="1" applyNumberFormat="1" applyFont="1" applyFill="1" applyBorder="1" applyAlignment="1">
      <alignment horizontal="center" vertical="center"/>
    </xf>
    <xf numFmtId="0" fontId="27" fillId="0" borderId="16" xfId="0" applyFont="1" applyBorder="1" applyAlignment="1">
      <alignment horizontal="center" vertical="center"/>
    </xf>
    <xf numFmtId="0" fontId="27" fillId="11" borderId="0" xfId="0" applyFont="1" applyFill="1" applyAlignment="1">
      <alignment horizontal="center" vertical="center"/>
    </xf>
    <xf numFmtId="38" fontId="0" fillId="11" borderId="5" xfId="1" applyFont="1" applyFill="1" applyBorder="1" applyAlignment="1">
      <alignment horizontal="center" vertical="center"/>
    </xf>
    <xf numFmtId="0" fontId="29" fillId="0" borderId="2" xfId="1" applyNumberFormat="1" applyFont="1" applyBorder="1" applyAlignment="1">
      <alignment horizontal="center" vertical="center"/>
    </xf>
    <xf numFmtId="0" fontId="28" fillId="11" borderId="1" xfId="1" applyNumberFormat="1" applyFont="1" applyFill="1" applyBorder="1" applyAlignment="1">
      <alignment horizontal="center" vertical="center"/>
    </xf>
    <xf numFmtId="14" fontId="4" fillId="0" borderId="1" xfId="0" applyNumberFormat="1" applyFont="1" applyBorder="1" applyAlignment="1">
      <alignment horizontal="center" vertical="center" shrinkToFit="1"/>
    </xf>
    <xf numFmtId="14" fontId="0" fillId="2" borderId="1" xfId="0" applyNumberFormat="1" applyFill="1" applyBorder="1" applyAlignment="1">
      <alignment horizontal="center" vertical="center" shrinkToFit="1"/>
    </xf>
    <xf numFmtId="38" fontId="27" fillId="0" borderId="1" xfId="1" applyFont="1" applyFill="1" applyBorder="1" applyAlignment="1">
      <alignment horizontal="center" vertical="center"/>
    </xf>
    <xf numFmtId="0" fontId="27" fillId="2" borderId="1" xfId="0" applyFont="1" applyFill="1" applyBorder="1" applyAlignment="1">
      <alignment horizontal="center" vertical="center"/>
    </xf>
    <xf numFmtId="38" fontId="30" fillId="0" borderId="5" xfId="0" applyNumberFormat="1" applyFont="1" applyBorder="1" applyAlignment="1">
      <alignment horizontal="center" vertical="center"/>
    </xf>
    <xf numFmtId="14" fontId="6" fillId="0" borderId="0" xfId="0" applyNumberFormat="1" applyFont="1" applyAlignment="1">
      <alignment horizontal="center" vertical="center"/>
    </xf>
    <xf numFmtId="14" fontId="0" fillId="0" borderId="0" xfId="0" applyNumberFormat="1">
      <alignment vertical="center"/>
    </xf>
    <xf numFmtId="0" fontId="31" fillId="0" borderId="0" xfId="0" applyFont="1" applyAlignment="1">
      <alignment horizontal="center" vertical="center"/>
    </xf>
    <xf numFmtId="0" fontId="27" fillId="2" borderId="3" xfId="1" applyNumberFormat="1" applyFont="1" applyFill="1" applyBorder="1" applyAlignment="1">
      <alignment horizontal="center" vertical="center"/>
    </xf>
    <xf numFmtId="0" fontId="27" fillId="0" borderId="3" xfId="1" applyNumberFormat="1" applyFont="1" applyFill="1" applyBorder="1" applyAlignment="1">
      <alignment horizontal="center" vertical="center"/>
    </xf>
    <xf numFmtId="38" fontId="4" fillId="0" borderId="5" xfId="1" applyFont="1" applyBorder="1" applyAlignment="1">
      <alignment horizontal="left" vertical="center" shrinkToFit="1"/>
    </xf>
    <xf numFmtId="0" fontId="0" fillId="11" borderId="5" xfId="1" applyNumberFormat="1" applyFont="1" applyFill="1" applyBorder="1" applyAlignment="1">
      <alignment horizontal="center" vertical="center"/>
    </xf>
    <xf numFmtId="0" fontId="6" fillId="11" borderId="5" xfId="1" applyNumberFormat="1" applyFont="1" applyFill="1" applyBorder="1" applyAlignment="1">
      <alignment horizontal="center" vertical="center"/>
    </xf>
    <xf numFmtId="0" fontId="27" fillId="11" borderId="5" xfId="1" applyNumberFormat="1" applyFont="1" applyFill="1" applyBorder="1" applyAlignment="1">
      <alignment horizontal="center" vertical="center"/>
    </xf>
    <xf numFmtId="0" fontId="27" fillId="0" borderId="5" xfId="0" applyFont="1" applyBorder="1" applyAlignment="1">
      <alignment horizontal="center" vertical="center"/>
    </xf>
    <xf numFmtId="0" fontId="31" fillId="0" borderId="1" xfId="0" applyFont="1" applyBorder="1" applyAlignment="1">
      <alignment horizontal="center" vertical="center"/>
    </xf>
    <xf numFmtId="0" fontId="31" fillId="0" borderId="1" xfId="0" applyFont="1" applyBorder="1">
      <alignment vertical="center"/>
    </xf>
    <xf numFmtId="0" fontId="32" fillId="10" borderId="0" xfId="0" applyFont="1" applyFill="1" applyAlignment="1">
      <alignment horizontal="center" vertical="center"/>
    </xf>
    <xf numFmtId="0" fontId="32" fillId="10" borderId="0" xfId="0" applyFont="1" applyFill="1">
      <alignment vertical="center"/>
    </xf>
    <xf numFmtId="0" fontId="7" fillId="10" borderId="0" xfId="0" applyFont="1" applyFill="1">
      <alignment vertical="center"/>
    </xf>
    <xf numFmtId="0" fontId="0" fillId="11" borderId="3" xfId="0" applyFill="1" applyBorder="1" applyAlignment="1">
      <alignment horizontal="center" vertical="center"/>
    </xf>
    <xf numFmtId="176" fontId="5" fillId="0" borderId="5" xfId="0" applyNumberFormat="1" applyFont="1" applyBorder="1" applyAlignment="1">
      <alignment horizontal="center" vertical="center"/>
    </xf>
    <xf numFmtId="14" fontId="5" fillId="0" borderId="5" xfId="0" applyNumberFormat="1" applyFont="1" applyBorder="1" applyAlignment="1">
      <alignment horizontal="center" vertical="center" shrinkToFit="1"/>
    </xf>
    <xf numFmtId="0" fontId="5" fillId="0" borderId="5" xfId="0" applyFont="1" applyBorder="1" applyAlignment="1">
      <alignment horizontal="center" vertical="center"/>
    </xf>
    <xf numFmtId="0" fontId="27" fillId="0" borderId="3" xfId="0" applyFont="1" applyBorder="1" applyAlignment="1">
      <alignment horizontal="center" vertical="center"/>
    </xf>
    <xf numFmtId="0" fontId="31" fillId="0" borderId="1" xfId="0" applyFont="1" applyBorder="1" applyAlignment="1">
      <alignment horizontal="center"/>
    </xf>
    <xf numFmtId="38" fontId="22" fillId="0" borderId="8" xfId="1" applyFont="1" applyBorder="1" applyAlignment="1">
      <alignment horizontal="center" vertical="center"/>
    </xf>
    <xf numFmtId="38" fontId="0" fillId="11" borderId="17" xfId="1" applyFont="1" applyFill="1" applyBorder="1" applyAlignment="1">
      <alignment horizontal="center" vertical="center"/>
    </xf>
    <xf numFmtId="38" fontId="22" fillId="11" borderId="1" xfId="1" applyFont="1" applyFill="1" applyBorder="1" applyAlignment="1">
      <alignment horizontal="center" vertical="center"/>
    </xf>
    <xf numFmtId="14" fontId="4" fillId="0" borderId="0" xfId="0" applyNumberFormat="1" applyFont="1" applyAlignment="1">
      <alignment horizontal="center" vertical="center" shrinkToFit="1"/>
    </xf>
    <xf numFmtId="14" fontId="18" fillId="11" borderId="4" xfId="0" applyNumberFormat="1" applyFont="1" applyFill="1" applyBorder="1" applyAlignment="1">
      <alignment horizontal="center" vertical="center" wrapText="1" shrinkToFit="1"/>
    </xf>
    <xf numFmtId="176" fontId="4" fillId="0" borderId="14" xfId="0" applyNumberFormat="1" applyFont="1" applyBorder="1" applyAlignment="1">
      <alignment horizontal="center" vertical="center"/>
    </xf>
    <xf numFmtId="176" fontId="4" fillId="0" borderId="13" xfId="0" applyNumberFormat="1" applyFont="1" applyBorder="1" applyAlignment="1">
      <alignment horizontal="center" vertical="center"/>
    </xf>
    <xf numFmtId="0" fontId="31" fillId="2" borderId="0" xfId="0" applyFont="1" applyFill="1" applyAlignment="1">
      <alignment horizontal="center" vertical="center"/>
    </xf>
    <xf numFmtId="0" fontId="0" fillId="0" borderId="3" xfId="0" applyBorder="1">
      <alignment vertical="center"/>
    </xf>
    <xf numFmtId="0" fontId="27" fillId="2" borderId="17" xfId="1" applyNumberFormat="1" applyFont="1" applyFill="1" applyBorder="1" applyAlignment="1">
      <alignment horizontal="center" vertical="center"/>
    </xf>
    <xf numFmtId="0" fontId="31" fillId="0" borderId="3" xfId="0" applyFont="1" applyBorder="1">
      <alignment vertical="center"/>
    </xf>
    <xf numFmtId="38" fontId="27" fillId="0" borderId="3" xfId="1" applyFont="1" applyFill="1" applyBorder="1" applyAlignment="1">
      <alignment horizontal="center" vertical="center"/>
    </xf>
    <xf numFmtId="0" fontId="31" fillId="0" borderId="3" xfId="0" applyFont="1" applyBorder="1" applyAlignment="1">
      <alignment horizontal="center" vertical="center"/>
    </xf>
    <xf numFmtId="0" fontId="27" fillId="0" borderId="17" xfId="0" applyFont="1" applyBorder="1" applyAlignment="1">
      <alignment horizontal="center" vertical="center"/>
    </xf>
    <xf numFmtId="0" fontId="31" fillId="0" borderId="3" xfId="0" applyFont="1" applyBorder="1" applyAlignment="1">
      <alignment horizontal="center"/>
    </xf>
    <xf numFmtId="14" fontId="0" fillId="2" borderId="5" xfId="0" applyNumberFormat="1" applyFill="1" applyBorder="1" applyAlignment="1">
      <alignment horizontal="center" vertical="center" shrinkToFit="1"/>
    </xf>
    <xf numFmtId="0" fontId="27" fillId="2" borderId="5" xfId="0" applyFont="1" applyFill="1" applyBorder="1" applyAlignment="1">
      <alignment horizontal="center" vertical="center"/>
    </xf>
    <xf numFmtId="38" fontId="0" fillId="0" borderId="5" xfId="1" applyFont="1" applyFill="1" applyBorder="1" applyAlignment="1">
      <alignment horizontal="center" vertical="center"/>
    </xf>
    <xf numFmtId="0" fontId="0" fillId="0" borderId="5" xfId="1" applyNumberFormat="1" applyFont="1" applyFill="1" applyBorder="1" applyAlignment="1">
      <alignment horizontal="center" vertical="center"/>
    </xf>
    <xf numFmtId="0" fontId="6" fillId="0" borderId="5" xfId="1" applyNumberFormat="1" applyFont="1" applyFill="1" applyBorder="1" applyAlignment="1">
      <alignment horizontal="center" vertical="center"/>
    </xf>
    <xf numFmtId="0" fontId="27" fillId="0" borderId="5" xfId="1" applyNumberFormat="1" applyFont="1" applyFill="1" applyBorder="1" applyAlignment="1">
      <alignment horizontal="center" vertical="center"/>
    </xf>
    <xf numFmtId="0" fontId="27" fillId="0" borderId="7" xfId="1" applyNumberFormat="1" applyFont="1" applyFill="1" applyBorder="1" applyAlignment="1">
      <alignment horizontal="center" vertical="center"/>
    </xf>
    <xf numFmtId="0" fontId="31" fillId="2" borderId="0" xfId="0" applyFont="1" applyFill="1">
      <alignment vertical="center"/>
    </xf>
    <xf numFmtId="0" fontId="27" fillId="2" borderId="7" xfId="1" applyNumberFormat="1" applyFont="1" applyFill="1" applyBorder="1" applyAlignment="1">
      <alignment horizontal="center" vertical="center"/>
    </xf>
    <xf numFmtId="38" fontId="22" fillId="0" borderId="6" xfId="1" applyFont="1" applyBorder="1" applyAlignment="1">
      <alignment horizontal="center" vertical="center" shrinkToFit="1"/>
    </xf>
    <xf numFmtId="14" fontId="0" fillId="0" borderId="3" xfId="0" applyNumberFormat="1" applyBorder="1" applyAlignment="1">
      <alignment horizontal="center" vertical="center"/>
    </xf>
    <xf numFmtId="0" fontId="31" fillId="2" borderId="3" xfId="0" applyFont="1" applyFill="1" applyBorder="1" applyAlignment="1">
      <alignment horizontal="center" vertical="center"/>
    </xf>
    <xf numFmtId="0" fontId="31" fillId="0" borderId="8" xfId="0" applyFont="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27" fillId="19" borderId="3" xfId="1" applyNumberFormat="1" applyFont="1" applyFill="1" applyBorder="1" applyAlignment="1">
      <alignment horizontal="center" vertical="center"/>
    </xf>
    <xf numFmtId="0" fontId="0" fillId="20" borderId="0" xfId="0" applyFill="1" applyAlignment="1">
      <alignment horizontal="center" vertical="center"/>
    </xf>
    <xf numFmtId="0" fontId="0" fillId="0" borderId="11" xfId="0" applyBorder="1" applyAlignment="1">
      <alignment horizontal="left" vertical="center"/>
    </xf>
    <xf numFmtId="14" fontId="0" fillId="0" borderId="3" xfId="0" applyNumberFormat="1" applyBorder="1">
      <alignment vertical="center"/>
    </xf>
    <xf numFmtId="0" fontId="0" fillId="0" borderId="8" xfId="0" applyBorder="1">
      <alignment vertical="center"/>
    </xf>
    <xf numFmtId="0" fontId="0" fillId="11" borderId="3" xfId="0" applyFill="1" applyBorder="1">
      <alignment vertical="center"/>
    </xf>
    <xf numFmtId="0" fontId="27" fillId="11" borderId="1" xfId="0" applyFont="1" applyFill="1" applyBorder="1" applyAlignment="1">
      <alignment horizontal="center" vertical="center"/>
    </xf>
    <xf numFmtId="14" fontId="27" fillId="0" borderId="1" xfId="0" applyNumberFormat="1" applyFont="1" applyBorder="1" applyAlignment="1">
      <alignment horizontal="center" vertical="center" shrinkToFit="1"/>
    </xf>
    <xf numFmtId="14" fontId="0" fillId="0" borderId="0" xfId="0" applyNumberFormat="1" applyAlignment="1">
      <alignment vertical="center" shrinkToFit="1"/>
    </xf>
    <xf numFmtId="14" fontId="27" fillId="0" borderId="3" xfId="0" applyNumberFormat="1" applyFont="1" applyBorder="1" applyAlignment="1">
      <alignment horizontal="center" vertical="center" shrinkToFit="1"/>
    </xf>
    <xf numFmtId="0" fontId="27" fillId="0" borderId="8" xfId="0" applyFont="1" applyBorder="1" applyAlignment="1">
      <alignment horizontal="center" vertical="center"/>
    </xf>
    <xf numFmtId="0" fontId="27" fillId="2" borderId="3" xfId="0" applyFont="1" applyFill="1" applyBorder="1" applyAlignment="1">
      <alignment horizontal="center" vertical="center"/>
    </xf>
    <xf numFmtId="0" fontId="27" fillId="11" borderId="3" xfId="0" applyFont="1" applyFill="1" applyBorder="1" applyAlignment="1">
      <alignment horizontal="center" vertical="center"/>
    </xf>
    <xf numFmtId="0" fontId="27" fillId="0" borderId="6" xfId="0" applyFont="1" applyBorder="1" applyAlignment="1">
      <alignment horizontal="center" vertical="center"/>
    </xf>
    <xf numFmtId="0" fontId="31" fillId="0" borderId="5" xfId="0" applyFont="1" applyBorder="1" applyAlignment="1">
      <alignment horizontal="center" vertical="center"/>
    </xf>
    <xf numFmtId="0" fontId="0" fillId="0" borderId="1" xfId="0" quotePrefix="1" applyBorder="1" applyAlignment="1">
      <alignment horizontal="center" vertical="center"/>
    </xf>
    <xf numFmtId="0" fontId="0" fillId="0" borderId="5" xfId="0" quotePrefix="1" applyBorder="1" applyAlignment="1">
      <alignment horizontal="center" vertical="center"/>
    </xf>
    <xf numFmtId="0" fontId="0" fillId="11" borderId="1" xfId="0" quotePrefix="1" applyFill="1" applyBorder="1" applyAlignment="1">
      <alignment horizontal="center" vertical="center"/>
    </xf>
    <xf numFmtId="0" fontId="6" fillId="0" borderId="1" xfId="0" quotePrefix="1" applyFont="1" applyBorder="1" applyAlignment="1">
      <alignment horizontal="center" vertical="center"/>
    </xf>
    <xf numFmtId="0" fontId="0" fillId="2" borderId="0" xfId="0" applyFill="1">
      <alignment vertical="center"/>
    </xf>
    <xf numFmtId="0" fontId="27" fillId="21" borderId="3" xfId="1" applyNumberFormat="1" applyFont="1" applyFill="1" applyBorder="1" applyAlignment="1">
      <alignment horizontal="center" vertical="center"/>
    </xf>
    <xf numFmtId="0" fontId="27" fillId="21" borderId="1" xfId="0" applyFont="1" applyFill="1" applyBorder="1" applyAlignment="1">
      <alignment horizontal="center" vertical="center"/>
    </xf>
    <xf numFmtId="0" fontId="0" fillId="0" borderId="0" xfId="0" quotePrefix="1">
      <alignment vertical="center"/>
    </xf>
    <xf numFmtId="0" fontId="0" fillId="0" borderId="1" xfId="0" applyBorder="1" applyAlignment="1">
      <alignment horizontal="center" vertical="center" shrinkToFit="1"/>
    </xf>
    <xf numFmtId="38" fontId="0" fillId="0" borderId="2" xfId="1" applyFont="1" applyBorder="1" applyAlignment="1">
      <alignment horizontal="center" vertical="center" shrinkToFit="1"/>
    </xf>
    <xf numFmtId="38" fontId="1" fillId="0" borderId="2" xfId="1" applyFont="1" applyBorder="1" applyAlignment="1">
      <alignment horizontal="center" vertical="center" shrinkToFit="1"/>
    </xf>
    <xf numFmtId="38" fontId="0" fillId="0" borderId="3" xfId="1" applyFont="1" applyBorder="1" applyAlignment="1">
      <alignment horizontal="center" vertical="center" shrinkToFit="1"/>
    </xf>
    <xf numFmtId="38" fontId="0" fillId="0" borderId="4" xfId="1" applyFont="1" applyBorder="1" applyAlignment="1">
      <alignment horizontal="center" vertical="center" shrinkToFit="1"/>
    </xf>
    <xf numFmtId="0" fontId="0" fillId="11" borderId="27" xfId="0" applyFill="1" applyBorder="1" applyAlignment="1">
      <alignment horizontal="center" vertical="center"/>
    </xf>
    <xf numFmtId="0" fontId="0" fillId="11" borderId="20" xfId="0" applyFill="1" applyBorder="1" applyAlignment="1">
      <alignment horizontal="center" vertical="center"/>
    </xf>
    <xf numFmtId="0" fontId="0" fillId="11" borderId="24" xfId="0" applyFill="1" applyBorder="1" applyAlignment="1">
      <alignment horizontal="center" vertical="center"/>
    </xf>
    <xf numFmtId="0" fontId="0" fillId="11" borderId="22" xfId="0" applyFill="1" applyBorder="1" applyAlignment="1">
      <alignment horizontal="center" vertical="center"/>
    </xf>
    <xf numFmtId="6" fontId="0" fillId="11" borderId="0" xfId="3" applyFont="1" applyFill="1" applyBorder="1" applyAlignment="1">
      <alignment horizontal="center" vertical="center"/>
    </xf>
    <xf numFmtId="0" fontId="0" fillId="11" borderId="16" xfId="0" applyFill="1" applyBorder="1" applyAlignment="1">
      <alignment horizontal="center" vertical="center"/>
    </xf>
    <xf numFmtId="0" fontId="0" fillId="11" borderId="23" xfId="0" applyFill="1" applyBorder="1" applyAlignment="1">
      <alignment horizontal="center" vertical="center"/>
    </xf>
    <xf numFmtId="0" fontId="0" fillId="11" borderId="28" xfId="0" applyFill="1" applyBorder="1" applyAlignment="1">
      <alignment horizontal="center" vertical="center"/>
    </xf>
    <xf numFmtId="0" fontId="0" fillId="11" borderId="30" xfId="0" applyFill="1" applyBorder="1" applyAlignment="1">
      <alignment horizontal="center" vertical="center" wrapText="1"/>
    </xf>
    <xf numFmtId="0" fontId="0" fillId="11" borderId="16" xfId="0" applyFill="1" applyBorder="1" applyAlignment="1">
      <alignment horizontal="center" vertical="center" wrapText="1"/>
    </xf>
    <xf numFmtId="0" fontId="0" fillId="11" borderId="29" xfId="0" applyFill="1" applyBorder="1" applyAlignment="1">
      <alignment horizontal="center" vertical="center" wrapText="1"/>
    </xf>
    <xf numFmtId="0" fontId="0" fillId="11" borderId="18" xfId="0" applyFill="1" applyBorder="1" applyAlignment="1">
      <alignment horizontal="center" vertical="center"/>
    </xf>
    <xf numFmtId="0" fontId="0" fillId="11" borderId="23" xfId="0" applyFill="1" applyBorder="1" applyAlignment="1">
      <alignment horizontal="center" vertical="center" wrapText="1"/>
    </xf>
    <xf numFmtId="0" fontId="0" fillId="11" borderId="27" xfId="0" applyFill="1" applyBorder="1" applyAlignment="1">
      <alignment horizontal="center" vertical="center" wrapText="1"/>
    </xf>
  </cellXfs>
  <cellStyles count="4">
    <cellStyle name="桁区切り" xfId="1" builtinId="6"/>
    <cellStyle name="通貨" xfId="3" builtinId="7"/>
    <cellStyle name="標準" xfId="0" builtinId="0"/>
    <cellStyle name="標準 2" xfId="2" xr:uid="{3A52A56E-126F-4EAC-A223-3FD7B7C2201A}"/>
  </cellStyles>
  <dxfs count="41">
    <dxf>
      <font>
        <color rgb="FF9C0006"/>
      </font>
      <fill>
        <patternFill>
          <bgColor rgb="FFFFC7CE"/>
        </patternFill>
      </fill>
    </dxf>
    <dxf>
      <fill>
        <patternFill>
          <bgColor theme="4" tint="-0.24994659260841701"/>
        </patternFill>
      </fill>
    </dxf>
    <dxf>
      <font>
        <color rgb="FFFF0000"/>
      </font>
      <fill>
        <patternFill>
          <bgColor theme="7" tint="0.59996337778862885"/>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ill>
        <patternFill patternType="solid">
          <bgColor theme="5" tint="0.79995117038483843"/>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ont>
        <color rgb="FFFF0000"/>
      </font>
      <fill>
        <patternFill>
          <bgColor theme="7" tint="0.59996337778862885"/>
        </patternFill>
      </fill>
    </dxf>
    <dxf>
      <fill>
        <patternFill patternType="solid">
          <bgColor theme="5" tint="0.79995117038483843"/>
        </patternFill>
      </fill>
    </dxf>
    <dxf>
      <font>
        <color rgb="FFFF0000"/>
      </font>
      <fill>
        <patternFill>
          <bgColor theme="7" tint="0.59996337778862885"/>
        </patternFill>
      </fill>
    </dxf>
    <dxf>
      <font>
        <color rgb="FFFF0000"/>
      </font>
      <fill>
        <patternFill>
          <bgColor theme="7" tint="0.59996337778862885"/>
        </patternFill>
      </fill>
    </dxf>
    <dxf>
      <numFmt numFmtId="19" formatCode="yyyy/m/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99"/>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M Hara" id="{87A19E10-26EA-47CA-8842-45610809125D}" userId="c929d3d58ee01e0b"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497D0766-BA61-4F58-AA15-B856F813F675}" autoFormatId="20" applyNumberFormats="0" applyBorderFormats="0" applyFontFormats="0" applyPatternFormats="0" applyAlignmentFormats="0" applyWidthHeightFormats="0">
  <queryTableRefresh nextId="42">
    <queryTableFields count="5">
      <queryTableField id="2" name="社員№" tableColumnId="2"/>
      <queryTableField id="39" name="請負業務" tableColumnId="1"/>
      <queryTableField id="4" name="氏名" tableColumnId="4"/>
      <queryTableField id="5" name="カナ" tableColumnId="5"/>
      <queryTableField id="40" name="入社日"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DED11F7D-9239-494F-B12B-B9E9812B162F}" autoFormatId="20" applyNumberFormats="0" applyBorderFormats="0" applyFontFormats="0" applyPatternFormats="0" applyAlignmentFormats="0" applyWidthHeightFormats="0">
  <queryTableRefresh nextId="30">
    <queryTableFields count="5">
      <queryTableField id="2" name="社員№" tableColumnId="2"/>
      <queryTableField id="4" name="氏名" tableColumnId="4"/>
      <queryTableField id="5" name="カナ" tableColumnId="5"/>
      <queryTableField id="28" name="事務所" tableColumnId="1"/>
      <queryTableField id="29" name="入社日"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9B1D72E-62FD-4A2F-BCA6-E7709982B116}" autoFormatId="20" applyNumberFormats="0" applyBorderFormats="0" applyFontFormats="0" applyPatternFormats="0" applyAlignmentFormats="0" applyWidthHeightFormats="0">
  <queryTableRefresh nextId="44">
    <queryTableFields count="5">
      <queryTableField id="2" name="社員№" tableColumnId="2"/>
      <queryTableField id="4" name="派遣先" tableColumnId="4"/>
      <queryTableField id="8" name="氏名" tableColumnId="8"/>
      <queryTableField id="9" name="カナ" tableColumnId="9"/>
      <queryTableField id="43" name="入社日"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5" xr16:uid="{2E6A8977-F5B6-4937-9CC3-1E5EA73EEA60}" autoFormatId="20" applyNumberFormats="0" applyBorderFormats="0" applyFontFormats="0" applyPatternFormats="0" applyAlignmentFormats="0" applyWidthHeightFormats="0">
  <queryTableRefresh nextId="6">
    <queryTableFields count="5">
      <queryTableField id="1" name="社員№" tableColumnId="1"/>
      <queryTableField id="2" name="派遣先" tableColumnId="2"/>
      <queryTableField id="3" name="氏名" tableColumnId="3"/>
      <queryTableField id="4" name="カナ" tableColumnId="4"/>
      <queryTableField id="5" name="入社日"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D185345-F9BE-46AA-B2C9-3ED3AB4302C5}" name="UkeoiT" displayName="UkeoiT" ref="A1:E147" tableType="queryTable" totalsRowShown="0">
  <autoFilter ref="A1:E147" xr:uid="{1D185345-F9BE-46AA-B2C9-3ED3AB4302C5}"/>
  <tableColumns count="5">
    <tableColumn id="2" xr3:uid="{AB9ED34D-2659-40E5-8CE5-5D28BFC660F4}" uniqueName="2" name="社員№" queryTableFieldId="2" dataDxfId="40"/>
    <tableColumn id="1" xr3:uid="{B43E3C55-F945-4147-BC04-583D16C24E51}" uniqueName="1" name="請負業務" queryTableFieldId="39"/>
    <tableColumn id="4" xr3:uid="{6FB97A4B-F59C-404A-86D5-C23B7E066CFC}" uniqueName="4" name="氏名" queryTableFieldId="4" dataDxfId="39"/>
    <tableColumn id="5" xr3:uid="{C8BFAA1E-F349-491B-AC1D-E360E86CCE68}" uniqueName="5" name="カナ" queryTableFieldId="5" dataDxfId="38"/>
    <tableColumn id="3" xr3:uid="{F76B3EC5-A374-44A2-9AD6-D407F4811138}" uniqueName="3" name="入社日" queryTableFieldId="4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66001B-994B-49C8-9326-650F04B0D255}" name="DBStaff" displayName="DBStaff" ref="A1:E20" tableType="queryTable" totalsRowShown="0">
  <autoFilter ref="A1:E20" xr:uid="{3066001B-994B-49C8-9326-650F04B0D255}"/>
  <tableColumns count="5">
    <tableColumn id="2" xr3:uid="{CE4F22DE-ACA5-465E-9847-AE8E1B789CEE}" uniqueName="2" name="社員№" queryTableFieldId="2" dataDxfId="37"/>
    <tableColumn id="4" xr3:uid="{E63622F1-6131-4FD9-AABE-2A7D0909358E}" uniqueName="4" name="氏名" queryTableFieldId="4" dataDxfId="36"/>
    <tableColumn id="5" xr3:uid="{F5BF8CE9-E66A-466E-A9D7-21342C113186}" uniqueName="5" name="カナ" queryTableFieldId="5" dataDxfId="35"/>
    <tableColumn id="1" xr3:uid="{C0C1B41F-E383-4022-94D8-4161489B258C}" uniqueName="1" name="事務所" queryTableFieldId="28"/>
    <tableColumn id="3" xr3:uid="{5335633A-6AFB-4CA9-AEA8-92CD7A7718E0}" uniqueName="3" name="入社日" queryTableField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F6C488-9A3A-49E4-938C-E04A81EF5BE1}" name="DBGenzai" displayName="DBGenzai" ref="A1:E1078" tableType="queryTable" totalsRowShown="0">
  <autoFilter ref="A1:E1078" xr:uid="{C8F6C488-9A3A-49E4-938C-E04A81EF5BE1}"/>
  <tableColumns count="5">
    <tableColumn id="2" xr3:uid="{8502A4E4-9462-44D2-8AEF-B71C54288A1A}" uniqueName="2" name="社員№" queryTableFieldId="2" dataDxfId="34"/>
    <tableColumn id="4" xr3:uid="{58320F33-D619-4DA9-A723-1CEE8D789A9A}" uniqueName="4" name="派遣先" queryTableFieldId="4" dataDxfId="33"/>
    <tableColumn id="8" xr3:uid="{DBD8F739-772F-404D-9280-A373DD6ACC67}" uniqueName="8" name="氏名" queryTableFieldId="8" dataDxfId="32"/>
    <tableColumn id="9" xr3:uid="{95A08FA7-2338-442A-9AA5-6A45A236ACD7}" uniqueName="9" name="カナ" queryTableFieldId="9" dataDxfId="31"/>
    <tableColumn id="1" xr3:uid="{24629E1E-D559-407B-9E59-B40444BC00C4}" uniqueName="1" name="入社日" queryTableFieldId="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496EC2A-8283-4F6E-97C6-E50045077E88}" name="追加1" displayName="追加1" ref="A1:E1243" tableType="queryTable" totalsRowShown="0">
  <autoFilter ref="A1:E1243" xr:uid="{0496EC2A-8283-4F6E-97C6-E50045077E88}"/>
  <sortState xmlns:xlrd2="http://schemas.microsoft.com/office/spreadsheetml/2017/richdata2" ref="A2:E1243">
    <sortCondition ref="E1:E1243"/>
  </sortState>
  <tableColumns count="5">
    <tableColumn id="1" xr3:uid="{0BCA76C7-07A8-4656-9330-5EF72CCAF758}" uniqueName="1" name="社員№" queryTableFieldId="1" dataDxfId="30"/>
    <tableColumn id="2" xr3:uid="{FF3A1ECF-14C2-4180-AA9A-A286018850CC}" uniqueName="2" name="派遣先" queryTableFieldId="2" dataDxfId="29"/>
    <tableColumn id="3" xr3:uid="{E2AD91CF-A23F-4302-9EC2-26A40F043CAE}" uniqueName="3" name="氏名" queryTableFieldId="3" dataDxfId="28"/>
    <tableColumn id="4" xr3:uid="{EC1B6A19-4B11-47E0-A416-43C82053535F}" uniqueName="4" name="カナ" queryTableFieldId="4" dataDxfId="27"/>
    <tableColumn id="5" xr3:uid="{610DB5FF-699F-435D-9BE8-920F4EB1C698}" uniqueName="5" name="入社日" queryTableFieldId="5" dataDxfId="2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01AD5D-65B0-46AE-9BEB-57C0EAA5A1CD}" name="テーブル5" displayName="テーブル5" ref="A1:D383" totalsRowCount="1">
  <autoFilter ref="A1:D382" xr:uid="{4301AD5D-65B0-46AE-9BEB-57C0EAA5A1CD}"/>
  <tableColumns count="4">
    <tableColumn id="1" xr3:uid="{41D9F136-082B-46EF-9B76-CB3090647C44}" name="社員番号"/>
    <tableColumn id="2" xr3:uid="{1C6D9378-DC85-40D3-8B47-E53AFBA78059}" name="派遣先"/>
    <tableColumn id="3" xr3:uid="{E68417B6-33D7-43DE-B696-6E7590550686}" name="氏名"/>
    <tableColumn id="4" xr3:uid="{B7B6273F-C4DA-4E1F-BD7A-FA74F2458BF8}" name="家賃" totalsRowFunction="sum"/>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175" dT="2025-06-05T02:38:41.72" personId="{87A19E10-26EA-47CA-8842-45610809125D}" id="{E7EF64FC-D6DE-4AE4-B8E4-47B97AEBF5F6}">
    <text>年金受取退社25/5/30
25/6/15で家賃二か月分
25/8/15で再入社後初回給与</text>
  </threadedComment>
  <threadedComment ref="AB175" dT="2025-06-05T02:38:41.72" personId="{87A19E10-26EA-47CA-8842-45610809125D}" id="{E7EF64FC-D6DE-4AE5-B8E4-47B97AEBF5F6}">
    <text>年金受取退社25/5/30
25/6/15で家賃二か月分
25/8/15で再入社後初回給与</text>
  </threadedComment>
  <threadedComment ref="R500" dT="2024-11-05T03:00:54.76" personId="{87A19E10-26EA-47CA-8842-45610809125D}" id="{ABDB6617-09F3-4524-8E48-5F90D7B620E9}">
    <text>ロアンさん
24/7/16から産休の為</text>
  </threadedComment>
  <threadedComment ref="Y598" dT="2025-04-09T02:47:49.57" personId="{87A19E10-26EA-47CA-8842-45610809125D}" id="{5CE1AF55-2305-46F3-95CD-B9CD6AB2F8AB}">
    <text>4/2退去費用取らないでフォン君</text>
  </threadedComment>
  <threadedComment ref="Y598" dT="2025-04-09T02:51:14.46" personId="{87A19E10-26EA-47CA-8842-45610809125D}" id="{4C0A8596-A97C-4CA0-BEFA-B4B722C9BE78}" parentId="{5CE1AF55-2305-46F3-95CD-B9CD6AB2F8AB}">
    <text>4/8TELにて退去費用2万控除して欲しいフォン君⇒部長経由で連絡あり修正済み　原</text>
  </threadedComment>
  <threadedComment ref="T1044" dT="2024-11-07T02:38:27.04" personId="{87A19E10-26EA-47CA-8842-45610809125D}" id="{E17CA785-9B0B-4BBE-91AC-5D7A67C4444A}">
    <text>先に退去費精算
12/15は家賃のみ</text>
  </threadedComment>
  <threadedComment ref="AB1083" dT="2025-09-03T04:23:00.80" personId="{87A19E10-26EA-47CA-8842-45610809125D}" id="{26971D66-C9E2-45CE-8C7E-3D77614A0029}">
    <text>浜本さんより退去費無</text>
  </threadedComment>
  <threadedComment ref="AB1089" dT="2025-06-13T01:56:40.80" personId="{87A19E10-26EA-47CA-8842-45610809125D}" id="{9E8D16DA-5952-4D46-8FAC-D77DDC558E51}">
    <text>6/11退社
7/15分の給与を6/13に計算入力
6月中に振込をする</text>
  </threadedComment>
  <threadedComment ref="AA1173" dT="2025-06-11T05:37:11.61" personId="{87A19E10-26EA-47CA-8842-45610809125D}" id="{8A05DABF-4A8A-4AFA-9362-C497D69B0FC1}">
    <text>4/19契約終了トゥアンさんに確認済み</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8A20FD7-57B9-4DFC-AC52-539B46990EDB}">
  <we:reference id="wa104380126" version="1.0.0.0" store="ja-JP" storeType="OMEX"/>
  <we:alternateReferences>
    <we:reference id="wa104380126" version="1.0.0.0" store="wa1043801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4E36C-0AED-43E2-A43B-2DE1AB7FDAB2}">
  <sheetPr codeName="Sheet5"/>
  <dimension ref="A1:E142"/>
  <sheetViews>
    <sheetView workbookViewId="0"/>
  </sheetViews>
  <sheetFormatPr defaultColWidth="9" defaultRowHeight="18.75"/>
  <cols>
    <col min="1" max="1" width="9.375" bestFit="1" customWidth="1"/>
    <col min="2" max="2" width="11.25" bestFit="1" customWidth="1"/>
    <col min="3" max="3" width="39.5" bestFit="1" customWidth="1"/>
    <col min="4" max="4" width="44.25" bestFit="1" customWidth="1"/>
    <col min="5" max="5" width="9.375" bestFit="1" customWidth="1"/>
    <col min="6" max="6" width="44.25" bestFit="1" customWidth="1"/>
    <col min="7" max="7" width="39.5" bestFit="1" customWidth="1"/>
    <col min="8" max="8" width="44.25" bestFit="1" customWidth="1"/>
    <col min="9" max="9" width="7.5" bestFit="1" customWidth="1"/>
    <col min="10" max="10" width="8.5" bestFit="1" customWidth="1"/>
    <col min="11" max="11" width="11.375" bestFit="1" customWidth="1"/>
    <col min="12" max="13" width="7.5" bestFit="1" customWidth="1"/>
    <col min="14" max="14" width="46" bestFit="1" customWidth="1"/>
    <col min="15" max="19" width="11.25" bestFit="1" customWidth="1"/>
    <col min="20" max="20" width="9.375" bestFit="1" customWidth="1"/>
    <col min="21" max="21" width="11.25" bestFit="1" customWidth="1"/>
    <col min="22" max="22" width="11.375" bestFit="1" customWidth="1"/>
    <col min="23" max="23" width="17.5" bestFit="1" customWidth="1"/>
    <col min="24" max="24" width="25.5" bestFit="1" customWidth="1"/>
    <col min="25" max="25" width="9.875" bestFit="1" customWidth="1"/>
    <col min="26" max="26" width="36.125" bestFit="1" customWidth="1"/>
    <col min="27" max="27" width="20.75" bestFit="1" customWidth="1"/>
    <col min="28" max="28" width="7.5" bestFit="1" customWidth="1"/>
    <col min="29" max="30" width="11.375" bestFit="1" customWidth="1"/>
    <col min="31" max="31" width="7.5" bestFit="1" customWidth="1"/>
    <col min="32" max="33" width="11.25" bestFit="1" customWidth="1"/>
    <col min="34" max="34" width="9.375" bestFit="1" customWidth="1"/>
    <col min="35" max="35" width="11.25" bestFit="1" customWidth="1"/>
    <col min="36" max="36" width="9.375" bestFit="1" customWidth="1"/>
    <col min="37" max="38" width="11.25" bestFit="1" customWidth="1"/>
    <col min="39" max="39" width="73.5" bestFit="1" customWidth="1"/>
  </cols>
  <sheetData>
    <row r="1" spans="1:5">
      <c r="A1" t="s">
        <v>1075</v>
      </c>
      <c r="B1" t="s">
        <v>2699</v>
      </c>
      <c r="C1" t="s">
        <v>1077</v>
      </c>
      <c r="D1" t="s">
        <v>1078</v>
      </c>
      <c r="E1" t="s">
        <v>2697</v>
      </c>
    </row>
    <row r="2" spans="1:5">
      <c r="A2" t="s">
        <v>2700</v>
      </c>
      <c r="B2" t="s">
        <v>124</v>
      </c>
      <c r="C2" t="s">
        <v>2321</v>
      </c>
      <c r="D2" t="s">
        <v>2322</v>
      </c>
      <c r="E2">
        <v>44409</v>
      </c>
    </row>
    <row r="3" spans="1:5">
      <c r="A3" t="s">
        <v>2701</v>
      </c>
      <c r="B3" t="s">
        <v>124</v>
      </c>
      <c r="C3" t="s">
        <v>2323</v>
      </c>
      <c r="D3" t="s">
        <v>2324</v>
      </c>
      <c r="E3">
        <v>44409</v>
      </c>
    </row>
    <row r="4" spans="1:5">
      <c r="A4" t="s">
        <v>2702</v>
      </c>
      <c r="B4" t="s">
        <v>124</v>
      </c>
      <c r="C4" t="s">
        <v>2325</v>
      </c>
      <c r="D4" t="s">
        <v>2326</v>
      </c>
      <c r="E4">
        <v>44409</v>
      </c>
    </row>
    <row r="5" spans="1:5">
      <c r="A5" t="s">
        <v>2703</v>
      </c>
      <c r="B5" t="s">
        <v>124</v>
      </c>
      <c r="C5" t="s">
        <v>2327</v>
      </c>
      <c r="D5" t="s">
        <v>2328</v>
      </c>
      <c r="E5">
        <v>44409</v>
      </c>
    </row>
    <row r="6" spans="1:5">
      <c r="A6" t="s">
        <v>2704</v>
      </c>
      <c r="B6" t="s">
        <v>124</v>
      </c>
      <c r="C6" t="s">
        <v>2329</v>
      </c>
      <c r="D6" t="s">
        <v>2330</v>
      </c>
      <c r="E6">
        <v>44409</v>
      </c>
    </row>
    <row r="7" spans="1:5">
      <c r="A7" t="s">
        <v>2705</v>
      </c>
      <c r="B7" t="s">
        <v>124</v>
      </c>
      <c r="C7" t="s">
        <v>2331</v>
      </c>
      <c r="D7" t="s">
        <v>2332</v>
      </c>
      <c r="E7">
        <v>44409</v>
      </c>
    </row>
    <row r="8" spans="1:5">
      <c r="A8" t="s">
        <v>2706</v>
      </c>
      <c r="B8" t="s">
        <v>124</v>
      </c>
      <c r="C8" t="s">
        <v>2333</v>
      </c>
      <c r="D8" t="s">
        <v>2334</v>
      </c>
      <c r="E8">
        <v>44409</v>
      </c>
    </row>
    <row r="9" spans="1:5">
      <c r="A9" t="s">
        <v>2707</v>
      </c>
      <c r="B9" t="s">
        <v>124</v>
      </c>
      <c r="C9" t="s">
        <v>2335</v>
      </c>
      <c r="D9" t="s">
        <v>2336</v>
      </c>
      <c r="E9">
        <v>44409</v>
      </c>
    </row>
    <row r="10" spans="1:5">
      <c r="A10" t="s">
        <v>2708</v>
      </c>
      <c r="B10" t="s">
        <v>124</v>
      </c>
      <c r="C10" t="s">
        <v>2337</v>
      </c>
      <c r="D10" t="s">
        <v>2338</v>
      </c>
      <c r="E10">
        <v>44409</v>
      </c>
    </row>
    <row r="11" spans="1:5">
      <c r="A11" t="s">
        <v>2709</v>
      </c>
      <c r="B11" t="s">
        <v>124</v>
      </c>
      <c r="C11" t="s">
        <v>2339</v>
      </c>
      <c r="D11" t="s">
        <v>2340</v>
      </c>
      <c r="E11">
        <v>44409</v>
      </c>
    </row>
    <row r="12" spans="1:5">
      <c r="A12" t="s">
        <v>2710</v>
      </c>
      <c r="B12" t="s">
        <v>124</v>
      </c>
      <c r="C12" t="s">
        <v>2341</v>
      </c>
      <c r="D12" t="s">
        <v>2342</v>
      </c>
      <c r="E12">
        <v>44409</v>
      </c>
    </row>
    <row r="13" spans="1:5">
      <c r="A13" t="s">
        <v>2711</v>
      </c>
      <c r="B13" t="s">
        <v>124</v>
      </c>
      <c r="C13" t="s">
        <v>2343</v>
      </c>
      <c r="D13" t="s">
        <v>2344</v>
      </c>
      <c r="E13">
        <v>44409</v>
      </c>
    </row>
    <row r="14" spans="1:5">
      <c r="A14" t="s">
        <v>2712</v>
      </c>
      <c r="B14" t="s">
        <v>124</v>
      </c>
      <c r="C14" t="s">
        <v>2345</v>
      </c>
      <c r="D14" t="s">
        <v>2346</v>
      </c>
      <c r="E14">
        <v>44409</v>
      </c>
    </row>
    <row r="15" spans="1:5">
      <c r="A15" t="s">
        <v>2713</v>
      </c>
      <c r="B15" t="s">
        <v>124</v>
      </c>
      <c r="C15" t="s">
        <v>2347</v>
      </c>
      <c r="D15" t="s">
        <v>2348</v>
      </c>
    </row>
    <row r="16" spans="1:5">
      <c r="A16" t="s">
        <v>2714</v>
      </c>
      <c r="B16" t="s">
        <v>124</v>
      </c>
      <c r="C16" t="s">
        <v>2349</v>
      </c>
      <c r="D16" t="s">
        <v>2350</v>
      </c>
      <c r="E16">
        <v>44409</v>
      </c>
    </row>
    <row r="17" spans="1:5">
      <c r="A17" t="s">
        <v>2715</v>
      </c>
      <c r="B17" t="s">
        <v>124</v>
      </c>
      <c r="C17" t="s">
        <v>2351</v>
      </c>
      <c r="D17" t="s">
        <v>2352</v>
      </c>
      <c r="E17">
        <v>44409</v>
      </c>
    </row>
    <row r="18" spans="1:5">
      <c r="A18" t="s">
        <v>2716</v>
      </c>
      <c r="B18" t="s">
        <v>124</v>
      </c>
      <c r="C18" t="s">
        <v>2353</v>
      </c>
      <c r="D18" t="s">
        <v>2354</v>
      </c>
      <c r="E18">
        <v>44409</v>
      </c>
    </row>
    <row r="19" spans="1:5">
      <c r="A19" t="s">
        <v>2717</v>
      </c>
      <c r="B19" t="s">
        <v>124</v>
      </c>
      <c r="C19" t="s">
        <v>2355</v>
      </c>
      <c r="D19" t="s">
        <v>2356</v>
      </c>
      <c r="E19">
        <v>44409</v>
      </c>
    </row>
    <row r="20" spans="1:5">
      <c r="A20" t="s">
        <v>2718</v>
      </c>
      <c r="B20" t="s">
        <v>124</v>
      </c>
      <c r="C20" t="s">
        <v>2357</v>
      </c>
      <c r="D20" t="s">
        <v>2358</v>
      </c>
      <c r="E20">
        <v>44409</v>
      </c>
    </row>
    <row r="21" spans="1:5">
      <c r="A21" t="s">
        <v>2719</v>
      </c>
      <c r="B21" t="s">
        <v>124</v>
      </c>
      <c r="C21" t="s">
        <v>2359</v>
      </c>
      <c r="D21" t="s">
        <v>2360</v>
      </c>
      <c r="E21">
        <v>44409</v>
      </c>
    </row>
    <row r="22" spans="1:5">
      <c r="A22" t="s">
        <v>2720</v>
      </c>
      <c r="B22" t="s">
        <v>2361</v>
      </c>
      <c r="C22" t="s">
        <v>2362</v>
      </c>
      <c r="D22" t="s">
        <v>2363</v>
      </c>
      <c r="E22">
        <v>44409</v>
      </c>
    </row>
    <row r="23" spans="1:5">
      <c r="A23" t="s">
        <v>2721</v>
      </c>
      <c r="B23" t="s">
        <v>2361</v>
      </c>
      <c r="C23" t="s">
        <v>2364</v>
      </c>
      <c r="D23" t="s">
        <v>2365</v>
      </c>
      <c r="E23">
        <v>44409</v>
      </c>
    </row>
    <row r="24" spans="1:5">
      <c r="A24" t="s">
        <v>2722</v>
      </c>
      <c r="B24" t="s">
        <v>2361</v>
      </c>
      <c r="C24" t="s">
        <v>2366</v>
      </c>
      <c r="D24" t="s">
        <v>2367</v>
      </c>
      <c r="E24">
        <v>44409</v>
      </c>
    </row>
    <row r="25" spans="1:5">
      <c r="A25" t="s">
        <v>2723</v>
      </c>
      <c r="B25" t="s">
        <v>2368</v>
      </c>
      <c r="C25" t="s">
        <v>2369</v>
      </c>
      <c r="D25" t="s">
        <v>2370</v>
      </c>
      <c r="E25">
        <v>44409</v>
      </c>
    </row>
    <row r="26" spans="1:5">
      <c r="A26" t="s">
        <v>2724</v>
      </c>
      <c r="B26" t="s">
        <v>2368</v>
      </c>
      <c r="C26" t="s">
        <v>2371</v>
      </c>
      <c r="D26" t="s">
        <v>2372</v>
      </c>
      <c r="E26">
        <v>44409</v>
      </c>
    </row>
    <row r="27" spans="1:5">
      <c r="A27" t="s">
        <v>2725</v>
      </c>
      <c r="B27" t="s">
        <v>2368</v>
      </c>
      <c r="C27" t="s">
        <v>2373</v>
      </c>
      <c r="D27" t="s">
        <v>2374</v>
      </c>
      <c r="E27">
        <v>44409</v>
      </c>
    </row>
    <row r="28" spans="1:5">
      <c r="A28" t="s">
        <v>2726</v>
      </c>
      <c r="B28" t="s">
        <v>2368</v>
      </c>
      <c r="C28" t="s">
        <v>2375</v>
      </c>
      <c r="D28" t="s">
        <v>2376</v>
      </c>
      <c r="E28">
        <v>44409</v>
      </c>
    </row>
    <row r="29" spans="1:5">
      <c r="A29" t="s">
        <v>2727</v>
      </c>
      <c r="B29" t="s">
        <v>2368</v>
      </c>
      <c r="C29" t="s">
        <v>2377</v>
      </c>
      <c r="D29" t="s">
        <v>2378</v>
      </c>
      <c r="E29">
        <v>44409</v>
      </c>
    </row>
    <row r="30" spans="1:5">
      <c r="A30" t="s">
        <v>2728</v>
      </c>
      <c r="B30" t="s">
        <v>2368</v>
      </c>
      <c r="C30" t="s">
        <v>2379</v>
      </c>
      <c r="D30" t="s">
        <v>2380</v>
      </c>
      <c r="E30">
        <v>44409</v>
      </c>
    </row>
    <row r="31" spans="1:5">
      <c r="A31" t="s">
        <v>2729</v>
      </c>
      <c r="B31" t="s">
        <v>2368</v>
      </c>
      <c r="C31" t="s">
        <v>2381</v>
      </c>
      <c r="D31" t="s">
        <v>2382</v>
      </c>
      <c r="E31">
        <v>44409</v>
      </c>
    </row>
    <row r="32" spans="1:5">
      <c r="A32" t="s">
        <v>2730</v>
      </c>
      <c r="B32" t="s">
        <v>2368</v>
      </c>
      <c r="C32" t="s">
        <v>2383</v>
      </c>
      <c r="D32" t="s">
        <v>2384</v>
      </c>
      <c r="E32">
        <v>44409</v>
      </c>
    </row>
    <row r="33" spans="1:5">
      <c r="A33" t="s">
        <v>2731</v>
      </c>
      <c r="B33" t="s">
        <v>2368</v>
      </c>
      <c r="C33" t="s">
        <v>2385</v>
      </c>
      <c r="D33" t="s">
        <v>2386</v>
      </c>
      <c r="E33">
        <v>44409</v>
      </c>
    </row>
    <row r="34" spans="1:5">
      <c r="A34" t="s">
        <v>2732</v>
      </c>
      <c r="B34" t="s">
        <v>2387</v>
      </c>
      <c r="C34" t="s">
        <v>2388</v>
      </c>
      <c r="D34" t="s">
        <v>2389</v>
      </c>
      <c r="E34">
        <v>44409</v>
      </c>
    </row>
    <row r="35" spans="1:5">
      <c r="A35" t="s">
        <v>2733</v>
      </c>
      <c r="B35" t="s">
        <v>501</v>
      </c>
      <c r="C35" t="s">
        <v>2390</v>
      </c>
      <c r="D35" t="s">
        <v>2391</v>
      </c>
      <c r="E35">
        <v>44409</v>
      </c>
    </row>
    <row r="36" spans="1:5">
      <c r="A36" t="s">
        <v>2734</v>
      </c>
      <c r="B36" t="s">
        <v>501</v>
      </c>
      <c r="C36" t="s">
        <v>2392</v>
      </c>
      <c r="D36" t="s">
        <v>2393</v>
      </c>
      <c r="E36">
        <v>44409</v>
      </c>
    </row>
    <row r="37" spans="1:5">
      <c r="A37" t="s">
        <v>2735</v>
      </c>
      <c r="B37" t="s">
        <v>92</v>
      </c>
      <c r="C37" t="s">
        <v>2394</v>
      </c>
      <c r="D37" t="s">
        <v>2395</v>
      </c>
      <c r="E37">
        <v>44409</v>
      </c>
    </row>
    <row r="38" spans="1:5">
      <c r="A38" t="s">
        <v>2736</v>
      </c>
      <c r="B38" t="s">
        <v>501</v>
      </c>
      <c r="C38" t="s">
        <v>2396</v>
      </c>
      <c r="D38" t="s">
        <v>2397</v>
      </c>
      <c r="E38">
        <v>44409</v>
      </c>
    </row>
    <row r="39" spans="1:5">
      <c r="A39" t="s">
        <v>2737</v>
      </c>
      <c r="B39" t="s">
        <v>501</v>
      </c>
      <c r="C39" t="s">
        <v>2319</v>
      </c>
      <c r="D39" t="s">
        <v>2320</v>
      </c>
      <c r="E39">
        <v>44409</v>
      </c>
    </row>
    <row r="40" spans="1:5">
      <c r="A40" t="s">
        <v>2738</v>
      </c>
      <c r="B40" t="s">
        <v>501</v>
      </c>
      <c r="C40" t="s">
        <v>2398</v>
      </c>
      <c r="D40" t="s">
        <v>1783</v>
      </c>
      <c r="E40">
        <v>44409</v>
      </c>
    </row>
    <row r="41" spans="1:5">
      <c r="A41" t="s">
        <v>2739</v>
      </c>
      <c r="B41" t="s">
        <v>501</v>
      </c>
      <c r="C41" t="s">
        <v>2399</v>
      </c>
      <c r="D41" t="s">
        <v>1808</v>
      </c>
      <c r="E41">
        <v>44409</v>
      </c>
    </row>
    <row r="42" spans="1:5">
      <c r="A42" t="s">
        <v>2740</v>
      </c>
      <c r="B42" t="s">
        <v>2361</v>
      </c>
      <c r="C42" t="s">
        <v>1784</v>
      </c>
      <c r="D42" t="s">
        <v>1785</v>
      </c>
      <c r="E42">
        <v>44440</v>
      </c>
    </row>
    <row r="43" spans="1:5">
      <c r="A43" t="s">
        <v>2741</v>
      </c>
      <c r="B43" t="s">
        <v>124</v>
      </c>
      <c r="C43" t="s">
        <v>2400</v>
      </c>
      <c r="D43" t="s">
        <v>2401</v>
      </c>
      <c r="E43">
        <v>44531</v>
      </c>
    </row>
    <row r="44" spans="1:5">
      <c r="A44" t="s">
        <v>2742</v>
      </c>
      <c r="B44" t="s">
        <v>124</v>
      </c>
      <c r="C44" t="s">
        <v>2402</v>
      </c>
      <c r="D44" t="s">
        <v>2403</v>
      </c>
      <c r="E44">
        <v>44546</v>
      </c>
    </row>
    <row r="45" spans="1:5">
      <c r="A45" t="s">
        <v>2743</v>
      </c>
      <c r="B45" t="s">
        <v>124</v>
      </c>
      <c r="C45" t="s">
        <v>1668</v>
      </c>
      <c r="D45" t="s">
        <v>1669</v>
      </c>
      <c r="E45">
        <v>44551</v>
      </c>
    </row>
    <row r="46" spans="1:5">
      <c r="A46" t="s">
        <v>2744</v>
      </c>
      <c r="B46" t="s">
        <v>124</v>
      </c>
      <c r="C46" t="s">
        <v>26</v>
      </c>
      <c r="D46" t="s">
        <v>27</v>
      </c>
      <c r="E46">
        <v>44573</v>
      </c>
    </row>
    <row r="47" spans="1:5">
      <c r="A47" t="s">
        <v>2745</v>
      </c>
      <c r="B47" t="s">
        <v>124</v>
      </c>
      <c r="C47" t="s">
        <v>28</v>
      </c>
      <c r="D47" t="s">
        <v>29</v>
      </c>
      <c r="E47">
        <v>44586</v>
      </c>
    </row>
    <row r="48" spans="1:5">
      <c r="A48" t="s">
        <v>2746</v>
      </c>
      <c r="B48" t="s">
        <v>2368</v>
      </c>
      <c r="C48" t="s">
        <v>2404</v>
      </c>
      <c r="D48" t="s">
        <v>2405</v>
      </c>
      <c r="E48">
        <v>44593</v>
      </c>
    </row>
    <row r="49" spans="1:5">
      <c r="A49" t="s">
        <v>2747</v>
      </c>
      <c r="B49" t="s">
        <v>124</v>
      </c>
      <c r="C49" t="s">
        <v>1736</v>
      </c>
      <c r="D49" t="s">
        <v>2406</v>
      </c>
      <c r="E49">
        <v>44607</v>
      </c>
    </row>
    <row r="50" spans="1:5">
      <c r="A50" t="s">
        <v>2748</v>
      </c>
      <c r="B50" t="s">
        <v>124</v>
      </c>
      <c r="C50" t="s">
        <v>122</v>
      </c>
      <c r="D50" t="s">
        <v>123</v>
      </c>
      <c r="E50">
        <v>44607</v>
      </c>
    </row>
    <row r="51" spans="1:5">
      <c r="A51" t="s">
        <v>2749</v>
      </c>
      <c r="B51" t="s">
        <v>124</v>
      </c>
      <c r="C51" t="s">
        <v>2407</v>
      </c>
      <c r="D51" t="s">
        <v>2408</v>
      </c>
      <c r="E51">
        <v>44617</v>
      </c>
    </row>
    <row r="52" spans="1:5">
      <c r="A52" t="s">
        <v>2750</v>
      </c>
      <c r="B52" t="s">
        <v>124</v>
      </c>
      <c r="C52" t="s">
        <v>1768</v>
      </c>
      <c r="D52" t="s">
        <v>1769</v>
      </c>
      <c r="E52">
        <v>44622</v>
      </c>
    </row>
    <row r="53" spans="1:5">
      <c r="A53" t="s">
        <v>2751</v>
      </c>
      <c r="B53" t="s">
        <v>124</v>
      </c>
      <c r="C53" t="s">
        <v>1687</v>
      </c>
      <c r="D53" t="s">
        <v>1688</v>
      </c>
      <c r="E53">
        <v>44622</v>
      </c>
    </row>
    <row r="54" spans="1:5">
      <c r="A54" t="s">
        <v>2752</v>
      </c>
      <c r="B54" t="s">
        <v>124</v>
      </c>
      <c r="C54" t="s">
        <v>53</v>
      </c>
      <c r="D54" t="s">
        <v>54</v>
      </c>
      <c r="E54">
        <v>44655</v>
      </c>
    </row>
    <row r="55" spans="1:5">
      <c r="A55" t="s">
        <v>2753</v>
      </c>
      <c r="B55" t="s">
        <v>124</v>
      </c>
      <c r="C55" t="s">
        <v>1726</v>
      </c>
      <c r="D55" t="s">
        <v>1727</v>
      </c>
      <c r="E55">
        <v>44679</v>
      </c>
    </row>
    <row r="56" spans="1:5">
      <c r="A56" t="s">
        <v>2754</v>
      </c>
      <c r="B56" t="s">
        <v>124</v>
      </c>
      <c r="C56" t="s">
        <v>1744</v>
      </c>
      <c r="D56" t="s">
        <v>1745</v>
      </c>
      <c r="E56">
        <v>44704</v>
      </c>
    </row>
    <row r="57" spans="1:5">
      <c r="A57" t="s">
        <v>2755</v>
      </c>
      <c r="B57" t="s">
        <v>124</v>
      </c>
      <c r="C57" t="s">
        <v>1758</v>
      </c>
      <c r="D57" t="s">
        <v>1759</v>
      </c>
      <c r="E57">
        <v>44701</v>
      </c>
    </row>
    <row r="58" spans="1:5">
      <c r="A58" t="s">
        <v>2756</v>
      </c>
      <c r="B58" t="s">
        <v>124</v>
      </c>
      <c r="C58" t="s">
        <v>55</v>
      </c>
      <c r="D58" t="s">
        <v>56</v>
      </c>
      <c r="E58">
        <v>44701</v>
      </c>
    </row>
    <row r="59" spans="1:5">
      <c r="A59" t="s">
        <v>2757</v>
      </c>
      <c r="B59" t="s">
        <v>124</v>
      </c>
      <c r="C59" t="s">
        <v>2409</v>
      </c>
      <c r="D59" t="s">
        <v>1747</v>
      </c>
      <c r="E59">
        <v>44704</v>
      </c>
    </row>
    <row r="60" spans="1:5">
      <c r="A60" t="s">
        <v>2758</v>
      </c>
      <c r="B60" t="s">
        <v>92</v>
      </c>
      <c r="C60" t="s">
        <v>1491</v>
      </c>
      <c r="D60" t="s">
        <v>1492</v>
      </c>
      <c r="E60">
        <v>44690</v>
      </c>
    </row>
    <row r="61" spans="1:5">
      <c r="A61" t="s">
        <v>2759</v>
      </c>
      <c r="B61" t="s">
        <v>92</v>
      </c>
      <c r="C61" t="s">
        <v>93</v>
      </c>
      <c r="D61" t="s">
        <v>94</v>
      </c>
      <c r="E61">
        <v>44712</v>
      </c>
    </row>
    <row r="62" spans="1:5">
      <c r="A62" t="s">
        <v>2760</v>
      </c>
      <c r="B62" t="s">
        <v>92</v>
      </c>
      <c r="C62" t="s">
        <v>95</v>
      </c>
      <c r="D62" t="s">
        <v>96</v>
      </c>
      <c r="E62">
        <v>44712</v>
      </c>
    </row>
    <row r="63" spans="1:5">
      <c r="A63" t="s">
        <v>2761</v>
      </c>
      <c r="B63" t="s">
        <v>124</v>
      </c>
      <c r="C63" t="s">
        <v>2410</v>
      </c>
      <c r="D63" t="s">
        <v>1761</v>
      </c>
      <c r="E63">
        <v>44727</v>
      </c>
    </row>
    <row r="64" spans="1:5">
      <c r="A64" t="s">
        <v>2762</v>
      </c>
      <c r="B64" t="s">
        <v>124</v>
      </c>
      <c r="C64" t="s">
        <v>1770</v>
      </c>
      <c r="D64" t="s">
        <v>91</v>
      </c>
      <c r="E64">
        <v>44727</v>
      </c>
    </row>
    <row r="65" spans="1:5">
      <c r="A65" t="s">
        <v>2763</v>
      </c>
      <c r="B65" t="s">
        <v>124</v>
      </c>
      <c r="C65" t="s">
        <v>1750</v>
      </c>
      <c r="D65" t="s">
        <v>1751</v>
      </c>
      <c r="E65">
        <v>44727</v>
      </c>
    </row>
    <row r="66" spans="1:5">
      <c r="A66" t="s">
        <v>2764</v>
      </c>
      <c r="B66" t="s">
        <v>124</v>
      </c>
      <c r="C66" t="s">
        <v>125</v>
      </c>
      <c r="D66" t="s">
        <v>126</v>
      </c>
      <c r="E66">
        <v>44760</v>
      </c>
    </row>
    <row r="67" spans="1:5">
      <c r="A67" t="s">
        <v>2765</v>
      </c>
      <c r="B67" t="s">
        <v>124</v>
      </c>
      <c r="C67" t="s">
        <v>141</v>
      </c>
      <c r="D67" t="s">
        <v>142</v>
      </c>
      <c r="E67">
        <v>44760</v>
      </c>
    </row>
    <row r="68" spans="1:5">
      <c r="A68" t="s">
        <v>2766</v>
      </c>
      <c r="B68" t="s">
        <v>124</v>
      </c>
      <c r="C68" t="s">
        <v>137</v>
      </c>
      <c r="D68" t="s">
        <v>138</v>
      </c>
      <c r="E68">
        <v>44760</v>
      </c>
    </row>
    <row r="69" spans="1:5">
      <c r="A69" t="s">
        <v>2767</v>
      </c>
      <c r="B69" t="s">
        <v>124</v>
      </c>
      <c r="C69" t="s">
        <v>129</v>
      </c>
      <c r="D69" t="s">
        <v>130</v>
      </c>
      <c r="E69">
        <v>44760</v>
      </c>
    </row>
    <row r="70" spans="1:5">
      <c r="A70" t="s">
        <v>2768</v>
      </c>
      <c r="B70" t="s">
        <v>124</v>
      </c>
      <c r="C70" t="s">
        <v>139</v>
      </c>
      <c r="D70" t="s">
        <v>140</v>
      </c>
      <c r="E70">
        <v>44760</v>
      </c>
    </row>
    <row r="71" spans="1:5">
      <c r="A71" t="s">
        <v>2769</v>
      </c>
      <c r="B71" t="s">
        <v>124</v>
      </c>
      <c r="C71" t="s">
        <v>127</v>
      </c>
      <c r="D71" t="s">
        <v>128</v>
      </c>
      <c r="E71">
        <v>44760</v>
      </c>
    </row>
    <row r="72" spans="1:5">
      <c r="A72" t="s">
        <v>2770</v>
      </c>
      <c r="B72" t="s">
        <v>124</v>
      </c>
      <c r="C72" t="s">
        <v>131</v>
      </c>
      <c r="D72" t="s">
        <v>132</v>
      </c>
      <c r="E72">
        <v>44760</v>
      </c>
    </row>
    <row r="73" spans="1:5">
      <c r="A73" t="s">
        <v>2771</v>
      </c>
      <c r="B73" t="s">
        <v>124</v>
      </c>
      <c r="C73" t="s">
        <v>133</v>
      </c>
      <c r="D73" t="s">
        <v>134</v>
      </c>
      <c r="E73">
        <v>44760</v>
      </c>
    </row>
    <row r="74" spans="1:5">
      <c r="A74" t="s">
        <v>2772</v>
      </c>
      <c r="B74" t="s">
        <v>124</v>
      </c>
      <c r="C74" t="s">
        <v>135</v>
      </c>
      <c r="D74" t="s">
        <v>136</v>
      </c>
      <c r="E74">
        <v>44760</v>
      </c>
    </row>
    <row r="75" spans="1:5">
      <c r="A75" t="s">
        <v>2773</v>
      </c>
      <c r="C75" t="s">
        <v>1764</v>
      </c>
      <c r="D75" t="s">
        <v>1765</v>
      </c>
      <c r="E75">
        <v>44753</v>
      </c>
    </row>
    <row r="76" spans="1:5">
      <c r="A76" t="s">
        <v>2774</v>
      </c>
      <c r="C76" t="s">
        <v>111</v>
      </c>
      <c r="D76" t="s">
        <v>112</v>
      </c>
      <c r="E76">
        <v>44753</v>
      </c>
    </row>
    <row r="77" spans="1:5">
      <c r="A77" t="s">
        <v>2775</v>
      </c>
      <c r="C77" t="s">
        <v>109</v>
      </c>
      <c r="D77" t="s">
        <v>110</v>
      </c>
      <c r="E77">
        <v>44753</v>
      </c>
    </row>
    <row r="78" spans="1:5">
      <c r="A78" t="s">
        <v>2776</v>
      </c>
      <c r="C78" t="s">
        <v>113</v>
      </c>
      <c r="D78" t="s">
        <v>114</v>
      </c>
      <c r="E78">
        <v>44753</v>
      </c>
    </row>
    <row r="79" spans="1:5">
      <c r="A79" t="s">
        <v>2777</v>
      </c>
      <c r="C79" t="s">
        <v>157</v>
      </c>
      <c r="D79" t="s">
        <v>158</v>
      </c>
      <c r="E79">
        <v>44812</v>
      </c>
    </row>
    <row r="80" spans="1:5">
      <c r="A80" t="s">
        <v>2778</v>
      </c>
      <c r="B80" t="s">
        <v>124</v>
      </c>
      <c r="C80" t="s">
        <v>2244</v>
      </c>
      <c r="D80" t="s">
        <v>2245</v>
      </c>
      <c r="E80">
        <v>44838</v>
      </c>
    </row>
    <row r="81" spans="1:5">
      <c r="A81" t="s">
        <v>2779</v>
      </c>
      <c r="C81" t="s">
        <v>1970</v>
      </c>
      <c r="D81" t="s">
        <v>1971</v>
      </c>
      <c r="E81">
        <v>44945</v>
      </c>
    </row>
    <row r="82" spans="1:5">
      <c r="A82" t="s">
        <v>2780</v>
      </c>
      <c r="B82" t="s">
        <v>124</v>
      </c>
      <c r="C82" t="s">
        <v>2411</v>
      </c>
      <c r="D82" t="s">
        <v>2412</v>
      </c>
      <c r="E82">
        <v>44977</v>
      </c>
    </row>
    <row r="83" spans="1:5">
      <c r="A83" t="s">
        <v>2781</v>
      </c>
      <c r="B83" t="s">
        <v>124</v>
      </c>
      <c r="C83" t="s">
        <v>2413</v>
      </c>
      <c r="D83" t="s">
        <v>249</v>
      </c>
      <c r="E83">
        <v>44977</v>
      </c>
    </row>
    <row r="84" spans="1:5">
      <c r="A84" t="s">
        <v>2782</v>
      </c>
      <c r="B84" t="s">
        <v>124</v>
      </c>
      <c r="C84" t="s">
        <v>269</v>
      </c>
      <c r="D84" t="s">
        <v>270</v>
      </c>
      <c r="E84">
        <v>45033</v>
      </c>
    </row>
    <row r="85" spans="1:5">
      <c r="A85" t="s">
        <v>2783</v>
      </c>
      <c r="B85" t="s">
        <v>124</v>
      </c>
      <c r="C85" t="s">
        <v>271</v>
      </c>
      <c r="D85" t="s">
        <v>272</v>
      </c>
      <c r="E85">
        <v>45033</v>
      </c>
    </row>
    <row r="86" spans="1:5">
      <c r="A86" t="s">
        <v>2784</v>
      </c>
      <c r="B86" t="s">
        <v>124</v>
      </c>
      <c r="C86" t="s">
        <v>276</v>
      </c>
      <c r="D86" t="s">
        <v>277</v>
      </c>
      <c r="E86">
        <v>45033</v>
      </c>
    </row>
    <row r="87" spans="1:5">
      <c r="A87" t="s">
        <v>2785</v>
      </c>
      <c r="B87" t="s">
        <v>124</v>
      </c>
      <c r="C87" t="s">
        <v>278</v>
      </c>
      <c r="D87" t="s">
        <v>279</v>
      </c>
      <c r="E87">
        <v>45033</v>
      </c>
    </row>
    <row r="88" spans="1:5">
      <c r="A88" t="s">
        <v>2786</v>
      </c>
      <c r="B88" t="s">
        <v>124</v>
      </c>
      <c r="C88" t="s">
        <v>273</v>
      </c>
      <c r="D88" t="s">
        <v>274</v>
      </c>
      <c r="E88">
        <v>45033</v>
      </c>
    </row>
    <row r="89" spans="1:5">
      <c r="A89" t="s">
        <v>2787</v>
      </c>
      <c r="B89" t="s">
        <v>124</v>
      </c>
      <c r="C89" t="s">
        <v>280</v>
      </c>
      <c r="D89" t="s">
        <v>281</v>
      </c>
      <c r="E89">
        <v>45033</v>
      </c>
    </row>
    <row r="90" spans="1:5">
      <c r="A90" t="s">
        <v>2788</v>
      </c>
      <c r="B90" t="s">
        <v>124</v>
      </c>
      <c r="C90" t="s">
        <v>342</v>
      </c>
      <c r="D90" t="s">
        <v>343</v>
      </c>
      <c r="E90">
        <v>45119</v>
      </c>
    </row>
    <row r="91" spans="1:5">
      <c r="A91" t="s">
        <v>2789</v>
      </c>
      <c r="B91" t="s">
        <v>92</v>
      </c>
      <c r="C91" t="s">
        <v>2414</v>
      </c>
      <c r="D91" t="s">
        <v>2415</v>
      </c>
      <c r="E91">
        <v>45160</v>
      </c>
    </row>
    <row r="92" spans="1:5">
      <c r="A92" t="s">
        <v>2790</v>
      </c>
      <c r="B92" t="s">
        <v>92</v>
      </c>
      <c r="C92" t="s">
        <v>358</v>
      </c>
      <c r="D92" t="s">
        <v>2184</v>
      </c>
      <c r="E92">
        <v>45167</v>
      </c>
    </row>
    <row r="93" spans="1:5">
      <c r="A93" t="s">
        <v>2791</v>
      </c>
      <c r="B93" t="s">
        <v>92</v>
      </c>
      <c r="C93" t="s">
        <v>359</v>
      </c>
      <c r="D93" t="s">
        <v>360</v>
      </c>
      <c r="E93">
        <v>45167</v>
      </c>
    </row>
    <row r="94" spans="1:5">
      <c r="A94" t="s">
        <v>2792</v>
      </c>
      <c r="B94" t="s">
        <v>92</v>
      </c>
      <c r="C94" t="s">
        <v>2416</v>
      </c>
      <c r="D94" t="s">
        <v>2417</v>
      </c>
      <c r="E94">
        <v>45191</v>
      </c>
    </row>
    <row r="95" spans="1:5">
      <c r="A95" t="s">
        <v>2793</v>
      </c>
      <c r="B95" t="s">
        <v>92</v>
      </c>
      <c r="C95" t="s">
        <v>2030</v>
      </c>
      <c r="D95" t="s">
        <v>2031</v>
      </c>
      <c r="E95">
        <v>45205</v>
      </c>
    </row>
    <row r="96" spans="1:5">
      <c r="A96" t="s">
        <v>2794</v>
      </c>
      <c r="B96" t="s">
        <v>92</v>
      </c>
      <c r="C96" t="s">
        <v>424</v>
      </c>
      <c r="D96" t="s">
        <v>425</v>
      </c>
      <c r="E96">
        <v>45224</v>
      </c>
    </row>
    <row r="97" spans="1:5">
      <c r="A97" t="s">
        <v>2795</v>
      </c>
      <c r="B97" t="s">
        <v>124</v>
      </c>
      <c r="C97" t="s">
        <v>504</v>
      </c>
      <c r="D97" t="s">
        <v>505</v>
      </c>
      <c r="E97">
        <v>45264</v>
      </c>
    </row>
    <row r="98" spans="1:5">
      <c r="A98" t="s">
        <v>2796</v>
      </c>
      <c r="B98" t="s">
        <v>124</v>
      </c>
      <c r="C98" t="s">
        <v>506</v>
      </c>
      <c r="D98" t="s">
        <v>507</v>
      </c>
      <c r="E98">
        <v>45264</v>
      </c>
    </row>
    <row r="99" spans="1:5">
      <c r="A99" t="s">
        <v>2797</v>
      </c>
      <c r="B99" t="s">
        <v>501</v>
      </c>
      <c r="C99" t="s">
        <v>502</v>
      </c>
      <c r="D99" t="s">
        <v>2246</v>
      </c>
      <c r="E99">
        <v>45299</v>
      </c>
    </row>
    <row r="100" spans="1:5">
      <c r="A100" t="s">
        <v>2798</v>
      </c>
      <c r="B100" t="s">
        <v>92</v>
      </c>
      <c r="C100" t="s">
        <v>503</v>
      </c>
      <c r="D100" t="s">
        <v>2418</v>
      </c>
      <c r="E100">
        <v>45299</v>
      </c>
    </row>
    <row r="101" spans="1:5">
      <c r="A101" t="s">
        <v>2799</v>
      </c>
      <c r="C101" t="s">
        <v>2037</v>
      </c>
      <c r="D101" t="s">
        <v>2038</v>
      </c>
      <c r="E101">
        <v>45278</v>
      </c>
    </row>
    <row r="102" spans="1:5">
      <c r="A102" t="s">
        <v>2800</v>
      </c>
      <c r="B102" t="s">
        <v>124</v>
      </c>
      <c r="C102" t="s">
        <v>517</v>
      </c>
      <c r="D102" t="s">
        <v>518</v>
      </c>
      <c r="E102">
        <v>45362</v>
      </c>
    </row>
    <row r="103" spans="1:5">
      <c r="A103" t="s">
        <v>2801</v>
      </c>
      <c r="B103" t="s">
        <v>124</v>
      </c>
      <c r="C103" t="s">
        <v>519</v>
      </c>
      <c r="D103" t="s">
        <v>520</v>
      </c>
      <c r="E103">
        <v>45362</v>
      </c>
    </row>
    <row r="104" spans="1:5">
      <c r="A104" t="s">
        <v>2802</v>
      </c>
      <c r="B104" t="s">
        <v>124</v>
      </c>
      <c r="C104" t="s">
        <v>521</v>
      </c>
      <c r="D104" t="s">
        <v>522</v>
      </c>
      <c r="E104">
        <v>45362</v>
      </c>
    </row>
    <row r="105" spans="1:5">
      <c r="A105" t="s">
        <v>2803</v>
      </c>
      <c r="B105" t="s">
        <v>124</v>
      </c>
      <c r="C105" t="s">
        <v>523</v>
      </c>
      <c r="D105" t="s">
        <v>524</v>
      </c>
      <c r="E105">
        <v>45362</v>
      </c>
    </row>
    <row r="106" spans="1:5">
      <c r="A106" t="s">
        <v>2804</v>
      </c>
      <c r="B106" t="s">
        <v>124</v>
      </c>
      <c r="C106" t="s">
        <v>525</v>
      </c>
      <c r="D106" t="s">
        <v>526</v>
      </c>
      <c r="E106">
        <v>45362</v>
      </c>
    </row>
    <row r="107" spans="1:5">
      <c r="A107" t="s">
        <v>2805</v>
      </c>
      <c r="B107" t="s">
        <v>2361</v>
      </c>
      <c r="C107" t="s">
        <v>1431</v>
      </c>
      <c r="D107" t="s">
        <v>1432</v>
      </c>
      <c r="E107">
        <v>44470</v>
      </c>
    </row>
    <row r="108" spans="1:5">
      <c r="A108" t="s">
        <v>2806</v>
      </c>
      <c r="B108" t="s">
        <v>92</v>
      </c>
      <c r="C108" t="s">
        <v>539</v>
      </c>
      <c r="D108" t="s">
        <v>540</v>
      </c>
      <c r="E108">
        <v>45467</v>
      </c>
    </row>
    <row r="109" spans="1:5">
      <c r="A109" t="s">
        <v>2807</v>
      </c>
      <c r="B109" t="s">
        <v>92</v>
      </c>
      <c r="C109" t="s">
        <v>541</v>
      </c>
      <c r="D109" t="s">
        <v>542</v>
      </c>
      <c r="E109">
        <v>45467</v>
      </c>
    </row>
    <row r="110" spans="1:5">
      <c r="A110" t="s">
        <v>2808</v>
      </c>
      <c r="B110" t="s">
        <v>92</v>
      </c>
      <c r="C110" t="s">
        <v>2419</v>
      </c>
      <c r="D110" t="s">
        <v>2420</v>
      </c>
      <c r="E110">
        <v>45538</v>
      </c>
    </row>
    <row r="111" spans="1:5">
      <c r="A111" t="s">
        <v>2809</v>
      </c>
      <c r="B111" t="s">
        <v>92</v>
      </c>
      <c r="C111" t="s">
        <v>602</v>
      </c>
      <c r="D111" t="s">
        <v>603</v>
      </c>
      <c r="E111">
        <v>45545</v>
      </c>
    </row>
    <row r="112" spans="1:5">
      <c r="A112" t="s">
        <v>2810</v>
      </c>
      <c r="C112" t="s">
        <v>619</v>
      </c>
      <c r="D112" t="s">
        <v>2242</v>
      </c>
      <c r="E112">
        <v>45600</v>
      </c>
    </row>
    <row r="113" spans="1:5">
      <c r="A113" t="s">
        <v>2811</v>
      </c>
      <c r="C113" t="s">
        <v>2258</v>
      </c>
      <c r="D113" t="s">
        <v>621</v>
      </c>
      <c r="E113">
        <v>45600</v>
      </c>
    </row>
    <row r="114" spans="1:5">
      <c r="A114" t="s">
        <v>2812</v>
      </c>
      <c r="C114" t="s">
        <v>2259</v>
      </c>
      <c r="D114" t="s">
        <v>2260</v>
      </c>
      <c r="E114">
        <v>45617</v>
      </c>
    </row>
    <row r="115" spans="1:5">
      <c r="A115" t="s">
        <v>2813</v>
      </c>
      <c r="B115" t="s">
        <v>124</v>
      </c>
      <c r="C115" t="s">
        <v>2421</v>
      </c>
      <c r="D115" t="s">
        <v>908</v>
      </c>
      <c r="E115">
        <v>45672</v>
      </c>
    </row>
    <row r="116" spans="1:5">
      <c r="A116" t="s">
        <v>2814</v>
      </c>
      <c r="B116" t="s">
        <v>92</v>
      </c>
      <c r="C116" t="s">
        <v>2422</v>
      </c>
      <c r="D116" t="s">
        <v>2423</v>
      </c>
      <c r="E116">
        <v>45707</v>
      </c>
    </row>
    <row r="117" spans="1:5">
      <c r="A117" t="s">
        <v>2815</v>
      </c>
      <c r="B117" t="s">
        <v>124</v>
      </c>
      <c r="C117" t="s">
        <v>1009</v>
      </c>
      <c r="D117" t="s">
        <v>1010</v>
      </c>
      <c r="E117">
        <v>45719</v>
      </c>
    </row>
    <row r="118" spans="1:5">
      <c r="A118" t="s">
        <v>2816</v>
      </c>
      <c r="B118" t="s">
        <v>124</v>
      </c>
      <c r="C118" t="s">
        <v>1011</v>
      </c>
      <c r="D118" t="s">
        <v>1012</v>
      </c>
      <c r="E118">
        <v>45719</v>
      </c>
    </row>
    <row r="119" spans="1:5">
      <c r="A119" t="s">
        <v>2817</v>
      </c>
      <c r="B119" t="s">
        <v>124</v>
      </c>
      <c r="C119" t="s">
        <v>1013</v>
      </c>
      <c r="D119" t="s">
        <v>1014</v>
      </c>
      <c r="E119">
        <v>45719</v>
      </c>
    </row>
    <row r="120" spans="1:5">
      <c r="A120" t="s">
        <v>2818</v>
      </c>
      <c r="B120" t="s">
        <v>124</v>
      </c>
      <c r="C120" t="s">
        <v>1015</v>
      </c>
      <c r="D120" t="s">
        <v>1016</v>
      </c>
      <c r="E120">
        <v>45719</v>
      </c>
    </row>
    <row r="121" spans="1:5">
      <c r="A121" t="s">
        <v>2819</v>
      </c>
      <c r="B121" t="s">
        <v>124</v>
      </c>
      <c r="C121" t="s">
        <v>1017</v>
      </c>
      <c r="D121" t="s">
        <v>1018</v>
      </c>
      <c r="E121">
        <v>45719</v>
      </c>
    </row>
    <row r="122" spans="1:5">
      <c r="A122" t="s">
        <v>2820</v>
      </c>
      <c r="B122" t="s">
        <v>124</v>
      </c>
      <c r="C122" t="s">
        <v>1019</v>
      </c>
      <c r="D122" t="s">
        <v>1020</v>
      </c>
      <c r="E122">
        <v>45719</v>
      </c>
    </row>
    <row r="123" spans="1:5">
      <c r="A123" t="s">
        <v>2821</v>
      </c>
      <c r="B123" t="s">
        <v>124</v>
      </c>
      <c r="C123" t="s">
        <v>1021</v>
      </c>
      <c r="D123" t="s">
        <v>1022</v>
      </c>
      <c r="E123">
        <v>45719</v>
      </c>
    </row>
    <row r="124" spans="1:5">
      <c r="A124" t="s">
        <v>2822</v>
      </c>
      <c r="B124" t="s">
        <v>124</v>
      </c>
      <c r="C124" t="s">
        <v>1023</v>
      </c>
      <c r="D124" t="s">
        <v>1024</v>
      </c>
      <c r="E124">
        <v>45719</v>
      </c>
    </row>
    <row r="125" spans="1:5">
      <c r="A125" t="s">
        <v>2823</v>
      </c>
      <c r="B125" t="s">
        <v>124</v>
      </c>
      <c r="C125" t="s">
        <v>1025</v>
      </c>
      <c r="D125" t="s">
        <v>1026</v>
      </c>
      <c r="E125">
        <v>45719</v>
      </c>
    </row>
    <row r="126" spans="1:5">
      <c r="A126" t="s">
        <v>2824</v>
      </c>
      <c r="B126" t="s">
        <v>92</v>
      </c>
      <c r="C126" t="s">
        <v>1040</v>
      </c>
      <c r="D126" t="s">
        <v>1041</v>
      </c>
      <c r="E126">
        <v>45742</v>
      </c>
    </row>
    <row r="127" spans="1:5">
      <c r="A127" t="s">
        <v>2825</v>
      </c>
      <c r="B127" t="s">
        <v>92</v>
      </c>
      <c r="C127" t="s">
        <v>2424</v>
      </c>
      <c r="D127" t="s">
        <v>2425</v>
      </c>
      <c r="E127">
        <v>45748</v>
      </c>
    </row>
    <row r="128" spans="1:5">
      <c r="A128" t="s">
        <v>2826</v>
      </c>
      <c r="B128" t="s">
        <v>92</v>
      </c>
      <c r="C128" t="s">
        <v>2426</v>
      </c>
      <c r="D128" t="s">
        <v>1036</v>
      </c>
      <c r="E128">
        <v>45763</v>
      </c>
    </row>
    <row r="129" spans="1:5">
      <c r="A129" t="s">
        <v>2827</v>
      </c>
      <c r="B129" t="s">
        <v>92</v>
      </c>
      <c r="C129" t="s">
        <v>2427</v>
      </c>
      <c r="D129" t="s">
        <v>2428</v>
      </c>
      <c r="E129">
        <v>45763</v>
      </c>
    </row>
    <row r="130" spans="1:5">
      <c r="A130" t="s">
        <v>2828</v>
      </c>
      <c r="C130" t="s">
        <v>1386</v>
      </c>
      <c r="D130" t="s">
        <v>1387</v>
      </c>
      <c r="E130">
        <v>45798</v>
      </c>
    </row>
    <row r="131" spans="1:5">
      <c r="A131" t="s">
        <v>2829</v>
      </c>
      <c r="B131" t="s">
        <v>92</v>
      </c>
      <c r="C131" t="s">
        <v>2429</v>
      </c>
      <c r="D131" t="s">
        <v>2430</v>
      </c>
      <c r="E131">
        <v>45797</v>
      </c>
    </row>
    <row r="132" spans="1:5">
      <c r="A132" t="s">
        <v>2830</v>
      </c>
      <c r="B132" t="s">
        <v>92</v>
      </c>
      <c r="C132" t="s">
        <v>1064</v>
      </c>
      <c r="D132" t="s">
        <v>1065</v>
      </c>
      <c r="E132">
        <v>45797</v>
      </c>
    </row>
    <row r="133" spans="1:5">
      <c r="A133" t="s">
        <v>2831</v>
      </c>
      <c r="B133" t="s">
        <v>92</v>
      </c>
      <c r="C133" t="s">
        <v>2431</v>
      </c>
      <c r="D133" t="s">
        <v>2432</v>
      </c>
      <c r="E133">
        <v>45797</v>
      </c>
    </row>
    <row r="134" spans="1:5">
      <c r="A134" t="s">
        <v>2832</v>
      </c>
      <c r="B134" t="s">
        <v>2585</v>
      </c>
      <c r="C134" t="s">
        <v>966</v>
      </c>
      <c r="D134" t="s">
        <v>967</v>
      </c>
      <c r="E134">
        <v>45895</v>
      </c>
    </row>
    <row r="135" spans="1:5">
      <c r="A135" t="s">
        <v>2833</v>
      </c>
      <c r="C135" t="s">
        <v>2059</v>
      </c>
      <c r="D135" t="s">
        <v>2060</v>
      </c>
      <c r="E135">
        <v>45968</v>
      </c>
    </row>
    <row r="136" spans="1:5">
      <c r="A136" t="s">
        <v>2834</v>
      </c>
      <c r="C136" t="s">
        <v>2625</v>
      </c>
      <c r="D136" t="s">
        <v>2626</v>
      </c>
      <c r="E136">
        <v>45971</v>
      </c>
    </row>
    <row r="137" spans="1:5">
      <c r="A137" t="s">
        <v>2835</v>
      </c>
      <c r="B137" t="s">
        <v>2585</v>
      </c>
      <c r="C137" t="s">
        <v>2651</v>
      </c>
      <c r="D137" t="s">
        <v>2652</v>
      </c>
      <c r="E137">
        <v>45978</v>
      </c>
    </row>
    <row r="138" spans="1:5">
      <c r="A138" t="s">
        <v>2836</v>
      </c>
      <c r="B138" t="s">
        <v>2585</v>
      </c>
      <c r="C138" t="s">
        <v>2655</v>
      </c>
      <c r="D138" t="s">
        <v>2656</v>
      </c>
      <c r="E138">
        <v>45978</v>
      </c>
    </row>
    <row r="139" spans="1:5">
      <c r="A139" t="s">
        <v>2837</v>
      </c>
      <c r="B139" t="s">
        <v>2585</v>
      </c>
      <c r="C139" t="s">
        <v>2653</v>
      </c>
      <c r="D139" t="s">
        <v>2654</v>
      </c>
      <c r="E139">
        <v>45978</v>
      </c>
    </row>
    <row r="140" spans="1:5">
      <c r="A140" t="s">
        <v>2838</v>
      </c>
      <c r="B140" t="s">
        <v>2585</v>
      </c>
      <c r="C140" t="s">
        <v>2687</v>
      </c>
      <c r="D140" t="s">
        <v>2688</v>
      </c>
      <c r="E140">
        <v>46006</v>
      </c>
    </row>
    <row r="141" spans="1:5">
      <c r="A141" t="s">
        <v>2839</v>
      </c>
      <c r="B141" t="s">
        <v>2585</v>
      </c>
      <c r="C141" t="s">
        <v>2689</v>
      </c>
      <c r="D141" t="s">
        <v>2690</v>
      </c>
      <c r="E141">
        <v>46006</v>
      </c>
    </row>
    <row r="142" spans="1:5">
      <c r="A142" t="s">
        <v>2840</v>
      </c>
      <c r="B142" t="s">
        <v>2585</v>
      </c>
      <c r="C142" t="s">
        <v>2691</v>
      </c>
      <c r="D142" t="s">
        <v>2692</v>
      </c>
      <c r="E142">
        <v>46006</v>
      </c>
    </row>
  </sheetData>
  <phoneticPr fontId="2"/>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4D8C9-52AF-4B10-B8E0-D93C5FEBF718}">
  <sheetPr codeName="Sheet6"/>
  <dimension ref="A1:E20"/>
  <sheetViews>
    <sheetView workbookViewId="0"/>
  </sheetViews>
  <sheetFormatPr defaultColWidth="9" defaultRowHeight="18.75"/>
  <cols>
    <col min="1" max="1" width="9.375" bestFit="1" customWidth="1"/>
    <col min="2" max="2" width="22.375" bestFit="1" customWidth="1"/>
    <col min="3" max="3" width="27.625" bestFit="1" customWidth="1"/>
    <col min="4" max="4" width="10.5" bestFit="1" customWidth="1"/>
    <col min="5" max="5" width="9.375" bestFit="1" customWidth="1"/>
    <col min="6" max="6" width="27.625" bestFit="1" customWidth="1"/>
    <col min="7" max="7" width="22.375" bestFit="1" customWidth="1"/>
    <col min="8" max="8" width="27.625" bestFit="1" customWidth="1"/>
    <col min="9" max="10" width="7.5" bestFit="1" customWidth="1"/>
    <col min="11" max="11" width="11.375" bestFit="1" customWidth="1"/>
    <col min="12" max="12" width="7.5" bestFit="1" customWidth="1"/>
    <col min="13" max="13" width="11.375" bestFit="1" customWidth="1"/>
    <col min="14" max="14" width="25.5" bestFit="1" customWidth="1"/>
    <col min="15" max="16" width="9.375" bestFit="1" customWidth="1"/>
    <col min="17" max="17" width="42.5" bestFit="1" customWidth="1"/>
    <col min="18" max="18" width="24.875" bestFit="1" customWidth="1"/>
    <col min="19" max="19" width="11.375" bestFit="1" customWidth="1"/>
    <col min="20" max="20" width="10.25" bestFit="1" customWidth="1"/>
    <col min="21" max="22" width="11.25" bestFit="1" customWidth="1"/>
    <col min="23" max="23" width="11.625" bestFit="1" customWidth="1"/>
    <col min="24" max="24" width="11.25" bestFit="1" customWidth="1"/>
    <col min="25" max="25" width="13" bestFit="1" customWidth="1"/>
    <col min="26" max="26" width="15.125" bestFit="1" customWidth="1"/>
    <col min="27" max="27" width="11.25" bestFit="1" customWidth="1"/>
    <col min="28" max="28" width="23.5" bestFit="1" customWidth="1"/>
  </cols>
  <sheetData>
    <row r="1" spans="1:5">
      <c r="A1" t="s">
        <v>1075</v>
      </c>
      <c r="B1" t="s">
        <v>1077</v>
      </c>
      <c r="C1" t="s">
        <v>1078</v>
      </c>
      <c r="D1" t="s">
        <v>2698</v>
      </c>
      <c r="E1" t="s">
        <v>2697</v>
      </c>
    </row>
    <row r="2" spans="1:5">
      <c r="A2">
        <v>1</v>
      </c>
      <c r="B2" t="s">
        <v>2293</v>
      </c>
      <c r="C2" t="s">
        <v>2294</v>
      </c>
      <c r="D2" t="s">
        <v>2292</v>
      </c>
      <c r="E2">
        <v>43637</v>
      </c>
    </row>
    <row r="3" spans="1:5">
      <c r="A3">
        <v>2</v>
      </c>
      <c r="B3" t="s">
        <v>1225</v>
      </c>
      <c r="C3" t="s">
        <v>2295</v>
      </c>
      <c r="D3" t="s">
        <v>2292</v>
      </c>
      <c r="E3">
        <v>43862</v>
      </c>
    </row>
    <row r="4" spans="1:5">
      <c r="A4">
        <v>3</v>
      </c>
      <c r="B4" t="s">
        <v>2296</v>
      </c>
      <c r="C4" t="s">
        <v>2297</v>
      </c>
      <c r="D4" t="s">
        <v>2292</v>
      </c>
      <c r="E4">
        <v>44044</v>
      </c>
    </row>
    <row r="5" spans="1:5">
      <c r="A5">
        <v>4</v>
      </c>
      <c r="B5" t="s">
        <v>2298</v>
      </c>
      <c r="C5" t="s">
        <v>2299</v>
      </c>
      <c r="D5" t="s">
        <v>428</v>
      </c>
      <c r="E5">
        <v>44125</v>
      </c>
    </row>
    <row r="6" spans="1:5">
      <c r="A6">
        <v>5</v>
      </c>
      <c r="B6" t="s">
        <v>2300</v>
      </c>
      <c r="C6" t="s">
        <v>2301</v>
      </c>
      <c r="D6" t="s">
        <v>2292</v>
      </c>
      <c r="E6">
        <v>44166</v>
      </c>
    </row>
    <row r="7" spans="1:5">
      <c r="A7">
        <v>6</v>
      </c>
      <c r="B7" t="s">
        <v>2302</v>
      </c>
      <c r="C7" t="s">
        <v>2303</v>
      </c>
      <c r="D7" t="s">
        <v>2292</v>
      </c>
      <c r="E7">
        <v>44197</v>
      </c>
    </row>
    <row r="8" spans="1:5">
      <c r="A8">
        <v>7</v>
      </c>
      <c r="B8" t="s">
        <v>2304</v>
      </c>
      <c r="C8" t="s">
        <v>2305</v>
      </c>
      <c r="D8" t="s">
        <v>2292</v>
      </c>
      <c r="E8">
        <v>44256</v>
      </c>
    </row>
    <row r="9" spans="1:5">
      <c r="A9">
        <v>11</v>
      </c>
      <c r="B9" t="s">
        <v>2306</v>
      </c>
      <c r="C9" t="s">
        <v>2307</v>
      </c>
      <c r="D9" t="s">
        <v>2292</v>
      </c>
      <c r="E9">
        <v>44326</v>
      </c>
    </row>
    <row r="10" spans="1:5">
      <c r="A10">
        <v>9</v>
      </c>
      <c r="B10" t="s">
        <v>77</v>
      </c>
      <c r="C10" t="s">
        <v>78</v>
      </c>
      <c r="D10" t="s">
        <v>2292</v>
      </c>
      <c r="E10">
        <v>44326</v>
      </c>
    </row>
    <row r="11" spans="1:5">
      <c r="A11">
        <v>10</v>
      </c>
      <c r="B11" t="s">
        <v>2308</v>
      </c>
      <c r="C11" t="s">
        <v>2309</v>
      </c>
      <c r="D11" t="s">
        <v>2292</v>
      </c>
      <c r="E11">
        <v>44326</v>
      </c>
    </row>
    <row r="12" spans="1:5">
      <c r="A12">
        <v>12</v>
      </c>
      <c r="B12" t="s">
        <v>2311</v>
      </c>
      <c r="C12" t="s">
        <v>2312</v>
      </c>
      <c r="D12" t="s">
        <v>2310</v>
      </c>
      <c r="E12">
        <v>44409</v>
      </c>
    </row>
    <row r="13" spans="1:5">
      <c r="A13">
        <v>13</v>
      </c>
      <c r="B13" t="s">
        <v>2313</v>
      </c>
      <c r="C13" t="s">
        <v>2314</v>
      </c>
      <c r="D13" t="s">
        <v>2310</v>
      </c>
      <c r="E13">
        <v>44409</v>
      </c>
    </row>
    <row r="14" spans="1:5">
      <c r="A14">
        <v>15</v>
      </c>
      <c r="B14" t="s">
        <v>429</v>
      </c>
      <c r="C14" t="s">
        <v>430</v>
      </c>
      <c r="D14" t="s">
        <v>428</v>
      </c>
      <c r="E14">
        <v>44501</v>
      </c>
    </row>
    <row r="15" spans="1:5">
      <c r="A15">
        <v>16</v>
      </c>
      <c r="B15" t="s">
        <v>2315</v>
      </c>
      <c r="C15" t="s">
        <v>2316</v>
      </c>
      <c r="D15" t="s">
        <v>2292</v>
      </c>
      <c r="E15">
        <v>44662</v>
      </c>
    </row>
    <row r="16" spans="1:5">
      <c r="A16">
        <v>17</v>
      </c>
      <c r="B16" t="s">
        <v>401</v>
      </c>
      <c r="C16" t="s">
        <v>402</v>
      </c>
      <c r="D16" t="s">
        <v>2292</v>
      </c>
      <c r="E16">
        <v>44739</v>
      </c>
    </row>
    <row r="17" spans="1:5">
      <c r="A17">
        <v>18</v>
      </c>
      <c r="B17" t="s">
        <v>337</v>
      </c>
      <c r="C17" t="s">
        <v>338</v>
      </c>
      <c r="D17" t="s">
        <v>2292</v>
      </c>
      <c r="E17">
        <v>45231</v>
      </c>
    </row>
    <row r="18" spans="1:5">
      <c r="A18">
        <v>19</v>
      </c>
      <c r="B18" t="s">
        <v>2317</v>
      </c>
      <c r="C18" t="s">
        <v>2318</v>
      </c>
      <c r="D18" t="s">
        <v>428</v>
      </c>
      <c r="E18">
        <v>45505</v>
      </c>
    </row>
    <row r="19" spans="1:5">
      <c r="A19">
        <v>20</v>
      </c>
      <c r="B19" t="s">
        <v>2319</v>
      </c>
      <c r="C19" t="s">
        <v>2320</v>
      </c>
      <c r="D19" t="s">
        <v>2310</v>
      </c>
      <c r="E19">
        <v>45658</v>
      </c>
    </row>
    <row r="20" spans="1:5">
      <c r="A20">
        <v>21</v>
      </c>
      <c r="B20" t="s">
        <v>2533</v>
      </c>
      <c r="C20" t="s">
        <v>2534</v>
      </c>
      <c r="D20" t="s">
        <v>2292</v>
      </c>
      <c r="E20">
        <v>45870</v>
      </c>
    </row>
  </sheetData>
  <phoneticPr fontId="2"/>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E9A32-5A28-4755-931B-EE2D07481B4E}">
  <sheetPr codeName="Sheet7"/>
  <dimension ref="A1:E1066"/>
  <sheetViews>
    <sheetView topLeftCell="A964" workbookViewId="0">
      <selection activeCell="C969" sqref="C969"/>
    </sheetView>
  </sheetViews>
  <sheetFormatPr defaultColWidth="9" defaultRowHeight="18.75"/>
  <cols>
    <col min="1" max="1" width="9.375" bestFit="1" customWidth="1"/>
    <col min="2" max="2" width="24" bestFit="1" customWidth="1"/>
    <col min="3" max="3" width="40.875" bestFit="1" customWidth="1"/>
    <col min="4" max="4" width="42.125" bestFit="1" customWidth="1"/>
    <col min="5" max="5" width="9.375" bestFit="1" customWidth="1"/>
    <col min="6" max="6" width="49.875" bestFit="1" customWidth="1"/>
    <col min="7" max="7" width="30.75" bestFit="1" customWidth="1"/>
    <col min="8" max="8" width="81" bestFit="1" customWidth="1"/>
    <col min="9" max="9" width="40.875" bestFit="1" customWidth="1"/>
    <col min="10" max="10" width="42.125" bestFit="1" customWidth="1"/>
    <col min="11" max="11" width="7.5" bestFit="1" customWidth="1"/>
    <col min="12" max="12" width="8.5" bestFit="1" customWidth="1"/>
    <col min="13" max="13" width="11.375" bestFit="1" customWidth="1"/>
    <col min="14" max="15" width="7.5" bestFit="1" customWidth="1"/>
    <col min="16" max="16" width="81" bestFit="1" customWidth="1"/>
    <col min="17" max="17" width="11.25" bestFit="1" customWidth="1"/>
    <col min="18" max="18" width="54.75" bestFit="1" customWidth="1"/>
    <col min="19" max="24" width="11.25" bestFit="1" customWidth="1"/>
    <col min="25" max="25" width="17.5" bestFit="1" customWidth="1"/>
    <col min="26" max="26" width="25.5" bestFit="1" customWidth="1"/>
    <col min="27" max="27" width="9.375" bestFit="1" customWidth="1"/>
    <col min="28" max="28" width="44.25" bestFit="1" customWidth="1"/>
    <col min="29" max="29" width="34.125" bestFit="1" customWidth="1"/>
    <col min="30" max="30" width="7.5" bestFit="1" customWidth="1"/>
    <col min="31" max="33" width="11.375" bestFit="1" customWidth="1"/>
    <col min="34" max="34" width="11.25" bestFit="1" customWidth="1"/>
    <col min="35" max="35" width="11.375" bestFit="1" customWidth="1"/>
    <col min="36" max="36" width="81" bestFit="1" customWidth="1"/>
    <col min="37" max="37" width="11.375" bestFit="1" customWidth="1"/>
    <col min="38" max="40" width="11.25" bestFit="1" customWidth="1"/>
    <col min="41" max="41" width="15.25" bestFit="1" customWidth="1"/>
    <col min="42" max="42" width="13.375" bestFit="1" customWidth="1"/>
    <col min="43" max="43" width="81" bestFit="1" customWidth="1"/>
  </cols>
  <sheetData>
    <row r="1" spans="1:5">
      <c r="A1" t="s">
        <v>1075</v>
      </c>
      <c r="B1" t="s">
        <v>1076</v>
      </c>
      <c r="C1" t="s">
        <v>1077</v>
      </c>
      <c r="D1" t="s">
        <v>1078</v>
      </c>
      <c r="E1" t="s">
        <v>2697</v>
      </c>
    </row>
    <row r="2" spans="1:5">
      <c r="A2">
        <v>200805</v>
      </c>
      <c r="B2" t="s">
        <v>1079</v>
      </c>
      <c r="C2" t="s">
        <v>1080</v>
      </c>
      <c r="D2" t="s">
        <v>1081</v>
      </c>
      <c r="E2">
        <v>44061</v>
      </c>
    </row>
    <row r="3" spans="1:5">
      <c r="A3">
        <v>200801</v>
      </c>
      <c r="B3" t="s">
        <v>1079</v>
      </c>
      <c r="C3" t="s">
        <v>1082</v>
      </c>
      <c r="D3" t="s">
        <v>1083</v>
      </c>
      <c r="E3">
        <v>44064</v>
      </c>
    </row>
    <row r="4" spans="1:5">
      <c r="A4">
        <v>200802</v>
      </c>
      <c r="B4" t="s">
        <v>1079</v>
      </c>
      <c r="C4" t="s">
        <v>1084</v>
      </c>
      <c r="D4" t="s">
        <v>1085</v>
      </c>
      <c r="E4">
        <v>44064</v>
      </c>
    </row>
    <row r="5" spans="1:5">
      <c r="A5">
        <v>200803</v>
      </c>
      <c r="B5" t="s">
        <v>239</v>
      </c>
      <c r="C5" t="s">
        <v>1086</v>
      </c>
      <c r="D5" t="s">
        <v>1087</v>
      </c>
      <c r="E5">
        <v>44064</v>
      </c>
    </row>
    <row r="6" spans="1:5">
      <c r="A6">
        <v>200804</v>
      </c>
      <c r="B6" t="s">
        <v>1079</v>
      </c>
      <c r="C6" t="s">
        <v>1088</v>
      </c>
      <c r="D6" t="s">
        <v>1089</v>
      </c>
      <c r="E6">
        <v>44064</v>
      </c>
    </row>
    <row r="7" spans="1:5">
      <c r="A7">
        <v>200806</v>
      </c>
      <c r="B7" t="s">
        <v>1079</v>
      </c>
      <c r="C7" t="s">
        <v>1090</v>
      </c>
      <c r="D7" t="s">
        <v>1091</v>
      </c>
      <c r="E7">
        <v>44064</v>
      </c>
    </row>
    <row r="8" spans="1:5">
      <c r="A8">
        <v>200901</v>
      </c>
      <c r="B8" t="s">
        <v>1079</v>
      </c>
      <c r="C8" t="s">
        <v>1092</v>
      </c>
      <c r="D8" t="s">
        <v>1093</v>
      </c>
      <c r="E8">
        <v>44083</v>
      </c>
    </row>
    <row r="9" spans="1:5">
      <c r="A9">
        <v>200902</v>
      </c>
      <c r="B9" t="s">
        <v>1079</v>
      </c>
      <c r="C9" t="s">
        <v>1094</v>
      </c>
      <c r="D9" t="s">
        <v>1095</v>
      </c>
      <c r="E9">
        <v>44095</v>
      </c>
    </row>
    <row r="10" spans="1:5">
      <c r="A10">
        <v>201001</v>
      </c>
      <c r="B10" t="s">
        <v>1096</v>
      </c>
      <c r="C10" t="s">
        <v>1097</v>
      </c>
      <c r="D10" t="s">
        <v>1098</v>
      </c>
      <c r="E10">
        <v>44130</v>
      </c>
    </row>
    <row r="11" spans="1:5">
      <c r="A11">
        <v>201002</v>
      </c>
      <c r="B11" t="s">
        <v>1099</v>
      </c>
      <c r="C11" t="s">
        <v>1100</v>
      </c>
      <c r="D11" t="s">
        <v>1101</v>
      </c>
      <c r="E11">
        <v>44130</v>
      </c>
    </row>
    <row r="12" spans="1:5">
      <c r="A12">
        <v>201003</v>
      </c>
      <c r="B12" t="s">
        <v>1099</v>
      </c>
      <c r="C12" t="s">
        <v>1102</v>
      </c>
      <c r="D12" t="s">
        <v>1102</v>
      </c>
      <c r="E12">
        <v>44130</v>
      </c>
    </row>
    <row r="13" spans="1:5">
      <c r="A13">
        <v>201101</v>
      </c>
      <c r="B13" t="s">
        <v>1103</v>
      </c>
      <c r="C13" t="s">
        <v>1104</v>
      </c>
      <c r="D13" t="s">
        <v>1105</v>
      </c>
      <c r="E13">
        <v>44144</v>
      </c>
    </row>
    <row r="14" spans="1:5">
      <c r="A14">
        <v>201102</v>
      </c>
      <c r="B14" t="s">
        <v>1106</v>
      </c>
      <c r="C14" t="s">
        <v>1107</v>
      </c>
      <c r="D14" t="s">
        <v>1107</v>
      </c>
      <c r="E14">
        <v>44146</v>
      </c>
    </row>
    <row r="15" spans="1:5">
      <c r="A15">
        <v>201103</v>
      </c>
      <c r="B15" t="s">
        <v>1106</v>
      </c>
      <c r="C15" t="s">
        <v>1108</v>
      </c>
      <c r="D15" t="s">
        <v>1109</v>
      </c>
      <c r="E15">
        <v>44151</v>
      </c>
    </row>
    <row r="16" spans="1:5">
      <c r="A16">
        <v>201104</v>
      </c>
      <c r="B16" t="s">
        <v>264</v>
      </c>
      <c r="C16" t="s">
        <v>1110</v>
      </c>
      <c r="D16" t="s">
        <v>1111</v>
      </c>
      <c r="E16">
        <v>44153</v>
      </c>
    </row>
    <row r="17" spans="1:5">
      <c r="A17">
        <v>201105</v>
      </c>
      <c r="B17" t="s">
        <v>264</v>
      </c>
      <c r="C17" t="s">
        <v>1112</v>
      </c>
      <c r="D17" t="s">
        <v>1113</v>
      </c>
      <c r="E17">
        <v>44154</v>
      </c>
    </row>
    <row r="18" spans="1:5">
      <c r="A18">
        <v>201106</v>
      </c>
      <c r="B18" t="s">
        <v>1106</v>
      </c>
      <c r="C18" t="s">
        <v>172</v>
      </c>
      <c r="D18" t="s">
        <v>173</v>
      </c>
      <c r="E18">
        <v>44159</v>
      </c>
    </row>
    <row r="19" spans="1:5">
      <c r="A19">
        <v>201201</v>
      </c>
      <c r="B19" t="s">
        <v>264</v>
      </c>
      <c r="C19" t="s">
        <v>1114</v>
      </c>
      <c r="D19" t="s">
        <v>1115</v>
      </c>
      <c r="E19">
        <v>44166</v>
      </c>
    </row>
    <row r="20" spans="1:5">
      <c r="A20">
        <v>201202</v>
      </c>
      <c r="B20" t="s">
        <v>1116</v>
      </c>
      <c r="C20" t="s">
        <v>1117</v>
      </c>
      <c r="D20" t="s">
        <v>1118</v>
      </c>
      <c r="E20">
        <v>44166</v>
      </c>
    </row>
    <row r="21" spans="1:5">
      <c r="A21">
        <v>201203</v>
      </c>
      <c r="B21" t="s">
        <v>1099</v>
      </c>
      <c r="C21" t="s">
        <v>1119</v>
      </c>
      <c r="D21" t="s">
        <v>1119</v>
      </c>
      <c r="E21">
        <v>44166</v>
      </c>
    </row>
    <row r="22" spans="1:5">
      <c r="A22">
        <v>201204</v>
      </c>
      <c r="B22" t="s">
        <v>264</v>
      </c>
      <c r="C22" t="s">
        <v>1120</v>
      </c>
      <c r="D22" t="s">
        <v>1121</v>
      </c>
      <c r="E22">
        <v>44166</v>
      </c>
    </row>
    <row r="23" spans="1:5">
      <c r="A23">
        <v>201205</v>
      </c>
      <c r="B23" t="s">
        <v>1106</v>
      </c>
      <c r="C23" t="s">
        <v>1122</v>
      </c>
      <c r="D23" t="s">
        <v>1123</v>
      </c>
      <c r="E23">
        <v>44167</v>
      </c>
    </row>
    <row r="24" spans="1:5">
      <c r="A24">
        <v>201209</v>
      </c>
      <c r="B24" t="s">
        <v>264</v>
      </c>
      <c r="C24" t="s">
        <v>1124</v>
      </c>
      <c r="D24" t="s">
        <v>1125</v>
      </c>
      <c r="E24">
        <v>44175</v>
      </c>
    </row>
    <row r="25" spans="1:5">
      <c r="A25">
        <v>201210</v>
      </c>
      <c r="B25" t="s">
        <v>1103</v>
      </c>
      <c r="C25" t="s">
        <v>1126</v>
      </c>
      <c r="D25" t="s">
        <v>1127</v>
      </c>
      <c r="E25">
        <v>44179</v>
      </c>
    </row>
    <row r="26" spans="1:5">
      <c r="A26">
        <v>201206</v>
      </c>
      <c r="B26" t="s">
        <v>1106</v>
      </c>
      <c r="C26" t="s">
        <v>1128</v>
      </c>
      <c r="D26" t="s">
        <v>1129</v>
      </c>
      <c r="E26">
        <v>44187</v>
      </c>
    </row>
    <row r="27" spans="1:5">
      <c r="A27">
        <v>201207</v>
      </c>
      <c r="B27" t="s">
        <v>1130</v>
      </c>
      <c r="C27" t="s">
        <v>1131</v>
      </c>
      <c r="D27" t="s">
        <v>1132</v>
      </c>
      <c r="E27">
        <v>44189</v>
      </c>
    </row>
    <row r="28" spans="1:5">
      <c r="A28">
        <v>201208</v>
      </c>
      <c r="B28" t="s">
        <v>1130</v>
      </c>
      <c r="C28" t="s">
        <v>1133</v>
      </c>
      <c r="D28" t="s">
        <v>1134</v>
      </c>
      <c r="E28">
        <v>44189</v>
      </c>
    </row>
    <row r="29" spans="1:5">
      <c r="A29">
        <v>210101</v>
      </c>
      <c r="B29" t="s">
        <v>1103</v>
      </c>
      <c r="C29" t="s">
        <v>1135</v>
      </c>
      <c r="D29" t="s">
        <v>1136</v>
      </c>
      <c r="E29">
        <v>44201</v>
      </c>
    </row>
    <row r="30" spans="1:5">
      <c r="A30">
        <v>210102</v>
      </c>
      <c r="B30" t="s">
        <v>1103</v>
      </c>
      <c r="C30" t="s">
        <v>1137</v>
      </c>
      <c r="D30" t="s">
        <v>1138</v>
      </c>
      <c r="E30">
        <v>44201</v>
      </c>
    </row>
    <row r="31" spans="1:5">
      <c r="A31">
        <v>210103</v>
      </c>
      <c r="B31" t="s">
        <v>178</v>
      </c>
      <c r="C31" t="s">
        <v>1139</v>
      </c>
      <c r="D31" t="s">
        <v>1140</v>
      </c>
      <c r="E31">
        <v>44201</v>
      </c>
    </row>
    <row r="32" spans="1:5">
      <c r="A32">
        <v>210104</v>
      </c>
      <c r="B32" t="s">
        <v>1106</v>
      </c>
      <c r="C32" t="s">
        <v>1141</v>
      </c>
      <c r="D32" t="s">
        <v>1142</v>
      </c>
      <c r="E32">
        <v>44201</v>
      </c>
    </row>
    <row r="33" spans="1:5">
      <c r="A33">
        <v>210105</v>
      </c>
      <c r="B33" t="s">
        <v>264</v>
      </c>
      <c r="C33" t="s">
        <v>1143</v>
      </c>
      <c r="D33" t="s">
        <v>1144</v>
      </c>
      <c r="E33">
        <v>44202</v>
      </c>
    </row>
    <row r="34" spans="1:5">
      <c r="A34">
        <v>210106</v>
      </c>
      <c r="B34" t="s">
        <v>239</v>
      </c>
      <c r="C34" t="s">
        <v>1145</v>
      </c>
      <c r="D34" t="s">
        <v>1146</v>
      </c>
      <c r="E34">
        <v>44202</v>
      </c>
    </row>
    <row r="35" spans="1:5">
      <c r="A35">
        <v>210107</v>
      </c>
      <c r="B35" t="s">
        <v>1116</v>
      </c>
      <c r="C35" t="s">
        <v>1147</v>
      </c>
      <c r="D35" t="s">
        <v>1148</v>
      </c>
      <c r="E35">
        <v>44202</v>
      </c>
    </row>
    <row r="36" spans="1:5">
      <c r="A36">
        <v>210108</v>
      </c>
      <c r="B36" t="s">
        <v>1116</v>
      </c>
      <c r="C36" t="s">
        <v>1149</v>
      </c>
      <c r="D36" t="s">
        <v>1150</v>
      </c>
      <c r="E36">
        <v>44202</v>
      </c>
    </row>
    <row r="37" spans="1:5">
      <c r="A37">
        <v>210109</v>
      </c>
      <c r="B37" t="s">
        <v>1116</v>
      </c>
      <c r="C37" t="s">
        <v>1151</v>
      </c>
      <c r="D37" t="s">
        <v>1152</v>
      </c>
      <c r="E37">
        <v>44202</v>
      </c>
    </row>
    <row r="38" spans="1:5">
      <c r="A38">
        <v>210110</v>
      </c>
      <c r="B38" t="s">
        <v>1106</v>
      </c>
      <c r="C38" t="s">
        <v>474</v>
      </c>
      <c r="D38" t="s">
        <v>475</v>
      </c>
      <c r="E38">
        <v>44204</v>
      </c>
    </row>
    <row r="39" spans="1:5">
      <c r="A39">
        <v>210111</v>
      </c>
      <c r="B39" t="s">
        <v>1130</v>
      </c>
      <c r="C39" t="s">
        <v>1153</v>
      </c>
      <c r="D39" t="s">
        <v>1154</v>
      </c>
      <c r="E39">
        <v>44207</v>
      </c>
    </row>
    <row r="40" spans="1:5">
      <c r="A40">
        <v>210113</v>
      </c>
      <c r="B40" t="s">
        <v>1130</v>
      </c>
      <c r="C40" t="s">
        <v>1155</v>
      </c>
      <c r="D40" t="s">
        <v>1156</v>
      </c>
      <c r="E40">
        <v>44207</v>
      </c>
    </row>
    <row r="41" spans="1:5">
      <c r="A41">
        <v>210114</v>
      </c>
      <c r="B41" t="s">
        <v>1130</v>
      </c>
      <c r="C41" t="s">
        <v>1157</v>
      </c>
      <c r="D41" t="s">
        <v>1158</v>
      </c>
      <c r="E41">
        <v>44207</v>
      </c>
    </row>
    <row r="42" spans="1:5">
      <c r="A42">
        <v>210115</v>
      </c>
      <c r="B42" t="s">
        <v>1130</v>
      </c>
      <c r="C42" t="s">
        <v>1159</v>
      </c>
      <c r="D42" t="s">
        <v>1160</v>
      </c>
      <c r="E42">
        <v>44207</v>
      </c>
    </row>
    <row r="43" spans="1:5">
      <c r="A43">
        <v>210112</v>
      </c>
      <c r="B43" t="s">
        <v>1130</v>
      </c>
      <c r="C43" t="s">
        <v>1161</v>
      </c>
      <c r="D43" t="s">
        <v>1162</v>
      </c>
      <c r="E43">
        <v>44207</v>
      </c>
    </row>
    <row r="44" spans="1:5">
      <c r="A44">
        <v>210116</v>
      </c>
      <c r="B44" t="s">
        <v>264</v>
      </c>
      <c r="C44" t="s">
        <v>1163</v>
      </c>
      <c r="D44" t="s">
        <v>1164</v>
      </c>
      <c r="E44">
        <v>44214</v>
      </c>
    </row>
    <row r="45" spans="1:5">
      <c r="A45">
        <v>210117</v>
      </c>
      <c r="B45" t="s">
        <v>178</v>
      </c>
      <c r="C45" t="s">
        <v>1165</v>
      </c>
      <c r="D45" t="s">
        <v>1166</v>
      </c>
      <c r="E45">
        <v>44221</v>
      </c>
    </row>
    <row r="46" spans="1:5">
      <c r="A46">
        <v>210118</v>
      </c>
      <c r="B46" t="s">
        <v>178</v>
      </c>
      <c r="C46" t="s">
        <v>1167</v>
      </c>
      <c r="D46" t="s">
        <v>1168</v>
      </c>
      <c r="E46">
        <v>44221</v>
      </c>
    </row>
    <row r="47" spans="1:5">
      <c r="A47">
        <v>210119</v>
      </c>
      <c r="B47" t="s">
        <v>50</v>
      </c>
      <c r="C47" t="s">
        <v>1169</v>
      </c>
      <c r="D47" t="s">
        <v>1170</v>
      </c>
      <c r="E47">
        <v>44221</v>
      </c>
    </row>
    <row r="48" spans="1:5">
      <c r="A48">
        <v>210120</v>
      </c>
      <c r="B48" t="s">
        <v>178</v>
      </c>
      <c r="C48" t="s">
        <v>1171</v>
      </c>
      <c r="D48" t="s">
        <v>1172</v>
      </c>
      <c r="E48">
        <v>44221</v>
      </c>
    </row>
    <row r="49" spans="1:5">
      <c r="A49">
        <v>210121</v>
      </c>
      <c r="B49" t="s">
        <v>1103</v>
      </c>
      <c r="C49" t="s">
        <v>1173</v>
      </c>
      <c r="D49" t="s">
        <v>1174</v>
      </c>
      <c r="E49">
        <v>44222</v>
      </c>
    </row>
    <row r="50" spans="1:5">
      <c r="A50">
        <v>210201</v>
      </c>
      <c r="B50" t="s">
        <v>1106</v>
      </c>
      <c r="C50" t="s">
        <v>1175</v>
      </c>
      <c r="D50" t="s">
        <v>1176</v>
      </c>
      <c r="E50">
        <v>44228</v>
      </c>
    </row>
    <row r="51" spans="1:5">
      <c r="A51">
        <v>210202</v>
      </c>
      <c r="B51" t="s">
        <v>1106</v>
      </c>
      <c r="C51" t="s">
        <v>1177</v>
      </c>
      <c r="D51" t="s">
        <v>1178</v>
      </c>
      <c r="E51">
        <v>44228</v>
      </c>
    </row>
    <row r="52" spans="1:5">
      <c r="A52">
        <v>210203</v>
      </c>
      <c r="B52" t="s">
        <v>1103</v>
      </c>
      <c r="C52" t="s">
        <v>1179</v>
      </c>
      <c r="D52" t="s">
        <v>1180</v>
      </c>
      <c r="E52">
        <v>44229</v>
      </c>
    </row>
    <row r="53" spans="1:5">
      <c r="A53">
        <v>210204</v>
      </c>
      <c r="B53" t="s">
        <v>1099</v>
      </c>
      <c r="C53" t="s">
        <v>1181</v>
      </c>
      <c r="D53" t="s">
        <v>1182</v>
      </c>
      <c r="E53">
        <v>44229</v>
      </c>
    </row>
    <row r="54" spans="1:5">
      <c r="A54">
        <v>210206</v>
      </c>
      <c r="B54" t="s">
        <v>1183</v>
      </c>
      <c r="C54" t="s">
        <v>1184</v>
      </c>
      <c r="D54" t="s">
        <v>1185</v>
      </c>
      <c r="E54">
        <v>44235</v>
      </c>
    </row>
    <row r="55" spans="1:5">
      <c r="A55">
        <v>210205</v>
      </c>
      <c r="B55" t="s">
        <v>1106</v>
      </c>
      <c r="C55" t="s">
        <v>287</v>
      </c>
      <c r="D55" t="s">
        <v>288</v>
      </c>
      <c r="E55">
        <v>44235</v>
      </c>
    </row>
    <row r="56" spans="1:5">
      <c r="A56">
        <v>210211</v>
      </c>
      <c r="B56" t="s">
        <v>1106</v>
      </c>
      <c r="C56" t="s">
        <v>1186</v>
      </c>
      <c r="D56" t="s">
        <v>1187</v>
      </c>
      <c r="E56">
        <v>44236</v>
      </c>
    </row>
    <row r="57" spans="1:5">
      <c r="A57">
        <v>210207</v>
      </c>
      <c r="B57" t="s">
        <v>1130</v>
      </c>
      <c r="C57" t="s">
        <v>1188</v>
      </c>
      <c r="D57" t="s">
        <v>1189</v>
      </c>
      <c r="E57">
        <v>44242</v>
      </c>
    </row>
    <row r="58" spans="1:5">
      <c r="A58">
        <v>210208</v>
      </c>
      <c r="B58" t="s">
        <v>1103</v>
      </c>
      <c r="C58" t="s">
        <v>1190</v>
      </c>
      <c r="D58" t="s">
        <v>1191</v>
      </c>
      <c r="E58">
        <v>44243</v>
      </c>
    </row>
    <row r="59" spans="1:5">
      <c r="A59">
        <v>210210</v>
      </c>
      <c r="B59" t="s">
        <v>1192</v>
      </c>
      <c r="C59" t="s">
        <v>1193</v>
      </c>
      <c r="D59" t="s">
        <v>1194</v>
      </c>
      <c r="E59">
        <v>44251</v>
      </c>
    </row>
    <row r="60" spans="1:5">
      <c r="A60">
        <v>210301</v>
      </c>
      <c r="B60" t="s">
        <v>239</v>
      </c>
      <c r="C60" t="s">
        <v>1195</v>
      </c>
      <c r="D60" t="s">
        <v>1196</v>
      </c>
      <c r="E60">
        <v>44256</v>
      </c>
    </row>
    <row r="61" spans="1:5">
      <c r="A61">
        <v>210303</v>
      </c>
      <c r="B61" t="s">
        <v>1197</v>
      </c>
      <c r="C61" t="s">
        <v>30</v>
      </c>
      <c r="D61" t="s">
        <v>31</v>
      </c>
      <c r="E61">
        <v>44258</v>
      </c>
    </row>
    <row r="62" spans="1:5">
      <c r="A62">
        <v>210304</v>
      </c>
      <c r="B62" t="s">
        <v>1198</v>
      </c>
      <c r="C62" t="s">
        <v>1199</v>
      </c>
      <c r="D62" t="s">
        <v>1200</v>
      </c>
      <c r="E62">
        <v>44258</v>
      </c>
    </row>
    <row r="63" spans="1:5">
      <c r="A63">
        <v>210305</v>
      </c>
      <c r="B63" t="s">
        <v>1192</v>
      </c>
      <c r="C63" t="s">
        <v>875</v>
      </c>
      <c r="D63" t="s">
        <v>876</v>
      </c>
      <c r="E63">
        <v>44258</v>
      </c>
    </row>
    <row r="64" spans="1:5">
      <c r="A64">
        <v>210302</v>
      </c>
      <c r="B64" t="s">
        <v>1130</v>
      </c>
      <c r="C64" t="s">
        <v>1201</v>
      </c>
      <c r="D64" t="s">
        <v>1202</v>
      </c>
      <c r="E64">
        <v>44259</v>
      </c>
    </row>
    <row r="65" spans="1:5">
      <c r="A65">
        <v>210306</v>
      </c>
      <c r="B65" t="s">
        <v>178</v>
      </c>
      <c r="C65" t="s">
        <v>1203</v>
      </c>
      <c r="D65" t="s">
        <v>1204</v>
      </c>
      <c r="E65">
        <v>44263</v>
      </c>
    </row>
    <row r="66" spans="1:5">
      <c r="A66">
        <v>210307</v>
      </c>
      <c r="B66" t="s">
        <v>178</v>
      </c>
      <c r="C66" t="s">
        <v>1205</v>
      </c>
      <c r="D66" t="s">
        <v>1206</v>
      </c>
      <c r="E66">
        <v>44263</v>
      </c>
    </row>
    <row r="67" spans="1:5">
      <c r="A67">
        <v>210308</v>
      </c>
      <c r="B67" t="s">
        <v>178</v>
      </c>
      <c r="C67" t="s">
        <v>1207</v>
      </c>
      <c r="D67" t="s">
        <v>1208</v>
      </c>
      <c r="E67">
        <v>44263</v>
      </c>
    </row>
    <row r="68" spans="1:5">
      <c r="A68">
        <v>210309</v>
      </c>
      <c r="B68" t="s">
        <v>178</v>
      </c>
      <c r="C68" t="s">
        <v>1209</v>
      </c>
      <c r="D68" t="s">
        <v>1210</v>
      </c>
      <c r="E68">
        <v>44263</v>
      </c>
    </row>
    <row r="69" spans="1:5">
      <c r="A69">
        <v>210310</v>
      </c>
      <c r="B69" t="s">
        <v>178</v>
      </c>
      <c r="C69" t="s">
        <v>1211</v>
      </c>
      <c r="D69" t="s">
        <v>1212</v>
      </c>
      <c r="E69">
        <v>44263</v>
      </c>
    </row>
    <row r="70" spans="1:5">
      <c r="A70">
        <v>210311</v>
      </c>
      <c r="B70" t="s">
        <v>1106</v>
      </c>
      <c r="C70" t="s">
        <v>1213</v>
      </c>
      <c r="D70" t="s">
        <v>1214</v>
      </c>
      <c r="E70">
        <v>44264</v>
      </c>
    </row>
    <row r="71" spans="1:5">
      <c r="A71">
        <v>210312</v>
      </c>
      <c r="B71" t="s">
        <v>1197</v>
      </c>
      <c r="C71" t="s">
        <v>1215</v>
      </c>
      <c r="D71" t="s">
        <v>1216</v>
      </c>
      <c r="E71">
        <v>44272</v>
      </c>
    </row>
    <row r="72" spans="1:5">
      <c r="A72">
        <v>210313</v>
      </c>
      <c r="B72" t="s">
        <v>1197</v>
      </c>
      <c r="C72" t="s">
        <v>1217</v>
      </c>
      <c r="D72" t="s">
        <v>1218</v>
      </c>
      <c r="E72">
        <v>44272</v>
      </c>
    </row>
    <row r="73" spans="1:5">
      <c r="A73">
        <v>210314</v>
      </c>
      <c r="B73" t="s">
        <v>1183</v>
      </c>
      <c r="C73" t="s">
        <v>1219</v>
      </c>
      <c r="D73" t="s">
        <v>1220</v>
      </c>
      <c r="E73">
        <v>44274</v>
      </c>
    </row>
    <row r="74" spans="1:5">
      <c r="A74">
        <v>210315</v>
      </c>
      <c r="B74" t="s">
        <v>1197</v>
      </c>
      <c r="C74" t="s">
        <v>99</v>
      </c>
      <c r="D74" t="s">
        <v>100</v>
      </c>
      <c r="E74">
        <v>44277</v>
      </c>
    </row>
    <row r="75" spans="1:5">
      <c r="A75">
        <v>210316</v>
      </c>
      <c r="B75" t="s">
        <v>1183</v>
      </c>
      <c r="C75" t="s">
        <v>1221</v>
      </c>
      <c r="D75" t="s">
        <v>1222</v>
      </c>
      <c r="E75">
        <v>44277</v>
      </c>
    </row>
    <row r="76" spans="1:5">
      <c r="A76">
        <v>210317</v>
      </c>
      <c r="B76" t="s">
        <v>1079</v>
      </c>
      <c r="C76" t="s">
        <v>1223</v>
      </c>
      <c r="D76" t="s">
        <v>1224</v>
      </c>
      <c r="E76">
        <v>44277</v>
      </c>
    </row>
    <row r="77" spans="1:5">
      <c r="A77">
        <v>210318</v>
      </c>
      <c r="B77" t="s">
        <v>1130</v>
      </c>
      <c r="C77" t="s">
        <v>1225</v>
      </c>
      <c r="D77" t="s">
        <v>1226</v>
      </c>
      <c r="E77">
        <v>44279</v>
      </c>
    </row>
    <row r="78" spans="1:5">
      <c r="A78">
        <v>210319</v>
      </c>
      <c r="B78" t="s">
        <v>76</v>
      </c>
      <c r="C78" t="s">
        <v>1227</v>
      </c>
      <c r="D78" t="s">
        <v>1228</v>
      </c>
      <c r="E78">
        <v>44286</v>
      </c>
    </row>
    <row r="79" spans="1:5">
      <c r="A79">
        <v>210401</v>
      </c>
      <c r="B79" t="s">
        <v>206</v>
      </c>
      <c r="C79" t="s">
        <v>1229</v>
      </c>
      <c r="D79" t="s">
        <v>1230</v>
      </c>
      <c r="E79">
        <v>44287</v>
      </c>
    </row>
    <row r="80" spans="1:5">
      <c r="A80">
        <v>210402</v>
      </c>
      <c r="B80" t="s">
        <v>206</v>
      </c>
      <c r="C80" t="s">
        <v>1231</v>
      </c>
      <c r="D80" t="s">
        <v>1232</v>
      </c>
      <c r="E80">
        <v>44287</v>
      </c>
    </row>
    <row r="81" spans="1:5">
      <c r="A81">
        <v>210403</v>
      </c>
      <c r="B81" t="s">
        <v>1116</v>
      </c>
      <c r="C81" t="s">
        <v>1233</v>
      </c>
      <c r="D81" t="s">
        <v>1234</v>
      </c>
      <c r="E81">
        <v>44287</v>
      </c>
    </row>
    <row r="82" spans="1:5">
      <c r="A82">
        <v>210404</v>
      </c>
      <c r="B82" t="s">
        <v>239</v>
      </c>
      <c r="C82" t="s">
        <v>240</v>
      </c>
      <c r="D82" t="s">
        <v>241</v>
      </c>
      <c r="E82">
        <v>44291</v>
      </c>
    </row>
    <row r="83" spans="1:5">
      <c r="A83">
        <v>200803</v>
      </c>
      <c r="B83" t="s">
        <v>1192</v>
      </c>
      <c r="C83" t="s">
        <v>1086</v>
      </c>
      <c r="D83" t="s">
        <v>1087</v>
      </c>
      <c r="E83">
        <v>44984</v>
      </c>
    </row>
    <row r="84" spans="1:5">
      <c r="A84">
        <v>210407</v>
      </c>
      <c r="B84" t="s">
        <v>1130</v>
      </c>
      <c r="C84" t="s">
        <v>1237</v>
      </c>
      <c r="D84" t="s">
        <v>1238</v>
      </c>
      <c r="E84">
        <v>44291</v>
      </c>
    </row>
    <row r="85" spans="1:5">
      <c r="A85">
        <v>210408</v>
      </c>
      <c r="B85" t="s">
        <v>1130</v>
      </c>
      <c r="C85" t="s">
        <v>1239</v>
      </c>
      <c r="D85" t="s">
        <v>1240</v>
      </c>
      <c r="E85">
        <v>44291</v>
      </c>
    </row>
    <row r="86" spans="1:5">
      <c r="A86">
        <v>210409</v>
      </c>
      <c r="B86" t="s">
        <v>1198</v>
      </c>
      <c r="C86" t="s">
        <v>1241</v>
      </c>
      <c r="D86" t="s">
        <v>1242</v>
      </c>
      <c r="E86">
        <v>44291</v>
      </c>
    </row>
    <row r="87" spans="1:5">
      <c r="A87">
        <v>210406</v>
      </c>
      <c r="B87" t="s">
        <v>1130</v>
      </c>
      <c r="C87" t="s">
        <v>1243</v>
      </c>
      <c r="D87" t="s">
        <v>1244</v>
      </c>
      <c r="E87">
        <v>44291</v>
      </c>
    </row>
    <row r="88" spans="1:5">
      <c r="A88">
        <v>210410</v>
      </c>
      <c r="B88" t="s">
        <v>1103</v>
      </c>
      <c r="C88" t="s">
        <v>1245</v>
      </c>
      <c r="D88" t="s">
        <v>1246</v>
      </c>
      <c r="E88">
        <v>44295</v>
      </c>
    </row>
    <row r="89" spans="1:5">
      <c r="A89">
        <v>210411</v>
      </c>
      <c r="B89" t="s">
        <v>178</v>
      </c>
      <c r="C89" t="s">
        <v>1247</v>
      </c>
      <c r="D89" t="s">
        <v>1248</v>
      </c>
      <c r="E89">
        <v>44298</v>
      </c>
    </row>
    <row r="90" spans="1:5">
      <c r="A90">
        <v>210412</v>
      </c>
      <c r="B90" t="s">
        <v>239</v>
      </c>
      <c r="C90" t="s">
        <v>1249</v>
      </c>
      <c r="D90" t="s">
        <v>1250</v>
      </c>
      <c r="E90">
        <v>44298</v>
      </c>
    </row>
    <row r="91" spans="1:5">
      <c r="A91">
        <v>210413</v>
      </c>
      <c r="B91" t="s">
        <v>1130</v>
      </c>
      <c r="C91" t="s">
        <v>1251</v>
      </c>
      <c r="D91" t="s">
        <v>1252</v>
      </c>
      <c r="E91">
        <v>44299</v>
      </c>
    </row>
    <row r="92" spans="1:5">
      <c r="A92">
        <v>210414</v>
      </c>
      <c r="B92" t="s">
        <v>1130</v>
      </c>
      <c r="C92" t="s">
        <v>1253</v>
      </c>
      <c r="D92" t="s">
        <v>1254</v>
      </c>
      <c r="E92">
        <v>44299</v>
      </c>
    </row>
    <row r="93" spans="1:5">
      <c r="A93">
        <v>210415</v>
      </c>
      <c r="B93" t="s">
        <v>1255</v>
      </c>
      <c r="C93" t="s">
        <v>1256</v>
      </c>
      <c r="D93" t="s">
        <v>1257</v>
      </c>
      <c r="E93">
        <v>44301</v>
      </c>
    </row>
    <row r="94" spans="1:5">
      <c r="A94">
        <v>210416</v>
      </c>
      <c r="B94" t="s">
        <v>1130</v>
      </c>
      <c r="C94" t="s">
        <v>1258</v>
      </c>
      <c r="D94" t="s">
        <v>1259</v>
      </c>
      <c r="E94">
        <v>44305</v>
      </c>
    </row>
    <row r="95" spans="1:5">
      <c r="A95">
        <v>210417</v>
      </c>
      <c r="B95" t="s">
        <v>1197</v>
      </c>
      <c r="C95" t="s">
        <v>1260</v>
      </c>
      <c r="D95" t="s">
        <v>1261</v>
      </c>
      <c r="E95">
        <v>44306</v>
      </c>
    </row>
    <row r="96" spans="1:5">
      <c r="A96">
        <v>210418</v>
      </c>
      <c r="B96" t="s">
        <v>1262</v>
      </c>
      <c r="C96" t="s">
        <v>1263</v>
      </c>
      <c r="D96" t="s">
        <v>1264</v>
      </c>
      <c r="E96">
        <v>44307</v>
      </c>
    </row>
    <row r="97" spans="1:5">
      <c r="A97">
        <v>210419</v>
      </c>
      <c r="B97" t="s">
        <v>1265</v>
      </c>
      <c r="C97" t="s">
        <v>1266</v>
      </c>
      <c r="D97" t="s">
        <v>1267</v>
      </c>
      <c r="E97">
        <v>44308</v>
      </c>
    </row>
    <row r="98" spans="1:5">
      <c r="A98">
        <v>210420</v>
      </c>
      <c r="B98" t="s">
        <v>1262</v>
      </c>
      <c r="C98" t="s">
        <v>1268</v>
      </c>
      <c r="D98" t="s">
        <v>1269</v>
      </c>
      <c r="E98">
        <v>44312</v>
      </c>
    </row>
    <row r="99" spans="1:5">
      <c r="A99">
        <v>210421</v>
      </c>
      <c r="B99" t="s">
        <v>76</v>
      </c>
      <c r="C99" t="s">
        <v>1270</v>
      </c>
      <c r="D99" t="s">
        <v>1271</v>
      </c>
      <c r="E99">
        <v>44312</v>
      </c>
    </row>
    <row r="100" spans="1:5">
      <c r="A100">
        <v>210422</v>
      </c>
      <c r="B100" t="s">
        <v>264</v>
      </c>
      <c r="C100" t="s">
        <v>1272</v>
      </c>
      <c r="D100" t="s">
        <v>1273</v>
      </c>
      <c r="E100">
        <v>44312</v>
      </c>
    </row>
    <row r="101" spans="1:5">
      <c r="A101">
        <v>210423</v>
      </c>
      <c r="B101" t="s">
        <v>1255</v>
      </c>
      <c r="C101" t="s">
        <v>1274</v>
      </c>
      <c r="D101" t="s">
        <v>1275</v>
      </c>
      <c r="E101">
        <v>44313</v>
      </c>
    </row>
    <row r="102" spans="1:5">
      <c r="A102">
        <v>210424</v>
      </c>
      <c r="B102" t="s">
        <v>1255</v>
      </c>
      <c r="C102" t="s">
        <v>209</v>
      </c>
      <c r="D102" t="s">
        <v>1276</v>
      </c>
      <c r="E102">
        <v>44313</v>
      </c>
    </row>
    <row r="103" spans="1:5">
      <c r="A103">
        <v>210425</v>
      </c>
      <c r="B103" t="s">
        <v>1079</v>
      </c>
      <c r="C103" t="s">
        <v>1277</v>
      </c>
      <c r="D103" t="s">
        <v>1278</v>
      </c>
      <c r="E103">
        <v>44313</v>
      </c>
    </row>
    <row r="104" spans="1:5">
      <c r="A104">
        <v>210426</v>
      </c>
      <c r="B104" t="s">
        <v>1079</v>
      </c>
      <c r="C104" t="s">
        <v>1279</v>
      </c>
      <c r="D104" t="s">
        <v>1280</v>
      </c>
      <c r="E104">
        <v>44313</v>
      </c>
    </row>
    <row r="105" spans="1:5">
      <c r="A105">
        <v>210501</v>
      </c>
      <c r="B105" t="s">
        <v>178</v>
      </c>
      <c r="C105" t="s">
        <v>1281</v>
      </c>
      <c r="D105" t="s">
        <v>356</v>
      </c>
      <c r="E105">
        <v>44326</v>
      </c>
    </row>
    <row r="106" spans="1:5">
      <c r="A106">
        <v>210502</v>
      </c>
      <c r="B106" t="s">
        <v>178</v>
      </c>
      <c r="C106" t="s">
        <v>1282</v>
      </c>
      <c r="D106" t="s">
        <v>1283</v>
      </c>
      <c r="E106">
        <v>44326</v>
      </c>
    </row>
    <row r="107" spans="1:5">
      <c r="A107">
        <v>210503</v>
      </c>
      <c r="B107" t="s">
        <v>1106</v>
      </c>
      <c r="C107" t="s">
        <v>1284</v>
      </c>
      <c r="D107" t="s">
        <v>1285</v>
      </c>
      <c r="E107">
        <v>44326</v>
      </c>
    </row>
    <row r="108" spans="1:5">
      <c r="A108">
        <v>210504</v>
      </c>
      <c r="B108" t="s">
        <v>1106</v>
      </c>
      <c r="C108" t="s">
        <v>1286</v>
      </c>
      <c r="D108" t="s">
        <v>1287</v>
      </c>
      <c r="E108">
        <v>44326</v>
      </c>
    </row>
    <row r="109" spans="1:5">
      <c r="A109">
        <v>210505</v>
      </c>
      <c r="B109" t="s">
        <v>76</v>
      </c>
      <c r="C109" t="s">
        <v>1288</v>
      </c>
      <c r="D109" t="s">
        <v>1289</v>
      </c>
      <c r="E109">
        <v>44327</v>
      </c>
    </row>
    <row r="110" spans="1:5">
      <c r="A110">
        <v>210506</v>
      </c>
      <c r="B110" t="s">
        <v>76</v>
      </c>
      <c r="C110" t="s">
        <v>1290</v>
      </c>
      <c r="D110" t="s">
        <v>1291</v>
      </c>
      <c r="E110">
        <v>44327</v>
      </c>
    </row>
    <row r="111" spans="1:5">
      <c r="A111">
        <v>210507</v>
      </c>
      <c r="B111" t="s">
        <v>76</v>
      </c>
      <c r="C111" t="s">
        <v>115</v>
      </c>
      <c r="D111" t="s">
        <v>1292</v>
      </c>
      <c r="E111">
        <v>44337</v>
      </c>
    </row>
    <row r="112" spans="1:5">
      <c r="A112">
        <v>210508</v>
      </c>
      <c r="B112" t="s">
        <v>76</v>
      </c>
      <c r="C112" t="s">
        <v>1293</v>
      </c>
      <c r="D112" t="s">
        <v>1294</v>
      </c>
      <c r="E112">
        <v>44337</v>
      </c>
    </row>
    <row r="113" spans="1:5">
      <c r="A113">
        <v>210509</v>
      </c>
      <c r="B113" t="s">
        <v>1255</v>
      </c>
      <c r="C113" t="s">
        <v>1295</v>
      </c>
      <c r="D113" t="s">
        <v>1296</v>
      </c>
      <c r="E113">
        <v>44340</v>
      </c>
    </row>
    <row r="114" spans="1:5">
      <c r="A114">
        <v>210510</v>
      </c>
      <c r="B114" t="s">
        <v>1183</v>
      </c>
      <c r="C114" t="s">
        <v>1297</v>
      </c>
      <c r="D114" t="s">
        <v>1298</v>
      </c>
      <c r="E114">
        <v>44341</v>
      </c>
    </row>
    <row r="115" spans="1:5">
      <c r="A115">
        <v>210511</v>
      </c>
      <c r="B115" t="s">
        <v>1103</v>
      </c>
      <c r="C115" t="s">
        <v>1299</v>
      </c>
      <c r="D115" t="s">
        <v>1300</v>
      </c>
      <c r="E115">
        <v>44347</v>
      </c>
    </row>
    <row r="116" spans="1:5">
      <c r="A116">
        <v>210602</v>
      </c>
      <c r="B116" t="s">
        <v>178</v>
      </c>
      <c r="C116" t="s">
        <v>179</v>
      </c>
      <c r="D116" t="s">
        <v>180</v>
      </c>
      <c r="E116">
        <v>44348</v>
      </c>
    </row>
    <row r="117" spans="1:5">
      <c r="A117">
        <v>210600</v>
      </c>
      <c r="B117" t="s">
        <v>1255</v>
      </c>
      <c r="C117" t="s">
        <v>1301</v>
      </c>
      <c r="D117" t="s">
        <v>1302</v>
      </c>
      <c r="E117">
        <v>44348</v>
      </c>
    </row>
    <row r="118" spans="1:5">
      <c r="A118">
        <v>210601</v>
      </c>
      <c r="B118" t="s">
        <v>178</v>
      </c>
      <c r="C118" t="s">
        <v>1303</v>
      </c>
      <c r="D118" t="s">
        <v>1304</v>
      </c>
      <c r="E118">
        <v>44348</v>
      </c>
    </row>
    <row r="119" spans="1:5">
      <c r="A119">
        <v>210618</v>
      </c>
      <c r="B119" t="s">
        <v>1255</v>
      </c>
      <c r="C119" t="s">
        <v>1305</v>
      </c>
      <c r="D119" t="s">
        <v>1306</v>
      </c>
      <c r="E119">
        <v>44348</v>
      </c>
    </row>
    <row r="120" spans="1:5">
      <c r="A120">
        <v>211031</v>
      </c>
      <c r="B120" t="s">
        <v>1255</v>
      </c>
      <c r="C120" t="s">
        <v>1307</v>
      </c>
      <c r="D120" t="s">
        <v>1308</v>
      </c>
      <c r="E120">
        <v>44348</v>
      </c>
    </row>
    <row r="121" spans="1:5">
      <c r="A121">
        <v>210603</v>
      </c>
      <c r="B121" t="s">
        <v>1197</v>
      </c>
      <c r="C121" t="s">
        <v>1309</v>
      </c>
      <c r="D121" t="s">
        <v>1310</v>
      </c>
      <c r="E121">
        <v>44350</v>
      </c>
    </row>
    <row r="122" spans="1:5">
      <c r="A122">
        <v>210604</v>
      </c>
      <c r="B122" t="s">
        <v>1262</v>
      </c>
      <c r="C122" t="s">
        <v>1311</v>
      </c>
      <c r="D122" t="s">
        <v>1312</v>
      </c>
      <c r="E122">
        <v>44354</v>
      </c>
    </row>
    <row r="123" spans="1:5">
      <c r="A123">
        <v>210605</v>
      </c>
      <c r="B123" t="s">
        <v>1130</v>
      </c>
      <c r="C123" t="s">
        <v>1313</v>
      </c>
      <c r="D123" t="s">
        <v>1314</v>
      </c>
      <c r="E123">
        <v>44355</v>
      </c>
    </row>
    <row r="124" spans="1:5">
      <c r="A124">
        <v>210606</v>
      </c>
      <c r="B124" t="s">
        <v>1130</v>
      </c>
      <c r="C124" t="s">
        <v>1315</v>
      </c>
      <c r="D124" t="s">
        <v>1316</v>
      </c>
      <c r="E124">
        <v>44355</v>
      </c>
    </row>
    <row r="125" spans="1:5">
      <c r="A125">
        <v>210607</v>
      </c>
      <c r="B125" t="s">
        <v>178</v>
      </c>
      <c r="C125" t="s">
        <v>1317</v>
      </c>
      <c r="D125" t="s">
        <v>1318</v>
      </c>
      <c r="E125">
        <v>44357</v>
      </c>
    </row>
    <row r="126" spans="1:5">
      <c r="A126">
        <v>210405</v>
      </c>
      <c r="B126" t="s">
        <v>239</v>
      </c>
      <c r="C126" t="s">
        <v>1235</v>
      </c>
      <c r="D126" t="s">
        <v>1236</v>
      </c>
      <c r="E126">
        <v>44291</v>
      </c>
    </row>
    <row r="127" spans="1:5">
      <c r="A127">
        <v>210609</v>
      </c>
      <c r="B127" t="s">
        <v>1130</v>
      </c>
      <c r="C127" t="s">
        <v>1321</v>
      </c>
      <c r="D127" t="s">
        <v>1174</v>
      </c>
      <c r="E127">
        <v>44362</v>
      </c>
    </row>
    <row r="128" spans="1:5">
      <c r="A128">
        <v>210610</v>
      </c>
      <c r="B128" t="s">
        <v>1106</v>
      </c>
      <c r="C128" t="s">
        <v>219</v>
      </c>
      <c r="D128" t="s">
        <v>220</v>
      </c>
      <c r="E128">
        <v>44363</v>
      </c>
    </row>
    <row r="129" spans="1:5">
      <c r="A129">
        <v>210611</v>
      </c>
      <c r="B129" t="s">
        <v>1106</v>
      </c>
      <c r="C129" t="s">
        <v>1322</v>
      </c>
      <c r="D129" t="s">
        <v>1323</v>
      </c>
      <c r="E129">
        <v>44363</v>
      </c>
    </row>
    <row r="130" spans="1:5">
      <c r="A130">
        <v>210612</v>
      </c>
      <c r="B130" t="s">
        <v>1262</v>
      </c>
      <c r="C130" t="s">
        <v>1324</v>
      </c>
      <c r="D130" t="s">
        <v>1325</v>
      </c>
      <c r="E130">
        <v>44368</v>
      </c>
    </row>
    <row r="131" spans="1:5">
      <c r="A131">
        <v>210613</v>
      </c>
      <c r="B131" t="s">
        <v>1103</v>
      </c>
      <c r="C131" t="s">
        <v>1326</v>
      </c>
      <c r="D131" t="s">
        <v>1327</v>
      </c>
      <c r="E131">
        <v>44368</v>
      </c>
    </row>
    <row r="132" spans="1:5">
      <c r="A132">
        <v>210614</v>
      </c>
      <c r="B132" t="s">
        <v>1103</v>
      </c>
      <c r="C132" t="s">
        <v>1328</v>
      </c>
      <c r="D132" t="s">
        <v>1329</v>
      </c>
      <c r="E132">
        <v>44368</v>
      </c>
    </row>
    <row r="133" spans="1:5">
      <c r="A133">
        <v>210615</v>
      </c>
      <c r="B133" t="s">
        <v>1255</v>
      </c>
      <c r="C133" t="s">
        <v>1330</v>
      </c>
      <c r="D133" t="s">
        <v>1331</v>
      </c>
      <c r="E133">
        <v>44369</v>
      </c>
    </row>
    <row r="134" spans="1:5">
      <c r="A134">
        <v>210616</v>
      </c>
      <c r="B134" t="s">
        <v>178</v>
      </c>
      <c r="C134" t="s">
        <v>1332</v>
      </c>
      <c r="D134" t="s">
        <v>1333</v>
      </c>
      <c r="E134">
        <v>44371</v>
      </c>
    </row>
    <row r="135" spans="1:5">
      <c r="A135">
        <v>210701</v>
      </c>
      <c r="B135" t="s">
        <v>1262</v>
      </c>
      <c r="C135" t="s">
        <v>1334</v>
      </c>
      <c r="D135" t="s">
        <v>1335</v>
      </c>
      <c r="E135">
        <v>44378</v>
      </c>
    </row>
    <row r="136" spans="1:5">
      <c r="A136">
        <v>210702</v>
      </c>
      <c r="B136" t="s">
        <v>1103</v>
      </c>
      <c r="C136" t="s">
        <v>1336</v>
      </c>
      <c r="D136" t="s">
        <v>1337</v>
      </c>
      <c r="E136">
        <v>44382</v>
      </c>
    </row>
    <row r="137" spans="1:5">
      <c r="A137">
        <v>210703</v>
      </c>
      <c r="B137" t="s">
        <v>1262</v>
      </c>
      <c r="C137" t="s">
        <v>1338</v>
      </c>
      <c r="D137" t="s">
        <v>1339</v>
      </c>
      <c r="E137">
        <v>44384</v>
      </c>
    </row>
    <row r="138" spans="1:5">
      <c r="A138">
        <v>210704</v>
      </c>
      <c r="B138" t="s">
        <v>1255</v>
      </c>
      <c r="C138" t="s">
        <v>1340</v>
      </c>
      <c r="D138" t="s">
        <v>1341</v>
      </c>
      <c r="E138">
        <v>44384</v>
      </c>
    </row>
    <row r="139" spans="1:5">
      <c r="A139">
        <v>210705</v>
      </c>
      <c r="B139" t="s">
        <v>1255</v>
      </c>
      <c r="C139" t="s">
        <v>1342</v>
      </c>
      <c r="D139" t="s">
        <v>1343</v>
      </c>
      <c r="E139">
        <v>44384</v>
      </c>
    </row>
    <row r="140" spans="1:5">
      <c r="A140">
        <v>210706</v>
      </c>
      <c r="B140" t="s">
        <v>178</v>
      </c>
      <c r="C140" t="s">
        <v>1344</v>
      </c>
      <c r="D140" t="s">
        <v>1345</v>
      </c>
      <c r="E140">
        <v>44385</v>
      </c>
    </row>
    <row r="141" spans="1:5">
      <c r="A141">
        <v>210707</v>
      </c>
      <c r="B141" t="s">
        <v>76</v>
      </c>
      <c r="C141" t="s">
        <v>1346</v>
      </c>
      <c r="D141" t="s">
        <v>1347</v>
      </c>
      <c r="E141">
        <v>44391</v>
      </c>
    </row>
    <row r="142" spans="1:5">
      <c r="A142">
        <v>210708</v>
      </c>
      <c r="B142" t="s">
        <v>178</v>
      </c>
      <c r="C142" t="s">
        <v>1348</v>
      </c>
      <c r="D142" t="s">
        <v>1349</v>
      </c>
      <c r="E142">
        <v>44392</v>
      </c>
    </row>
    <row r="143" spans="1:5">
      <c r="A143">
        <v>210709</v>
      </c>
      <c r="B143" t="s">
        <v>1262</v>
      </c>
      <c r="C143" t="s">
        <v>1350</v>
      </c>
      <c r="D143" t="s">
        <v>1351</v>
      </c>
      <c r="E143">
        <v>44393</v>
      </c>
    </row>
    <row r="144" spans="1:5">
      <c r="A144">
        <v>210710</v>
      </c>
      <c r="B144" t="s">
        <v>239</v>
      </c>
      <c r="C144" t="s">
        <v>1352</v>
      </c>
      <c r="D144" t="s">
        <v>1353</v>
      </c>
      <c r="E144">
        <v>44396</v>
      </c>
    </row>
    <row r="145" spans="1:5">
      <c r="A145">
        <v>210711</v>
      </c>
      <c r="B145" t="s">
        <v>1106</v>
      </c>
      <c r="C145" t="s">
        <v>1354</v>
      </c>
      <c r="D145" t="s">
        <v>1355</v>
      </c>
      <c r="E145">
        <v>44396</v>
      </c>
    </row>
    <row r="146" spans="1:5">
      <c r="A146">
        <v>210712</v>
      </c>
      <c r="B146" t="s">
        <v>1356</v>
      </c>
      <c r="C146" t="s">
        <v>1357</v>
      </c>
      <c r="D146" t="s">
        <v>1358</v>
      </c>
      <c r="E146">
        <v>44397</v>
      </c>
    </row>
    <row r="147" spans="1:5">
      <c r="A147">
        <v>210713</v>
      </c>
      <c r="B147" t="s">
        <v>1130</v>
      </c>
      <c r="C147" t="s">
        <v>1359</v>
      </c>
      <c r="D147" t="s">
        <v>1360</v>
      </c>
      <c r="E147">
        <v>44403</v>
      </c>
    </row>
    <row r="148" spans="1:5">
      <c r="A148">
        <v>211116</v>
      </c>
      <c r="B148" t="s">
        <v>178</v>
      </c>
      <c r="C148" t="s">
        <v>1361</v>
      </c>
      <c r="D148" t="s">
        <v>1362</v>
      </c>
      <c r="E148">
        <v>44409</v>
      </c>
    </row>
    <row r="149" spans="1:5">
      <c r="A149">
        <v>210801</v>
      </c>
      <c r="B149" t="s">
        <v>1197</v>
      </c>
      <c r="C149" t="s">
        <v>1363</v>
      </c>
      <c r="D149" t="s">
        <v>1364</v>
      </c>
      <c r="E149">
        <v>44418</v>
      </c>
    </row>
    <row r="150" spans="1:5">
      <c r="A150">
        <v>210802</v>
      </c>
      <c r="B150" t="s">
        <v>1198</v>
      </c>
      <c r="C150" t="s">
        <v>1365</v>
      </c>
      <c r="D150" t="s">
        <v>1366</v>
      </c>
      <c r="E150">
        <v>44418</v>
      </c>
    </row>
    <row r="151" spans="1:5">
      <c r="A151">
        <v>210803</v>
      </c>
      <c r="B151" t="s">
        <v>1197</v>
      </c>
      <c r="C151" t="s">
        <v>1367</v>
      </c>
      <c r="D151" t="s">
        <v>1368</v>
      </c>
      <c r="E151">
        <v>44424</v>
      </c>
    </row>
    <row r="152" spans="1:5">
      <c r="A152">
        <v>210804</v>
      </c>
      <c r="B152" t="s">
        <v>1197</v>
      </c>
      <c r="C152" t="s">
        <v>1369</v>
      </c>
      <c r="D152" t="s">
        <v>1370</v>
      </c>
      <c r="E152">
        <v>44424</v>
      </c>
    </row>
    <row r="153" spans="1:5">
      <c r="A153">
        <v>210805</v>
      </c>
      <c r="B153" t="s">
        <v>1198</v>
      </c>
      <c r="C153" t="s">
        <v>1371</v>
      </c>
      <c r="D153" t="s">
        <v>1372</v>
      </c>
      <c r="E153">
        <v>44424</v>
      </c>
    </row>
    <row r="154" spans="1:5">
      <c r="A154">
        <v>210806</v>
      </c>
      <c r="B154" t="s">
        <v>1197</v>
      </c>
      <c r="C154" t="s">
        <v>1373</v>
      </c>
      <c r="D154" t="s">
        <v>1374</v>
      </c>
      <c r="E154">
        <v>44424</v>
      </c>
    </row>
    <row r="155" spans="1:5">
      <c r="A155">
        <v>210809</v>
      </c>
      <c r="B155" t="s">
        <v>1130</v>
      </c>
      <c r="C155" t="s">
        <v>1375</v>
      </c>
      <c r="D155" t="s">
        <v>1376</v>
      </c>
      <c r="E155">
        <v>44424</v>
      </c>
    </row>
    <row r="156" spans="1:5">
      <c r="A156">
        <v>210810</v>
      </c>
      <c r="B156" t="s">
        <v>76</v>
      </c>
      <c r="C156" t="s">
        <v>1377</v>
      </c>
      <c r="D156" t="s">
        <v>1378</v>
      </c>
      <c r="E156">
        <v>44424</v>
      </c>
    </row>
    <row r="157" spans="1:5">
      <c r="A157">
        <v>210811</v>
      </c>
      <c r="B157" t="s">
        <v>76</v>
      </c>
      <c r="C157" t="s">
        <v>1379</v>
      </c>
      <c r="D157" t="s">
        <v>1380</v>
      </c>
      <c r="E157">
        <v>44424</v>
      </c>
    </row>
    <row r="158" spans="1:5">
      <c r="A158">
        <v>210812</v>
      </c>
      <c r="B158" t="s">
        <v>1197</v>
      </c>
      <c r="C158" t="s">
        <v>1381</v>
      </c>
      <c r="D158" t="s">
        <v>1382</v>
      </c>
      <c r="E158">
        <v>44424</v>
      </c>
    </row>
    <row r="159" spans="1:5">
      <c r="A159">
        <v>210813</v>
      </c>
      <c r="B159" t="s">
        <v>239</v>
      </c>
      <c r="C159" t="s">
        <v>82</v>
      </c>
      <c r="D159" t="s">
        <v>1383</v>
      </c>
      <c r="E159">
        <v>44426</v>
      </c>
    </row>
    <row r="160" spans="1:5">
      <c r="A160">
        <v>210815</v>
      </c>
      <c r="B160" t="s">
        <v>76</v>
      </c>
      <c r="C160" t="s">
        <v>1384</v>
      </c>
      <c r="D160" t="s">
        <v>1385</v>
      </c>
      <c r="E160">
        <v>44431</v>
      </c>
    </row>
    <row r="161" spans="1:5">
      <c r="A161">
        <v>210816</v>
      </c>
      <c r="B161" t="s">
        <v>178</v>
      </c>
      <c r="C161" t="s">
        <v>1386</v>
      </c>
      <c r="D161" t="s">
        <v>1387</v>
      </c>
      <c r="E161">
        <v>44431</v>
      </c>
    </row>
    <row r="162" spans="1:5">
      <c r="A162">
        <v>210817</v>
      </c>
      <c r="B162" t="s">
        <v>1183</v>
      </c>
      <c r="C162" t="s">
        <v>1388</v>
      </c>
      <c r="D162" t="s">
        <v>1389</v>
      </c>
      <c r="E162">
        <v>44431</v>
      </c>
    </row>
    <row r="163" spans="1:5">
      <c r="A163">
        <v>210818</v>
      </c>
      <c r="B163" t="s">
        <v>1262</v>
      </c>
      <c r="C163" t="s">
        <v>1390</v>
      </c>
      <c r="D163" t="s">
        <v>1391</v>
      </c>
      <c r="E163">
        <v>44431</v>
      </c>
    </row>
    <row r="164" spans="1:5">
      <c r="A164">
        <v>210819</v>
      </c>
      <c r="B164" t="s">
        <v>1197</v>
      </c>
      <c r="C164" t="s">
        <v>1392</v>
      </c>
      <c r="D164" t="s">
        <v>1393</v>
      </c>
      <c r="E164">
        <v>44434</v>
      </c>
    </row>
    <row r="165" spans="1:5">
      <c r="A165">
        <v>210820</v>
      </c>
      <c r="B165" t="s">
        <v>1197</v>
      </c>
      <c r="C165" t="s">
        <v>1394</v>
      </c>
      <c r="D165" t="s">
        <v>1395</v>
      </c>
      <c r="E165">
        <v>44434</v>
      </c>
    </row>
    <row r="166" spans="1:5">
      <c r="A166">
        <v>210821</v>
      </c>
      <c r="B166" t="s">
        <v>76</v>
      </c>
      <c r="C166" t="s">
        <v>1396</v>
      </c>
      <c r="D166" t="s">
        <v>1397</v>
      </c>
      <c r="E166">
        <v>44434</v>
      </c>
    </row>
    <row r="167" spans="1:5">
      <c r="A167">
        <v>210901</v>
      </c>
      <c r="B167" t="s">
        <v>1096</v>
      </c>
      <c r="C167" t="s">
        <v>1398</v>
      </c>
      <c r="D167" t="s">
        <v>1399</v>
      </c>
      <c r="E167">
        <v>44441</v>
      </c>
    </row>
    <row r="168" spans="1:5">
      <c r="A168">
        <v>210902</v>
      </c>
      <c r="B168" t="s">
        <v>1197</v>
      </c>
      <c r="C168" t="s">
        <v>1400</v>
      </c>
      <c r="D168" t="s">
        <v>1401</v>
      </c>
      <c r="E168">
        <v>44445</v>
      </c>
    </row>
    <row r="169" spans="1:5">
      <c r="A169">
        <v>210903</v>
      </c>
      <c r="B169" t="s">
        <v>1197</v>
      </c>
      <c r="C169" t="s">
        <v>1402</v>
      </c>
      <c r="D169" t="s">
        <v>1403</v>
      </c>
      <c r="E169">
        <v>44445</v>
      </c>
    </row>
    <row r="170" spans="1:5">
      <c r="A170">
        <v>210904</v>
      </c>
      <c r="B170" t="s">
        <v>1106</v>
      </c>
      <c r="C170" t="s">
        <v>1051</v>
      </c>
      <c r="D170" t="s">
        <v>1052</v>
      </c>
      <c r="E170">
        <v>44446</v>
      </c>
    </row>
    <row r="171" spans="1:5">
      <c r="A171">
        <v>210905</v>
      </c>
      <c r="B171" t="s">
        <v>239</v>
      </c>
      <c r="C171" t="s">
        <v>1404</v>
      </c>
      <c r="D171" t="s">
        <v>1405</v>
      </c>
      <c r="E171">
        <v>44455</v>
      </c>
    </row>
    <row r="172" spans="1:5">
      <c r="A172">
        <v>210906</v>
      </c>
      <c r="B172" t="s">
        <v>264</v>
      </c>
      <c r="C172" t="s">
        <v>32</v>
      </c>
      <c r="D172" t="s">
        <v>1406</v>
      </c>
      <c r="E172">
        <v>44455</v>
      </c>
    </row>
    <row r="173" spans="1:5">
      <c r="A173">
        <v>210907</v>
      </c>
      <c r="B173" t="s">
        <v>206</v>
      </c>
      <c r="C173" t="s">
        <v>1407</v>
      </c>
      <c r="D173" t="s">
        <v>1408</v>
      </c>
      <c r="E173">
        <v>44459</v>
      </c>
    </row>
    <row r="174" spans="1:5">
      <c r="A174">
        <v>210908</v>
      </c>
      <c r="B174" t="s">
        <v>50</v>
      </c>
      <c r="C174" t="s">
        <v>1409</v>
      </c>
      <c r="D174" t="s">
        <v>1410</v>
      </c>
      <c r="E174">
        <v>44459</v>
      </c>
    </row>
    <row r="175" spans="1:5">
      <c r="A175">
        <v>210909</v>
      </c>
      <c r="B175" t="s">
        <v>1197</v>
      </c>
      <c r="C175" t="s">
        <v>1411</v>
      </c>
      <c r="D175" t="s">
        <v>1412</v>
      </c>
      <c r="E175">
        <v>44460</v>
      </c>
    </row>
    <row r="176" spans="1:5">
      <c r="A176">
        <v>210916</v>
      </c>
      <c r="B176" t="s">
        <v>1106</v>
      </c>
      <c r="C176" t="s">
        <v>1413</v>
      </c>
      <c r="D176" t="s">
        <v>1414</v>
      </c>
      <c r="E176">
        <v>44460</v>
      </c>
    </row>
    <row r="177" spans="1:5">
      <c r="A177">
        <v>210910</v>
      </c>
      <c r="B177" t="s">
        <v>1106</v>
      </c>
      <c r="C177" t="s">
        <v>1415</v>
      </c>
      <c r="D177" t="s">
        <v>1416</v>
      </c>
      <c r="E177">
        <v>44460</v>
      </c>
    </row>
    <row r="178" spans="1:5">
      <c r="A178">
        <v>210911</v>
      </c>
      <c r="B178" t="s">
        <v>1106</v>
      </c>
      <c r="C178" t="s">
        <v>164</v>
      </c>
      <c r="D178" t="s">
        <v>165</v>
      </c>
      <c r="E178">
        <v>44466</v>
      </c>
    </row>
    <row r="179" spans="1:5">
      <c r="A179">
        <v>210912</v>
      </c>
      <c r="B179" t="s">
        <v>1130</v>
      </c>
      <c r="C179" t="s">
        <v>1417</v>
      </c>
      <c r="D179" t="s">
        <v>1418</v>
      </c>
      <c r="E179">
        <v>44466</v>
      </c>
    </row>
    <row r="180" spans="1:5">
      <c r="A180">
        <v>210913</v>
      </c>
      <c r="B180" t="s">
        <v>1099</v>
      </c>
      <c r="C180" t="s">
        <v>1419</v>
      </c>
      <c r="D180" t="s">
        <v>1420</v>
      </c>
      <c r="E180">
        <v>44466</v>
      </c>
    </row>
    <row r="181" spans="1:5">
      <c r="A181">
        <v>210915</v>
      </c>
      <c r="B181" t="s">
        <v>1130</v>
      </c>
      <c r="C181" t="s">
        <v>1068</v>
      </c>
      <c r="D181" t="s">
        <v>1069</v>
      </c>
      <c r="E181">
        <v>44466</v>
      </c>
    </row>
    <row r="182" spans="1:5">
      <c r="A182">
        <v>210914</v>
      </c>
      <c r="B182" t="s">
        <v>1106</v>
      </c>
      <c r="C182" t="s">
        <v>1421</v>
      </c>
      <c r="D182" t="s">
        <v>1422</v>
      </c>
      <c r="E182">
        <v>44469</v>
      </c>
    </row>
    <row r="183" spans="1:5">
      <c r="A183">
        <v>211003</v>
      </c>
      <c r="B183" t="s">
        <v>178</v>
      </c>
      <c r="C183" t="s">
        <v>1423</v>
      </c>
      <c r="D183" t="s">
        <v>1424</v>
      </c>
      <c r="E183">
        <v>44470</v>
      </c>
    </row>
    <row r="184" spans="1:5">
      <c r="A184">
        <v>211004</v>
      </c>
      <c r="B184" t="s">
        <v>178</v>
      </c>
      <c r="C184" t="s">
        <v>1425</v>
      </c>
      <c r="D184" t="s">
        <v>1426</v>
      </c>
      <c r="E184">
        <v>44470</v>
      </c>
    </row>
    <row r="185" spans="1:5">
      <c r="A185">
        <v>211006</v>
      </c>
      <c r="B185" t="s">
        <v>178</v>
      </c>
      <c r="C185" t="s">
        <v>1427</v>
      </c>
      <c r="D185" t="s">
        <v>1428</v>
      </c>
      <c r="E185">
        <v>44470</v>
      </c>
    </row>
    <row r="186" spans="1:5">
      <c r="A186">
        <v>211001</v>
      </c>
      <c r="B186" t="s">
        <v>178</v>
      </c>
      <c r="C186" t="s">
        <v>1429</v>
      </c>
      <c r="D186" t="s">
        <v>1430</v>
      </c>
      <c r="E186">
        <v>44470</v>
      </c>
    </row>
    <row r="187" spans="1:5">
      <c r="A187">
        <v>211002</v>
      </c>
      <c r="B187" t="s">
        <v>178</v>
      </c>
      <c r="C187" t="s">
        <v>1431</v>
      </c>
      <c r="D187" t="s">
        <v>1432</v>
      </c>
      <c r="E187">
        <v>44470</v>
      </c>
    </row>
    <row r="188" spans="1:5">
      <c r="A188">
        <v>211005</v>
      </c>
      <c r="B188" t="s">
        <v>178</v>
      </c>
      <c r="C188" t="s">
        <v>1433</v>
      </c>
      <c r="D188" t="s">
        <v>1434</v>
      </c>
      <c r="E188">
        <v>44470</v>
      </c>
    </row>
    <row r="189" spans="1:5">
      <c r="A189">
        <v>211007</v>
      </c>
      <c r="B189" t="s">
        <v>178</v>
      </c>
      <c r="C189" t="s">
        <v>1435</v>
      </c>
      <c r="D189" t="s">
        <v>1436</v>
      </c>
      <c r="E189">
        <v>44470</v>
      </c>
    </row>
    <row r="190" spans="1:5">
      <c r="A190">
        <v>211008</v>
      </c>
      <c r="B190" t="s">
        <v>1130</v>
      </c>
      <c r="C190" t="s">
        <v>1437</v>
      </c>
      <c r="D190" t="s">
        <v>1438</v>
      </c>
      <c r="E190">
        <v>44473</v>
      </c>
    </row>
    <row r="191" spans="1:5">
      <c r="A191">
        <v>211009</v>
      </c>
      <c r="B191" t="s">
        <v>1079</v>
      </c>
      <c r="C191" t="s">
        <v>1439</v>
      </c>
      <c r="D191" t="s">
        <v>1440</v>
      </c>
      <c r="E191">
        <v>44474</v>
      </c>
    </row>
    <row r="192" spans="1:5">
      <c r="A192">
        <v>211010</v>
      </c>
      <c r="B192" t="s">
        <v>1106</v>
      </c>
      <c r="C192" t="s">
        <v>1441</v>
      </c>
      <c r="D192" t="s">
        <v>1442</v>
      </c>
      <c r="E192">
        <v>44476</v>
      </c>
    </row>
    <row r="193" spans="1:5">
      <c r="A193">
        <v>211011</v>
      </c>
      <c r="B193" t="s">
        <v>1106</v>
      </c>
      <c r="C193" t="s">
        <v>476</v>
      </c>
      <c r="D193" t="s">
        <v>1443</v>
      </c>
      <c r="E193">
        <v>44477</v>
      </c>
    </row>
    <row r="194" spans="1:5">
      <c r="A194">
        <v>211012</v>
      </c>
      <c r="B194" t="s">
        <v>1192</v>
      </c>
      <c r="C194" t="s">
        <v>1444</v>
      </c>
      <c r="D194" t="s">
        <v>1445</v>
      </c>
      <c r="E194">
        <v>44480</v>
      </c>
    </row>
    <row r="195" spans="1:5">
      <c r="A195">
        <v>211013</v>
      </c>
      <c r="B195" t="s">
        <v>1262</v>
      </c>
      <c r="C195" t="s">
        <v>1446</v>
      </c>
      <c r="D195" t="s">
        <v>1447</v>
      </c>
      <c r="E195">
        <v>44480</v>
      </c>
    </row>
    <row r="196" spans="1:5">
      <c r="A196">
        <v>211014</v>
      </c>
      <c r="B196" t="s">
        <v>50</v>
      </c>
      <c r="C196" t="s">
        <v>1448</v>
      </c>
      <c r="D196" t="s">
        <v>1449</v>
      </c>
      <c r="E196">
        <v>44480</v>
      </c>
    </row>
    <row r="197" spans="1:5">
      <c r="A197">
        <v>211015</v>
      </c>
      <c r="B197" t="s">
        <v>50</v>
      </c>
      <c r="C197" t="s">
        <v>1450</v>
      </c>
      <c r="D197" t="s">
        <v>1451</v>
      </c>
      <c r="E197">
        <v>44480</v>
      </c>
    </row>
    <row r="198" spans="1:5">
      <c r="A198">
        <v>211016</v>
      </c>
      <c r="B198" t="s">
        <v>211</v>
      </c>
      <c r="C198" t="s">
        <v>1452</v>
      </c>
      <c r="D198" t="s">
        <v>1453</v>
      </c>
      <c r="E198">
        <v>44481</v>
      </c>
    </row>
    <row r="199" spans="1:5">
      <c r="A199">
        <v>211017</v>
      </c>
      <c r="B199" t="s">
        <v>211</v>
      </c>
      <c r="C199" t="s">
        <v>1454</v>
      </c>
      <c r="D199" t="s">
        <v>1455</v>
      </c>
      <c r="E199">
        <v>44481</v>
      </c>
    </row>
    <row r="200" spans="1:5">
      <c r="A200">
        <v>211018</v>
      </c>
      <c r="B200" t="s">
        <v>211</v>
      </c>
      <c r="C200" t="s">
        <v>1456</v>
      </c>
      <c r="D200" t="s">
        <v>1457</v>
      </c>
      <c r="E200">
        <v>44481</v>
      </c>
    </row>
    <row r="201" spans="1:5">
      <c r="A201">
        <v>211019</v>
      </c>
      <c r="B201" t="s">
        <v>264</v>
      </c>
      <c r="C201" t="s">
        <v>1458</v>
      </c>
      <c r="D201" t="s">
        <v>1459</v>
      </c>
      <c r="E201">
        <v>44482</v>
      </c>
    </row>
    <row r="202" spans="1:5">
      <c r="A202">
        <v>211020</v>
      </c>
      <c r="B202" t="s">
        <v>1106</v>
      </c>
      <c r="C202" t="s">
        <v>1460</v>
      </c>
      <c r="D202" t="s">
        <v>1461</v>
      </c>
      <c r="E202">
        <v>44487</v>
      </c>
    </row>
    <row r="203" spans="1:5">
      <c r="A203">
        <v>211021</v>
      </c>
      <c r="B203" t="s">
        <v>1106</v>
      </c>
      <c r="C203" t="s">
        <v>89</v>
      </c>
      <c r="D203" t="s">
        <v>1462</v>
      </c>
      <c r="E203">
        <v>44487</v>
      </c>
    </row>
    <row r="204" spans="1:5">
      <c r="A204">
        <v>211022</v>
      </c>
      <c r="B204" t="s">
        <v>211</v>
      </c>
      <c r="C204" t="s">
        <v>1463</v>
      </c>
      <c r="D204" t="s">
        <v>1464</v>
      </c>
      <c r="E204">
        <v>44487</v>
      </c>
    </row>
    <row r="205" spans="1:5">
      <c r="A205">
        <v>211023</v>
      </c>
      <c r="B205" t="s">
        <v>211</v>
      </c>
      <c r="C205" t="s">
        <v>1465</v>
      </c>
      <c r="D205" t="s">
        <v>1466</v>
      </c>
      <c r="E205">
        <v>44487</v>
      </c>
    </row>
    <row r="206" spans="1:5">
      <c r="A206">
        <v>211024</v>
      </c>
      <c r="B206" t="s">
        <v>211</v>
      </c>
      <c r="C206" t="s">
        <v>1467</v>
      </c>
      <c r="D206" t="s">
        <v>1468</v>
      </c>
      <c r="E206">
        <v>44487</v>
      </c>
    </row>
    <row r="207" spans="1:5">
      <c r="A207">
        <v>211025</v>
      </c>
      <c r="B207" t="s">
        <v>178</v>
      </c>
      <c r="C207" t="s">
        <v>1469</v>
      </c>
      <c r="D207" t="s">
        <v>1470</v>
      </c>
      <c r="E207">
        <v>44489</v>
      </c>
    </row>
    <row r="208" spans="1:5">
      <c r="A208">
        <v>211031</v>
      </c>
      <c r="B208" t="s">
        <v>50</v>
      </c>
      <c r="C208" t="s">
        <v>1307</v>
      </c>
      <c r="D208" t="s">
        <v>1308</v>
      </c>
      <c r="E208">
        <v>44492</v>
      </c>
    </row>
    <row r="209" spans="1:5">
      <c r="A209">
        <v>211026</v>
      </c>
      <c r="B209" t="s">
        <v>1262</v>
      </c>
      <c r="C209" t="s">
        <v>1471</v>
      </c>
      <c r="D209" t="s">
        <v>1472</v>
      </c>
      <c r="E209">
        <v>44494</v>
      </c>
    </row>
    <row r="210" spans="1:5">
      <c r="A210">
        <v>211027</v>
      </c>
      <c r="B210" t="s">
        <v>1198</v>
      </c>
      <c r="C210" t="s">
        <v>1473</v>
      </c>
      <c r="D210" t="s">
        <v>1474</v>
      </c>
      <c r="E210">
        <v>44494</v>
      </c>
    </row>
    <row r="211" spans="1:5">
      <c r="A211">
        <v>211028</v>
      </c>
      <c r="B211" t="s">
        <v>1106</v>
      </c>
      <c r="C211" t="s">
        <v>1475</v>
      </c>
      <c r="D211" t="s">
        <v>1476</v>
      </c>
      <c r="E211">
        <v>44496</v>
      </c>
    </row>
    <row r="212" spans="1:5">
      <c r="A212">
        <v>211029</v>
      </c>
      <c r="B212" t="s">
        <v>1106</v>
      </c>
      <c r="C212" t="s">
        <v>1477</v>
      </c>
      <c r="D212" t="s">
        <v>1478</v>
      </c>
      <c r="E212">
        <v>44496</v>
      </c>
    </row>
    <row r="213" spans="1:5">
      <c r="A213">
        <v>211030</v>
      </c>
      <c r="B213" t="s">
        <v>50</v>
      </c>
      <c r="C213" t="s">
        <v>1479</v>
      </c>
      <c r="D213" t="s">
        <v>1480</v>
      </c>
      <c r="E213">
        <v>44496</v>
      </c>
    </row>
    <row r="214" spans="1:5">
      <c r="A214">
        <v>211101</v>
      </c>
      <c r="B214" t="s">
        <v>1262</v>
      </c>
      <c r="C214" t="s">
        <v>1481</v>
      </c>
      <c r="D214" t="s">
        <v>1482</v>
      </c>
      <c r="E214">
        <v>44501</v>
      </c>
    </row>
    <row r="215" spans="1:5">
      <c r="A215">
        <v>211102</v>
      </c>
      <c r="B215" t="s">
        <v>1103</v>
      </c>
      <c r="C215" t="s">
        <v>1483</v>
      </c>
      <c r="D215" t="s">
        <v>1484</v>
      </c>
      <c r="E215">
        <v>44501</v>
      </c>
    </row>
    <row r="216" spans="1:5">
      <c r="A216">
        <v>211103</v>
      </c>
      <c r="B216" t="s">
        <v>178</v>
      </c>
      <c r="C216" t="s">
        <v>1485</v>
      </c>
      <c r="D216" t="s">
        <v>1486</v>
      </c>
      <c r="E216">
        <v>44501</v>
      </c>
    </row>
    <row r="217" spans="1:5">
      <c r="A217">
        <v>211104</v>
      </c>
      <c r="B217" t="s">
        <v>178</v>
      </c>
      <c r="C217" t="s">
        <v>1487</v>
      </c>
      <c r="D217" t="s">
        <v>1488</v>
      </c>
      <c r="E217">
        <v>44501</v>
      </c>
    </row>
    <row r="218" spans="1:5">
      <c r="A218">
        <v>211105</v>
      </c>
      <c r="B218" t="s">
        <v>1130</v>
      </c>
      <c r="C218" t="s">
        <v>1223</v>
      </c>
      <c r="D218" t="s">
        <v>1489</v>
      </c>
      <c r="E218">
        <v>44501</v>
      </c>
    </row>
    <row r="219" spans="1:5">
      <c r="A219">
        <v>211106</v>
      </c>
      <c r="B219" t="s">
        <v>1490</v>
      </c>
      <c r="C219" t="s">
        <v>1491</v>
      </c>
      <c r="D219" t="s">
        <v>1492</v>
      </c>
      <c r="E219">
        <v>44502</v>
      </c>
    </row>
    <row r="220" spans="1:5">
      <c r="A220">
        <v>211107</v>
      </c>
      <c r="B220" t="s">
        <v>1106</v>
      </c>
      <c r="C220" t="s">
        <v>1493</v>
      </c>
      <c r="D220" t="s">
        <v>1494</v>
      </c>
      <c r="E220">
        <v>44508</v>
      </c>
    </row>
    <row r="221" spans="1:5">
      <c r="A221">
        <v>211108</v>
      </c>
      <c r="B221" t="s">
        <v>1495</v>
      </c>
      <c r="C221" t="s">
        <v>1496</v>
      </c>
      <c r="D221" t="s">
        <v>1497</v>
      </c>
      <c r="E221">
        <v>44517</v>
      </c>
    </row>
    <row r="222" spans="1:5">
      <c r="A222">
        <v>211109</v>
      </c>
      <c r="B222" t="s">
        <v>50</v>
      </c>
      <c r="C222" t="s">
        <v>1498</v>
      </c>
      <c r="D222" t="s">
        <v>1499</v>
      </c>
      <c r="E222">
        <v>44522</v>
      </c>
    </row>
    <row r="223" spans="1:5">
      <c r="A223">
        <v>211110</v>
      </c>
      <c r="B223" t="s">
        <v>1130</v>
      </c>
      <c r="C223" t="s">
        <v>166</v>
      </c>
      <c r="D223" t="s">
        <v>167</v>
      </c>
      <c r="E223">
        <v>44523</v>
      </c>
    </row>
    <row r="224" spans="1:5">
      <c r="A224">
        <v>211111</v>
      </c>
      <c r="B224" t="s">
        <v>1130</v>
      </c>
      <c r="C224" t="s">
        <v>1500</v>
      </c>
      <c r="D224" t="s">
        <v>1501</v>
      </c>
      <c r="E224">
        <v>44523</v>
      </c>
    </row>
    <row r="225" spans="1:5">
      <c r="A225">
        <v>211112</v>
      </c>
      <c r="B225" t="s">
        <v>239</v>
      </c>
      <c r="C225" t="s">
        <v>1502</v>
      </c>
      <c r="D225" t="s">
        <v>569</v>
      </c>
      <c r="E225">
        <v>44523</v>
      </c>
    </row>
    <row r="226" spans="1:5">
      <c r="A226">
        <v>211113</v>
      </c>
      <c r="B226" t="s">
        <v>239</v>
      </c>
      <c r="C226" t="s">
        <v>1503</v>
      </c>
      <c r="D226" t="s">
        <v>1504</v>
      </c>
      <c r="E226">
        <v>44523</v>
      </c>
    </row>
    <row r="227" spans="1:5">
      <c r="A227">
        <v>211114</v>
      </c>
      <c r="B227" t="s">
        <v>178</v>
      </c>
      <c r="C227" t="s">
        <v>1340</v>
      </c>
      <c r="D227" t="s">
        <v>1505</v>
      </c>
      <c r="E227">
        <v>44524</v>
      </c>
    </row>
    <row r="228" spans="1:5">
      <c r="A228">
        <v>211115</v>
      </c>
      <c r="B228" t="s">
        <v>178</v>
      </c>
      <c r="C228" t="s">
        <v>1506</v>
      </c>
      <c r="D228" t="s">
        <v>1507</v>
      </c>
      <c r="E228">
        <v>44529</v>
      </c>
    </row>
    <row r="229" spans="1:5">
      <c r="A229">
        <v>211201</v>
      </c>
      <c r="B229" t="s">
        <v>1183</v>
      </c>
      <c r="C229" t="s">
        <v>1508</v>
      </c>
      <c r="D229" t="s">
        <v>1509</v>
      </c>
      <c r="E229">
        <v>44531</v>
      </c>
    </row>
    <row r="230" spans="1:5">
      <c r="A230">
        <v>211202</v>
      </c>
      <c r="B230" t="s">
        <v>50</v>
      </c>
      <c r="C230" t="s">
        <v>1448</v>
      </c>
      <c r="D230" t="s">
        <v>1069</v>
      </c>
      <c r="E230">
        <v>44532</v>
      </c>
    </row>
    <row r="231" spans="1:5">
      <c r="A231">
        <v>211203</v>
      </c>
      <c r="B231" t="s">
        <v>178</v>
      </c>
      <c r="C231" t="s">
        <v>1510</v>
      </c>
      <c r="D231" t="s">
        <v>1511</v>
      </c>
      <c r="E231">
        <v>44532</v>
      </c>
    </row>
    <row r="232" spans="1:5">
      <c r="A232">
        <v>211204</v>
      </c>
      <c r="B232" t="s">
        <v>1130</v>
      </c>
      <c r="C232" t="s">
        <v>1512</v>
      </c>
      <c r="D232" t="s">
        <v>1513</v>
      </c>
      <c r="E232">
        <v>44536</v>
      </c>
    </row>
    <row r="233" spans="1:5">
      <c r="A233">
        <v>211205</v>
      </c>
      <c r="B233" t="s">
        <v>211</v>
      </c>
      <c r="C233" t="s">
        <v>1514</v>
      </c>
      <c r="D233" t="s">
        <v>1515</v>
      </c>
      <c r="E233">
        <v>44537</v>
      </c>
    </row>
    <row r="234" spans="1:5">
      <c r="A234">
        <v>211206</v>
      </c>
      <c r="B234" t="s">
        <v>76</v>
      </c>
      <c r="C234" t="s">
        <v>1516</v>
      </c>
      <c r="D234" t="s">
        <v>1517</v>
      </c>
      <c r="E234">
        <v>44543</v>
      </c>
    </row>
    <row r="235" spans="1:5">
      <c r="A235">
        <v>211207</v>
      </c>
      <c r="B235" t="s">
        <v>1518</v>
      </c>
      <c r="C235" t="s">
        <v>1519</v>
      </c>
      <c r="D235" t="s">
        <v>1520</v>
      </c>
      <c r="E235">
        <v>44543</v>
      </c>
    </row>
    <row r="236" spans="1:5">
      <c r="A236">
        <v>211208</v>
      </c>
      <c r="B236" t="s">
        <v>239</v>
      </c>
      <c r="C236" t="s">
        <v>1521</v>
      </c>
      <c r="D236" t="s">
        <v>1522</v>
      </c>
      <c r="E236">
        <v>44543</v>
      </c>
    </row>
    <row r="237" spans="1:5">
      <c r="A237">
        <v>211209</v>
      </c>
      <c r="B237" t="s">
        <v>239</v>
      </c>
      <c r="C237" t="s">
        <v>1523</v>
      </c>
      <c r="D237" t="s">
        <v>1524</v>
      </c>
      <c r="E237">
        <v>44543</v>
      </c>
    </row>
    <row r="238" spans="1:5">
      <c r="A238">
        <v>211210</v>
      </c>
      <c r="B238" t="s">
        <v>1130</v>
      </c>
      <c r="C238" t="s">
        <v>1525</v>
      </c>
      <c r="D238" t="s">
        <v>1526</v>
      </c>
      <c r="E238">
        <v>44546</v>
      </c>
    </row>
    <row r="239" spans="1:5">
      <c r="A239">
        <v>211211</v>
      </c>
      <c r="B239" t="s">
        <v>1116</v>
      </c>
      <c r="C239" t="s">
        <v>1527</v>
      </c>
      <c r="D239" t="s">
        <v>1528</v>
      </c>
      <c r="E239">
        <v>44550</v>
      </c>
    </row>
    <row r="240" spans="1:5">
      <c r="A240">
        <v>211212</v>
      </c>
      <c r="B240" t="s">
        <v>1116</v>
      </c>
      <c r="C240" t="s">
        <v>1529</v>
      </c>
      <c r="D240" t="s">
        <v>1530</v>
      </c>
      <c r="E240">
        <v>44550</v>
      </c>
    </row>
    <row r="241" spans="1:5">
      <c r="A241">
        <v>211213</v>
      </c>
      <c r="B241" t="s">
        <v>239</v>
      </c>
      <c r="C241" t="s">
        <v>1531</v>
      </c>
      <c r="D241" t="s">
        <v>1532</v>
      </c>
      <c r="E241">
        <v>44550</v>
      </c>
    </row>
    <row r="242" spans="1:5">
      <c r="A242">
        <v>211214</v>
      </c>
      <c r="B242" t="s">
        <v>1518</v>
      </c>
      <c r="C242" t="s">
        <v>1533</v>
      </c>
      <c r="D242" t="s">
        <v>1534</v>
      </c>
      <c r="E242">
        <v>44550</v>
      </c>
    </row>
    <row r="243" spans="1:5">
      <c r="A243">
        <v>211215</v>
      </c>
      <c r="B243" t="s">
        <v>178</v>
      </c>
      <c r="C243" t="s">
        <v>1535</v>
      </c>
      <c r="D243" t="s">
        <v>1536</v>
      </c>
      <c r="E243">
        <v>44551</v>
      </c>
    </row>
    <row r="244" spans="1:5">
      <c r="A244">
        <v>210204</v>
      </c>
      <c r="B244" t="s">
        <v>1130</v>
      </c>
      <c r="C244" t="s">
        <v>1181</v>
      </c>
      <c r="D244" t="s">
        <v>1182</v>
      </c>
      <c r="E244">
        <v>44554</v>
      </c>
    </row>
    <row r="245" spans="1:5">
      <c r="A245">
        <v>211216</v>
      </c>
      <c r="B245" t="s">
        <v>1518</v>
      </c>
      <c r="C245" t="s">
        <v>1537</v>
      </c>
      <c r="D245" t="s">
        <v>1538</v>
      </c>
      <c r="E245">
        <v>44557</v>
      </c>
    </row>
    <row r="246" spans="1:5">
      <c r="A246">
        <v>211217</v>
      </c>
      <c r="B246" t="s">
        <v>178</v>
      </c>
      <c r="C246" t="s">
        <v>1539</v>
      </c>
      <c r="D246" t="s">
        <v>1540</v>
      </c>
      <c r="E246">
        <v>44557</v>
      </c>
    </row>
    <row r="247" spans="1:5">
      <c r="A247">
        <v>211218</v>
      </c>
      <c r="B247" t="s">
        <v>178</v>
      </c>
      <c r="C247" t="s">
        <v>1541</v>
      </c>
      <c r="D247" t="s">
        <v>1542</v>
      </c>
      <c r="E247">
        <v>44558</v>
      </c>
    </row>
    <row r="248" spans="1:5">
      <c r="A248">
        <v>220101</v>
      </c>
      <c r="B248" t="s">
        <v>211</v>
      </c>
      <c r="C248" t="s">
        <v>1543</v>
      </c>
      <c r="D248" t="s">
        <v>1544</v>
      </c>
      <c r="E248">
        <v>44566</v>
      </c>
    </row>
    <row r="249" spans="1:5">
      <c r="A249">
        <v>220102</v>
      </c>
      <c r="B249" t="s">
        <v>211</v>
      </c>
      <c r="C249" t="s">
        <v>1545</v>
      </c>
      <c r="D249" t="s">
        <v>1546</v>
      </c>
      <c r="E249">
        <v>44566</v>
      </c>
    </row>
    <row r="250" spans="1:5">
      <c r="A250">
        <v>220103</v>
      </c>
      <c r="B250" t="s">
        <v>50</v>
      </c>
      <c r="C250" t="s">
        <v>1547</v>
      </c>
      <c r="D250" t="s">
        <v>1548</v>
      </c>
      <c r="E250">
        <v>44566</v>
      </c>
    </row>
    <row r="251" spans="1:5">
      <c r="A251">
        <v>220104</v>
      </c>
      <c r="B251" t="s">
        <v>178</v>
      </c>
      <c r="C251" t="s">
        <v>1549</v>
      </c>
      <c r="D251" t="s">
        <v>1550</v>
      </c>
      <c r="E251">
        <v>44567</v>
      </c>
    </row>
    <row r="252" spans="1:5">
      <c r="A252">
        <v>220105</v>
      </c>
      <c r="B252" t="s">
        <v>1103</v>
      </c>
      <c r="C252" t="s">
        <v>1551</v>
      </c>
      <c r="D252" t="s">
        <v>1552</v>
      </c>
      <c r="E252">
        <v>44567</v>
      </c>
    </row>
    <row r="253" spans="1:5">
      <c r="A253">
        <v>220106</v>
      </c>
      <c r="B253" t="s">
        <v>1192</v>
      </c>
      <c r="C253" t="s">
        <v>1553</v>
      </c>
      <c r="D253" t="s">
        <v>1554</v>
      </c>
      <c r="E253">
        <v>44567</v>
      </c>
    </row>
    <row r="254" spans="1:5">
      <c r="A254">
        <v>210405</v>
      </c>
      <c r="B254" t="s">
        <v>239</v>
      </c>
      <c r="C254" t="s">
        <v>1235</v>
      </c>
      <c r="D254" t="s">
        <v>1236</v>
      </c>
      <c r="E254">
        <v>45952</v>
      </c>
    </row>
    <row r="255" spans="1:5">
      <c r="A255">
        <v>220109</v>
      </c>
      <c r="B255" t="s">
        <v>1079</v>
      </c>
      <c r="C255" t="s">
        <v>1557</v>
      </c>
      <c r="D255" t="s">
        <v>1558</v>
      </c>
      <c r="E255">
        <v>44569</v>
      </c>
    </row>
    <row r="256" spans="1:5">
      <c r="A256">
        <v>220108</v>
      </c>
      <c r="B256" t="s">
        <v>1116</v>
      </c>
      <c r="C256" t="s">
        <v>1559</v>
      </c>
      <c r="D256" t="s">
        <v>1560</v>
      </c>
      <c r="E256">
        <v>44571</v>
      </c>
    </row>
    <row r="257" spans="1:5">
      <c r="A257">
        <v>200801</v>
      </c>
      <c r="B257" t="s">
        <v>1197</v>
      </c>
      <c r="C257" t="s">
        <v>1082</v>
      </c>
      <c r="D257" t="s">
        <v>1083</v>
      </c>
      <c r="E257">
        <v>44573</v>
      </c>
    </row>
    <row r="258" spans="1:5">
      <c r="A258">
        <v>220110</v>
      </c>
      <c r="B258" t="s">
        <v>178</v>
      </c>
      <c r="C258" t="s">
        <v>1561</v>
      </c>
      <c r="D258" t="s">
        <v>1562</v>
      </c>
      <c r="E258">
        <v>44573</v>
      </c>
    </row>
    <row r="259" spans="1:5">
      <c r="A259">
        <v>220111</v>
      </c>
      <c r="B259" t="s">
        <v>178</v>
      </c>
      <c r="C259" t="s">
        <v>1563</v>
      </c>
      <c r="D259" t="s">
        <v>1564</v>
      </c>
      <c r="E259">
        <v>44573</v>
      </c>
    </row>
    <row r="260" spans="1:5">
      <c r="A260">
        <v>220112</v>
      </c>
      <c r="B260" t="s">
        <v>178</v>
      </c>
      <c r="C260" t="s">
        <v>1565</v>
      </c>
      <c r="D260" t="s">
        <v>1566</v>
      </c>
      <c r="E260">
        <v>44573</v>
      </c>
    </row>
    <row r="261" spans="1:5">
      <c r="A261">
        <v>220113</v>
      </c>
      <c r="B261" t="s">
        <v>1130</v>
      </c>
      <c r="C261" t="s">
        <v>1567</v>
      </c>
      <c r="D261" t="s">
        <v>1568</v>
      </c>
      <c r="E261">
        <v>44575</v>
      </c>
    </row>
    <row r="262" spans="1:5">
      <c r="A262">
        <v>220114</v>
      </c>
      <c r="B262" t="s">
        <v>239</v>
      </c>
      <c r="C262" t="s">
        <v>1569</v>
      </c>
      <c r="D262" t="s">
        <v>1570</v>
      </c>
      <c r="E262">
        <v>44578</v>
      </c>
    </row>
    <row r="263" spans="1:5">
      <c r="A263">
        <v>220115</v>
      </c>
      <c r="B263" t="s">
        <v>239</v>
      </c>
      <c r="C263" t="s">
        <v>1571</v>
      </c>
      <c r="D263" t="s">
        <v>1572</v>
      </c>
      <c r="E263">
        <v>44578</v>
      </c>
    </row>
    <row r="264" spans="1:5">
      <c r="A264">
        <v>220117</v>
      </c>
      <c r="B264" t="s">
        <v>239</v>
      </c>
      <c r="C264" t="s">
        <v>1573</v>
      </c>
      <c r="D264" t="s">
        <v>1574</v>
      </c>
      <c r="E264">
        <v>44578</v>
      </c>
    </row>
    <row r="265" spans="1:5">
      <c r="A265">
        <v>220118</v>
      </c>
      <c r="B265" t="s">
        <v>1079</v>
      </c>
      <c r="C265" t="s">
        <v>1575</v>
      </c>
      <c r="D265" t="s">
        <v>1576</v>
      </c>
      <c r="E265">
        <v>44578</v>
      </c>
    </row>
    <row r="266" spans="1:5">
      <c r="A266">
        <v>220119</v>
      </c>
      <c r="B266" t="s">
        <v>264</v>
      </c>
      <c r="C266" t="s">
        <v>1577</v>
      </c>
      <c r="D266" t="s">
        <v>1578</v>
      </c>
      <c r="E266">
        <v>44578</v>
      </c>
    </row>
    <row r="267" spans="1:5">
      <c r="A267">
        <v>220120</v>
      </c>
      <c r="B267" t="s">
        <v>264</v>
      </c>
      <c r="C267" t="s">
        <v>1579</v>
      </c>
      <c r="D267" t="s">
        <v>1580</v>
      </c>
      <c r="E267">
        <v>44578</v>
      </c>
    </row>
    <row r="268" spans="1:5">
      <c r="A268">
        <v>220116</v>
      </c>
      <c r="B268" t="s">
        <v>1106</v>
      </c>
      <c r="C268" t="s">
        <v>1581</v>
      </c>
      <c r="D268" t="s">
        <v>1582</v>
      </c>
      <c r="E268">
        <v>44578</v>
      </c>
    </row>
    <row r="269" spans="1:5">
      <c r="A269">
        <v>220122</v>
      </c>
      <c r="B269" t="s">
        <v>211</v>
      </c>
      <c r="C269" t="s">
        <v>1583</v>
      </c>
      <c r="D269" t="s">
        <v>1584</v>
      </c>
      <c r="E269">
        <v>44579</v>
      </c>
    </row>
    <row r="270" spans="1:5">
      <c r="A270">
        <v>220123</v>
      </c>
      <c r="B270" t="s">
        <v>178</v>
      </c>
      <c r="C270" t="s">
        <v>1585</v>
      </c>
      <c r="D270" t="s">
        <v>1586</v>
      </c>
      <c r="E270">
        <v>44579</v>
      </c>
    </row>
    <row r="271" spans="1:5">
      <c r="A271">
        <v>220121</v>
      </c>
      <c r="B271" t="s">
        <v>1103</v>
      </c>
      <c r="C271" t="s">
        <v>103</v>
      </c>
      <c r="D271" t="s">
        <v>104</v>
      </c>
      <c r="E271">
        <v>44579</v>
      </c>
    </row>
    <row r="272" spans="1:5">
      <c r="A272">
        <v>220124</v>
      </c>
      <c r="B272" t="s">
        <v>50</v>
      </c>
      <c r="C272" t="s">
        <v>1587</v>
      </c>
      <c r="D272" t="s">
        <v>1588</v>
      </c>
      <c r="E272">
        <v>44581</v>
      </c>
    </row>
    <row r="273" spans="1:5">
      <c r="A273">
        <v>210105</v>
      </c>
      <c r="B273" t="s">
        <v>1103</v>
      </c>
      <c r="C273" t="s">
        <v>1143</v>
      </c>
      <c r="D273" t="s">
        <v>1144</v>
      </c>
      <c r="E273">
        <v>44585</v>
      </c>
    </row>
    <row r="274" spans="1:5">
      <c r="A274">
        <v>220125</v>
      </c>
      <c r="B274" t="s">
        <v>1116</v>
      </c>
      <c r="C274" t="s">
        <v>1055</v>
      </c>
      <c r="D274" t="s">
        <v>1056</v>
      </c>
      <c r="E274">
        <v>44585</v>
      </c>
    </row>
    <row r="275" spans="1:5">
      <c r="A275">
        <v>220126</v>
      </c>
      <c r="B275" t="s">
        <v>264</v>
      </c>
      <c r="C275" t="s">
        <v>1589</v>
      </c>
      <c r="D275" t="s">
        <v>1590</v>
      </c>
      <c r="E275">
        <v>44585</v>
      </c>
    </row>
    <row r="276" spans="1:5">
      <c r="A276">
        <v>220127</v>
      </c>
      <c r="B276" t="s">
        <v>264</v>
      </c>
      <c r="C276" t="s">
        <v>1591</v>
      </c>
      <c r="D276" t="s">
        <v>1592</v>
      </c>
      <c r="E276">
        <v>44585</v>
      </c>
    </row>
    <row r="277" spans="1:5">
      <c r="A277">
        <v>220128</v>
      </c>
      <c r="B277" t="s">
        <v>1593</v>
      </c>
      <c r="C277" t="s">
        <v>1594</v>
      </c>
      <c r="D277" t="s">
        <v>1595</v>
      </c>
      <c r="E277">
        <v>44585</v>
      </c>
    </row>
    <row r="278" spans="1:5">
      <c r="A278">
        <v>220129</v>
      </c>
      <c r="B278" t="s">
        <v>1197</v>
      </c>
      <c r="C278" t="s">
        <v>1596</v>
      </c>
      <c r="D278" t="s">
        <v>1597</v>
      </c>
      <c r="E278">
        <v>44585</v>
      </c>
    </row>
    <row r="279" spans="1:5">
      <c r="A279">
        <v>220130</v>
      </c>
      <c r="B279" t="s">
        <v>264</v>
      </c>
      <c r="C279" t="s">
        <v>30</v>
      </c>
      <c r="D279" t="s">
        <v>31</v>
      </c>
      <c r="E279">
        <v>44586</v>
      </c>
    </row>
    <row r="280" spans="1:5">
      <c r="A280">
        <v>220131</v>
      </c>
      <c r="B280" t="s">
        <v>211</v>
      </c>
      <c r="C280" t="s">
        <v>1598</v>
      </c>
      <c r="D280" t="s">
        <v>1599</v>
      </c>
      <c r="E280">
        <v>44588</v>
      </c>
    </row>
    <row r="281" spans="1:5">
      <c r="A281">
        <v>220132</v>
      </c>
      <c r="B281" t="s">
        <v>1103</v>
      </c>
      <c r="C281" t="s">
        <v>1600</v>
      </c>
      <c r="D281" t="s">
        <v>1601</v>
      </c>
      <c r="E281">
        <v>44592</v>
      </c>
    </row>
    <row r="282" spans="1:5">
      <c r="A282">
        <v>220201</v>
      </c>
      <c r="B282" t="s">
        <v>178</v>
      </c>
      <c r="C282" t="s">
        <v>1602</v>
      </c>
      <c r="D282" t="s">
        <v>1603</v>
      </c>
      <c r="E282">
        <v>44594</v>
      </c>
    </row>
    <row r="283" spans="1:5">
      <c r="A283">
        <v>220202</v>
      </c>
      <c r="B283" t="s">
        <v>178</v>
      </c>
      <c r="C283" t="s">
        <v>1604</v>
      </c>
      <c r="D283" t="s">
        <v>1605</v>
      </c>
      <c r="E283">
        <v>44594</v>
      </c>
    </row>
    <row r="284" spans="1:5">
      <c r="A284">
        <v>220203</v>
      </c>
      <c r="B284" t="s">
        <v>178</v>
      </c>
      <c r="C284" t="s">
        <v>1606</v>
      </c>
      <c r="D284" t="s">
        <v>1607</v>
      </c>
      <c r="E284">
        <v>44594</v>
      </c>
    </row>
    <row r="285" spans="1:5">
      <c r="A285">
        <v>220204</v>
      </c>
      <c r="B285" t="s">
        <v>1103</v>
      </c>
      <c r="C285" t="s">
        <v>1608</v>
      </c>
      <c r="D285" t="s">
        <v>1609</v>
      </c>
      <c r="E285">
        <v>44599</v>
      </c>
    </row>
    <row r="286" spans="1:5">
      <c r="A286">
        <v>220205</v>
      </c>
      <c r="B286" t="s">
        <v>1103</v>
      </c>
      <c r="C286" t="s">
        <v>1610</v>
      </c>
      <c r="D286" t="s">
        <v>1611</v>
      </c>
      <c r="E286">
        <v>44599</v>
      </c>
    </row>
    <row r="287" spans="1:5">
      <c r="A287">
        <v>220206</v>
      </c>
      <c r="B287" t="s">
        <v>178</v>
      </c>
      <c r="C287" t="s">
        <v>1612</v>
      </c>
      <c r="D287" t="s">
        <v>1613</v>
      </c>
      <c r="E287">
        <v>44599</v>
      </c>
    </row>
    <row r="288" spans="1:5">
      <c r="A288">
        <v>220207</v>
      </c>
      <c r="B288" t="s">
        <v>1183</v>
      </c>
      <c r="C288" t="s">
        <v>1614</v>
      </c>
      <c r="D288" t="s">
        <v>1615</v>
      </c>
      <c r="E288">
        <v>44599</v>
      </c>
    </row>
    <row r="289" spans="1:5">
      <c r="A289">
        <v>220208</v>
      </c>
      <c r="B289" t="s">
        <v>1103</v>
      </c>
      <c r="C289" t="s">
        <v>1616</v>
      </c>
      <c r="D289" t="s">
        <v>1617</v>
      </c>
      <c r="E289">
        <v>44599</v>
      </c>
    </row>
    <row r="290" spans="1:5">
      <c r="A290">
        <v>220209</v>
      </c>
      <c r="B290" t="s">
        <v>1103</v>
      </c>
      <c r="C290" t="s">
        <v>33</v>
      </c>
      <c r="D290" t="s">
        <v>34</v>
      </c>
      <c r="E290">
        <v>44599</v>
      </c>
    </row>
    <row r="291" spans="1:5">
      <c r="A291">
        <v>220210</v>
      </c>
      <c r="B291" t="s">
        <v>1130</v>
      </c>
      <c r="C291" t="s">
        <v>118</v>
      </c>
      <c r="D291" t="s">
        <v>119</v>
      </c>
      <c r="E291">
        <v>44600</v>
      </c>
    </row>
    <row r="292" spans="1:5">
      <c r="A292">
        <v>220211</v>
      </c>
      <c r="B292" t="s">
        <v>1593</v>
      </c>
      <c r="C292" t="s">
        <v>1549</v>
      </c>
      <c r="D292" t="s">
        <v>1550</v>
      </c>
      <c r="E292">
        <v>44601</v>
      </c>
    </row>
    <row r="293" spans="1:5">
      <c r="A293">
        <v>220212</v>
      </c>
      <c r="B293" t="s">
        <v>1103</v>
      </c>
      <c r="C293" t="s">
        <v>1618</v>
      </c>
      <c r="D293" t="s">
        <v>1619</v>
      </c>
      <c r="E293">
        <v>44602</v>
      </c>
    </row>
    <row r="294" spans="1:5">
      <c r="A294">
        <v>220213</v>
      </c>
      <c r="B294" t="s">
        <v>1103</v>
      </c>
      <c r="C294" t="s">
        <v>1620</v>
      </c>
      <c r="D294" t="s">
        <v>1621</v>
      </c>
      <c r="E294">
        <v>44606</v>
      </c>
    </row>
    <row r="295" spans="1:5">
      <c r="A295">
        <v>220214</v>
      </c>
      <c r="B295" t="s">
        <v>1255</v>
      </c>
      <c r="C295" t="s">
        <v>1622</v>
      </c>
      <c r="D295" t="s">
        <v>1623</v>
      </c>
      <c r="E295">
        <v>44606</v>
      </c>
    </row>
    <row r="296" spans="1:5">
      <c r="A296">
        <v>220215</v>
      </c>
      <c r="B296" t="s">
        <v>211</v>
      </c>
      <c r="C296" t="s">
        <v>1624</v>
      </c>
      <c r="D296" t="s">
        <v>1625</v>
      </c>
      <c r="E296">
        <v>44608</v>
      </c>
    </row>
    <row r="297" spans="1:5">
      <c r="A297">
        <v>220216</v>
      </c>
      <c r="B297" t="s">
        <v>1106</v>
      </c>
      <c r="C297" t="s">
        <v>1626</v>
      </c>
      <c r="D297" t="s">
        <v>1627</v>
      </c>
      <c r="E297">
        <v>44613</v>
      </c>
    </row>
    <row r="298" spans="1:5">
      <c r="A298">
        <v>220217</v>
      </c>
      <c r="B298" t="s">
        <v>1197</v>
      </c>
      <c r="C298" t="s">
        <v>1628</v>
      </c>
      <c r="D298" t="s">
        <v>1629</v>
      </c>
      <c r="E298">
        <v>44613</v>
      </c>
    </row>
    <row r="299" spans="1:5">
      <c r="A299">
        <v>220218</v>
      </c>
      <c r="B299" t="s">
        <v>1106</v>
      </c>
      <c r="C299" t="s">
        <v>1630</v>
      </c>
      <c r="D299" t="s">
        <v>1631</v>
      </c>
      <c r="E299">
        <v>44613</v>
      </c>
    </row>
    <row r="300" spans="1:5">
      <c r="A300">
        <v>220219</v>
      </c>
      <c r="B300" t="s">
        <v>264</v>
      </c>
      <c r="C300" t="s">
        <v>1632</v>
      </c>
      <c r="D300" t="s">
        <v>2595</v>
      </c>
      <c r="E300">
        <v>44613</v>
      </c>
    </row>
    <row r="301" spans="1:5">
      <c r="A301">
        <v>220220</v>
      </c>
      <c r="B301" t="s">
        <v>211</v>
      </c>
      <c r="C301" t="s">
        <v>1633</v>
      </c>
      <c r="D301" t="s">
        <v>1634</v>
      </c>
      <c r="E301">
        <v>44614</v>
      </c>
    </row>
    <row r="302" spans="1:5">
      <c r="A302">
        <v>220221</v>
      </c>
      <c r="B302" t="s">
        <v>178</v>
      </c>
      <c r="C302" t="s">
        <v>1635</v>
      </c>
      <c r="D302" t="s">
        <v>1636</v>
      </c>
      <c r="E302">
        <v>44620</v>
      </c>
    </row>
    <row r="303" spans="1:5">
      <c r="A303">
        <v>220301</v>
      </c>
      <c r="B303" t="s">
        <v>1130</v>
      </c>
      <c r="C303" t="s">
        <v>1637</v>
      </c>
      <c r="D303" t="s">
        <v>1638</v>
      </c>
      <c r="E303">
        <v>44621</v>
      </c>
    </row>
    <row r="304" spans="1:5">
      <c r="A304">
        <v>210608</v>
      </c>
      <c r="B304" t="s">
        <v>206</v>
      </c>
      <c r="C304" t="s">
        <v>1319</v>
      </c>
      <c r="D304" t="s">
        <v>1320</v>
      </c>
      <c r="E304">
        <v>44361</v>
      </c>
    </row>
    <row r="305" spans="1:5">
      <c r="A305">
        <v>220303</v>
      </c>
      <c r="B305" t="s">
        <v>239</v>
      </c>
      <c r="C305" t="s">
        <v>392</v>
      </c>
      <c r="D305" t="s">
        <v>393</v>
      </c>
      <c r="E305">
        <v>44621</v>
      </c>
    </row>
    <row r="306" spans="1:5">
      <c r="A306">
        <v>220304</v>
      </c>
      <c r="B306" t="s">
        <v>1192</v>
      </c>
      <c r="C306" t="s">
        <v>1641</v>
      </c>
      <c r="D306" t="s">
        <v>1642</v>
      </c>
      <c r="E306">
        <v>44621</v>
      </c>
    </row>
    <row r="307" spans="1:5">
      <c r="A307">
        <v>220305</v>
      </c>
      <c r="B307" t="s">
        <v>178</v>
      </c>
      <c r="C307" t="s">
        <v>1643</v>
      </c>
      <c r="D307" t="s">
        <v>1644</v>
      </c>
      <c r="E307">
        <v>44622</v>
      </c>
    </row>
    <row r="308" spans="1:5">
      <c r="A308">
        <v>220306</v>
      </c>
      <c r="B308" t="s">
        <v>178</v>
      </c>
      <c r="C308" t="s">
        <v>1645</v>
      </c>
      <c r="D308" t="s">
        <v>1646</v>
      </c>
      <c r="E308">
        <v>44622</v>
      </c>
    </row>
    <row r="309" spans="1:5">
      <c r="A309">
        <v>220107</v>
      </c>
      <c r="B309" t="s">
        <v>239</v>
      </c>
      <c r="C309" t="s">
        <v>1555</v>
      </c>
      <c r="D309" t="s">
        <v>1556</v>
      </c>
      <c r="E309">
        <v>44567</v>
      </c>
    </row>
    <row r="310" spans="1:5">
      <c r="A310">
        <v>220309</v>
      </c>
      <c r="B310" t="s">
        <v>1593</v>
      </c>
      <c r="C310" t="s">
        <v>37</v>
      </c>
      <c r="D310" t="s">
        <v>38</v>
      </c>
      <c r="E310">
        <v>44627</v>
      </c>
    </row>
    <row r="311" spans="1:5">
      <c r="A311">
        <v>220310</v>
      </c>
      <c r="B311" t="s">
        <v>76</v>
      </c>
      <c r="C311" t="s">
        <v>1344</v>
      </c>
      <c r="D311" t="s">
        <v>1647</v>
      </c>
      <c r="E311">
        <v>44628</v>
      </c>
    </row>
    <row r="312" spans="1:5">
      <c r="A312">
        <v>220311</v>
      </c>
      <c r="B312" t="s">
        <v>1130</v>
      </c>
      <c r="C312" t="s">
        <v>1648</v>
      </c>
      <c r="D312" t="s">
        <v>1649</v>
      </c>
      <c r="E312">
        <v>44628</v>
      </c>
    </row>
    <row r="313" spans="1:5">
      <c r="A313">
        <v>220312</v>
      </c>
      <c r="B313" t="s">
        <v>1130</v>
      </c>
      <c r="C313" t="s">
        <v>1650</v>
      </c>
      <c r="D313" t="s">
        <v>1651</v>
      </c>
      <c r="E313">
        <v>44628</v>
      </c>
    </row>
    <row r="314" spans="1:5">
      <c r="A314">
        <v>220313</v>
      </c>
      <c r="B314" t="s">
        <v>1130</v>
      </c>
      <c r="C314" t="s">
        <v>1652</v>
      </c>
      <c r="D314" t="s">
        <v>1653</v>
      </c>
      <c r="E314">
        <v>44628</v>
      </c>
    </row>
    <row r="315" spans="1:5">
      <c r="A315">
        <v>220315</v>
      </c>
      <c r="B315" t="s">
        <v>1192</v>
      </c>
      <c r="C315" t="s">
        <v>1654</v>
      </c>
      <c r="D315" t="s">
        <v>1655</v>
      </c>
      <c r="E315">
        <v>44634</v>
      </c>
    </row>
    <row r="316" spans="1:5">
      <c r="A316">
        <v>220317</v>
      </c>
      <c r="B316" t="s">
        <v>178</v>
      </c>
      <c r="C316" t="s">
        <v>35</v>
      </c>
      <c r="D316" t="s">
        <v>959</v>
      </c>
      <c r="E316">
        <v>44637</v>
      </c>
    </row>
    <row r="317" spans="1:5">
      <c r="A317">
        <v>220316</v>
      </c>
      <c r="B317" t="s">
        <v>211</v>
      </c>
      <c r="C317" t="s">
        <v>1656</v>
      </c>
      <c r="D317" t="s">
        <v>1657</v>
      </c>
      <c r="E317">
        <v>44637</v>
      </c>
    </row>
    <row r="318" spans="1:5">
      <c r="A318">
        <v>220318</v>
      </c>
      <c r="B318" t="s">
        <v>178</v>
      </c>
      <c r="C318" t="s">
        <v>1658</v>
      </c>
      <c r="D318" t="s">
        <v>1659</v>
      </c>
      <c r="E318">
        <v>44637</v>
      </c>
    </row>
    <row r="319" spans="1:5">
      <c r="A319">
        <v>220319</v>
      </c>
      <c r="B319" t="s">
        <v>211</v>
      </c>
      <c r="C319" t="s">
        <v>1660</v>
      </c>
      <c r="D319" t="s">
        <v>1661</v>
      </c>
      <c r="E319">
        <v>44637</v>
      </c>
    </row>
    <row r="320" spans="1:5">
      <c r="A320">
        <v>220320</v>
      </c>
      <c r="B320" t="s">
        <v>1116</v>
      </c>
      <c r="C320" t="s">
        <v>1051</v>
      </c>
      <c r="D320" t="s">
        <v>1052</v>
      </c>
      <c r="E320">
        <v>44638</v>
      </c>
    </row>
    <row r="321" spans="1:5">
      <c r="A321">
        <v>220108</v>
      </c>
      <c r="B321" t="s">
        <v>239</v>
      </c>
      <c r="C321" t="s">
        <v>1559</v>
      </c>
      <c r="D321" t="s">
        <v>1560</v>
      </c>
      <c r="E321">
        <v>44970</v>
      </c>
    </row>
    <row r="322" spans="1:5">
      <c r="A322">
        <v>220322</v>
      </c>
      <c r="B322" t="s">
        <v>1183</v>
      </c>
      <c r="C322" t="s">
        <v>1662</v>
      </c>
      <c r="D322" t="s">
        <v>1663</v>
      </c>
      <c r="E322">
        <v>44643</v>
      </c>
    </row>
    <row r="323" spans="1:5">
      <c r="A323">
        <v>220323</v>
      </c>
      <c r="B323" t="s">
        <v>211</v>
      </c>
      <c r="C323" t="s">
        <v>1664</v>
      </c>
      <c r="D323" t="s">
        <v>1665</v>
      </c>
      <c r="E323">
        <v>44645</v>
      </c>
    </row>
    <row r="324" spans="1:5">
      <c r="A324">
        <v>220324</v>
      </c>
      <c r="B324" t="s">
        <v>1130</v>
      </c>
      <c r="C324" t="s">
        <v>1666</v>
      </c>
      <c r="D324" t="s">
        <v>1667</v>
      </c>
      <c r="E324">
        <v>44649</v>
      </c>
    </row>
    <row r="325" spans="1:5">
      <c r="A325">
        <v>220325</v>
      </c>
      <c r="B325" t="s">
        <v>178</v>
      </c>
      <c r="C325" t="s">
        <v>1668</v>
      </c>
      <c r="D325" t="s">
        <v>1669</v>
      </c>
      <c r="E325">
        <v>44649</v>
      </c>
    </row>
    <row r="326" spans="1:5">
      <c r="A326">
        <v>220326</v>
      </c>
      <c r="B326" t="s">
        <v>1255</v>
      </c>
      <c r="C326" t="s">
        <v>1670</v>
      </c>
      <c r="D326" t="s">
        <v>1671</v>
      </c>
      <c r="E326">
        <v>44650</v>
      </c>
    </row>
    <row r="327" spans="1:5">
      <c r="A327">
        <v>220327</v>
      </c>
      <c r="B327" t="s">
        <v>178</v>
      </c>
      <c r="C327" t="s">
        <v>1672</v>
      </c>
      <c r="D327" t="s">
        <v>1673</v>
      </c>
      <c r="E327">
        <v>44651</v>
      </c>
    </row>
    <row r="328" spans="1:5">
      <c r="A328">
        <v>220401</v>
      </c>
      <c r="B328" t="s">
        <v>178</v>
      </c>
      <c r="C328" t="s">
        <v>1674</v>
      </c>
      <c r="D328" t="s">
        <v>1675</v>
      </c>
      <c r="E328">
        <v>44655</v>
      </c>
    </row>
    <row r="329" spans="1:5">
      <c r="A329">
        <v>220402</v>
      </c>
      <c r="B329" t="s">
        <v>1676</v>
      </c>
      <c r="C329" t="s">
        <v>1677</v>
      </c>
      <c r="D329" t="s">
        <v>1678</v>
      </c>
      <c r="E329">
        <v>44655</v>
      </c>
    </row>
    <row r="330" spans="1:5">
      <c r="A330">
        <v>220403</v>
      </c>
      <c r="B330" t="s">
        <v>1130</v>
      </c>
      <c r="C330" t="s">
        <v>1679</v>
      </c>
      <c r="D330" t="s">
        <v>1680</v>
      </c>
      <c r="E330">
        <v>44658</v>
      </c>
    </row>
    <row r="331" spans="1:5">
      <c r="A331">
        <v>220406</v>
      </c>
      <c r="B331" t="s">
        <v>178</v>
      </c>
      <c r="C331" t="s">
        <v>46</v>
      </c>
      <c r="D331" t="s">
        <v>47</v>
      </c>
      <c r="E331">
        <v>44659</v>
      </c>
    </row>
    <row r="332" spans="1:5">
      <c r="A332">
        <v>220404</v>
      </c>
      <c r="B332" t="s">
        <v>1106</v>
      </c>
      <c r="C332" t="s">
        <v>1681</v>
      </c>
      <c r="D332" t="s">
        <v>1682</v>
      </c>
      <c r="E332">
        <v>44659</v>
      </c>
    </row>
    <row r="333" spans="1:5">
      <c r="A333">
        <v>220405</v>
      </c>
      <c r="B333" t="s">
        <v>178</v>
      </c>
      <c r="C333" t="s">
        <v>1683</v>
      </c>
      <c r="D333" t="s">
        <v>1684</v>
      </c>
      <c r="E333">
        <v>44659</v>
      </c>
    </row>
    <row r="334" spans="1:5">
      <c r="A334">
        <v>220407</v>
      </c>
      <c r="B334" t="s">
        <v>50</v>
      </c>
      <c r="C334" t="s">
        <v>1685</v>
      </c>
      <c r="D334" t="s">
        <v>1686</v>
      </c>
      <c r="E334">
        <v>44663</v>
      </c>
    </row>
    <row r="335" spans="1:5">
      <c r="A335">
        <v>220307</v>
      </c>
      <c r="B335" t="s">
        <v>1096</v>
      </c>
      <c r="C335" t="s">
        <v>1687</v>
      </c>
      <c r="D335" t="s">
        <v>1688</v>
      </c>
      <c r="E335">
        <v>44664</v>
      </c>
    </row>
    <row r="336" spans="1:5">
      <c r="A336">
        <v>220408</v>
      </c>
      <c r="B336" t="s">
        <v>211</v>
      </c>
      <c r="C336" t="s">
        <v>1689</v>
      </c>
      <c r="D336" t="s">
        <v>1690</v>
      </c>
      <c r="E336">
        <v>44664</v>
      </c>
    </row>
    <row r="337" spans="1:5">
      <c r="A337">
        <v>220410</v>
      </c>
      <c r="B337" t="s">
        <v>1593</v>
      </c>
      <c r="C337" t="s">
        <v>1691</v>
      </c>
      <c r="D337" t="s">
        <v>1692</v>
      </c>
      <c r="E337">
        <v>44665</v>
      </c>
    </row>
    <row r="338" spans="1:5">
      <c r="A338">
        <v>220411</v>
      </c>
      <c r="B338" t="s">
        <v>1130</v>
      </c>
      <c r="C338" t="s">
        <v>1693</v>
      </c>
      <c r="D338" t="s">
        <v>1694</v>
      </c>
      <c r="E338">
        <v>44669</v>
      </c>
    </row>
    <row r="339" spans="1:5">
      <c r="A339">
        <v>220412</v>
      </c>
      <c r="B339" t="s">
        <v>1130</v>
      </c>
      <c r="C339" t="s">
        <v>1695</v>
      </c>
      <c r="D339" t="s">
        <v>1696</v>
      </c>
      <c r="E339">
        <v>44669</v>
      </c>
    </row>
    <row r="340" spans="1:5">
      <c r="A340">
        <v>220413</v>
      </c>
      <c r="B340" t="s">
        <v>50</v>
      </c>
      <c r="C340" t="s">
        <v>51</v>
      </c>
      <c r="D340" t="s">
        <v>52</v>
      </c>
      <c r="E340">
        <v>44670</v>
      </c>
    </row>
    <row r="341" spans="1:5">
      <c r="A341">
        <v>220414</v>
      </c>
      <c r="B341" t="s">
        <v>50</v>
      </c>
      <c r="C341" t="s">
        <v>1697</v>
      </c>
      <c r="D341" t="s">
        <v>1698</v>
      </c>
      <c r="E341">
        <v>44671</v>
      </c>
    </row>
    <row r="342" spans="1:5">
      <c r="A342">
        <v>220415</v>
      </c>
      <c r="B342" t="s">
        <v>1130</v>
      </c>
      <c r="C342" t="s">
        <v>1699</v>
      </c>
      <c r="D342" t="s">
        <v>1700</v>
      </c>
      <c r="E342">
        <v>44673</v>
      </c>
    </row>
    <row r="343" spans="1:5">
      <c r="A343">
        <v>220416</v>
      </c>
      <c r="B343" t="s">
        <v>1593</v>
      </c>
      <c r="C343" t="s">
        <v>1701</v>
      </c>
      <c r="D343" t="s">
        <v>1702</v>
      </c>
      <c r="E343">
        <v>44676</v>
      </c>
    </row>
    <row r="344" spans="1:5">
      <c r="A344">
        <v>220502</v>
      </c>
      <c r="B344" t="s">
        <v>178</v>
      </c>
      <c r="C344" t="s">
        <v>48</v>
      </c>
      <c r="D344" t="s">
        <v>49</v>
      </c>
      <c r="E344">
        <v>44690</v>
      </c>
    </row>
    <row r="345" spans="1:5">
      <c r="A345">
        <v>220501</v>
      </c>
      <c r="B345" t="s">
        <v>76</v>
      </c>
      <c r="C345" t="s">
        <v>1703</v>
      </c>
      <c r="D345" t="s">
        <v>1704</v>
      </c>
      <c r="E345">
        <v>44690</v>
      </c>
    </row>
    <row r="346" spans="1:5">
      <c r="A346">
        <v>230910</v>
      </c>
      <c r="B346" t="s">
        <v>1705</v>
      </c>
      <c r="C346" t="s">
        <v>378</v>
      </c>
      <c r="D346" t="s">
        <v>379</v>
      </c>
      <c r="E346">
        <v>45719</v>
      </c>
    </row>
    <row r="347" spans="1:5">
      <c r="A347">
        <v>220503</v>
      </c>
      <c r="B347" t="s">
        <v>1103</v>
      </c>
      <c r="C347" t="s">
        <v>67</v>
      </c>
      <c r="D347" t="s">
        <v>68</v>
      </c>
      <c r="E347">
        <v>44690</v>
      </c>
    </row>
    <row r="348" spans="1:5">
      <c r="A348">
        <v>220505</v>
      </c>
      <c r="B348" t="s">
        <v>1103</v>
      </c>
      <c r="C348" t="s">
        <v>65</v>
      </c>
      <c r="D348" t="s">
        <v>66</v>
      </c>
      <c r="E348">
        <v>44690</v>
      </c>
    </row>
    <row r="349" spans="1:5">
      <c r="A349">
        <v>220506</v>
      </c>
      <c r="B349" t="s">
        <v>1130</v>
      </c>
      <c r="C349" t="s">
        <v>1706</v>
      </c>
      <c r="D349" t="s">
        <v>1707</v>
      </c>
      <c r="E349">
        <v>44691</v>
      </c>
    </row>
    <row r="350" spans="1:5">
      <c r="A350">
        <v>220507</v>
      </c>
      <c r="B350" t="s">
        <v>76</v>
      </c>
      <c r="C350" t="s">
        <v>1708</v>
      </c>
      <c r="D350" t="s">
        <v>1709</v>
      </c>
      <c r="E350">
        <v>44691</v>
      </c>
    </row>
    <row r="351" spans="1:5">
      <c r="A351">
        <v>220508</v>
      </c>
      <c r="B351" t="s">
        <v>1130</v>
      </c>
      <c r="C351" t="s">
        <v>72</v>
      </c>
      <c r="D351" t="s">
        <v>73</v>
      </c>
      <c r="E351">
        <v>44691</v>
      </c>
    </row>
    <row r="352" spans="1:5">
      <c r="A352">
        <v>220509</v>
      </c>
      <c r="B352" t="s">
        <v>1593</v>
      </c>
      <c r="C352" t="s">
        <v>1710</v>
      </c>
      <c r="D352" t="s">
        <v>1711</v>
      </c>
      <c r="E352">
        <v>44692</v>
      </c>
    </row>
    <row r="353" spans="1:5">
      <c r="A353">
        <v>220510</v>
      </c>
      <c r="B353" t="s">
        <v>1103</v>
      </c>
      <c r="C353" t="s">
        <v>1712</v>
      </c>
      <c r="D353" t="s">
        <v>1713</v>
      </c>
      <c r="E353">
        <v>44692</v>
      </c>
    </row>
    <row r="354" spans="1:5">
      <c r="A354">
        <v>220915</v>
      </c>
      <c r="B354" t="s">
        <v>1705</v>
      </c>
      <c r="C354" t="s">
        <v>392</v>
      </c>
      <c r="D354" t="s">
        <v>393</v>
      </c>
      <c r="E354">
        <v>44823</v>
      </c>
    </row>
    <row r="355" spans="1:5">
      <c r="A355">
        <v>220512</v>
      </c>
      <c r="B355" t="s">
        <v>178</v>
      </c>
      <c r="C355" t="s">
        <v>1714</v>
      </c>
      <c r="D355" t="s">
        <v>1715</v>
      </c>
      <c r="E355">
        <v>44693</v>
      </c>
    </row>
    <row r="356" spans="1:5">
      <c r="A356">
        <v>220513</v>
      </c>
      <c r="B356" t="s">
        <v>178</v>
      </c>
      <c r="C356" t="s">
        <v>1716</v>
      </c>
      <c r="D356" t="s">
        <v>1717</v>
      </c>
      <c r="E356">
        <v>44693</v>
      </c>
    </row>
    <row r="357" spans="1:5">
      <c r="A357">
        <v>220514</v>
      </c>
      <c r="B357" t="s">
        <v>178</v>
      </c>
      <c r="C357" t="s">
        <v>1718</v>
      </c>
      <c r="D357" t="s">
        <v>1719</v>
      </c>
      <c r="E357">
        <v>44693</v>
      </c>
    </row>
    <row r="358" spans="1:5">
      <c r="A358">
        <v>220516</v>
      </c>
      <c r="B358" t="s">
        <v>1106</v>
      </c>
      <c r="C358" t="s">
        <v>1720</v>
      </c>
      <c r="D358" t="s">
        <v>1721</v>
      </c>
      <c r="E358">
        <v>44693</v>
      </c>
    </row>
    <row r="359" spans="1:5">
      <c r="A359">
        <v>220515</v>
      </c>
      <c r="B359" t="s">
        <v>1106</v>
      </c>
      <c r="C359" t="s">
        <v>59</v>
      </c>
      <c r="D359" t="s">
        <v>60</v>
      </c>
      <c r="E359">
        <v>44693</v>
      </c>
    </row>
    <row r="360" spans="1:5">
      <c r="A360">
        <v>220517</v>
      </c>
      <c r="B360" t="s">
        <v>1130</v>
      </c>
      <c r="C360" t="s">
        <v>1722</v>
      </c>
      <c r="D360" t="s">
        <v>1723</v>
      </c>
      <c r="E360">
        <v>44694</v>
      </c>
    </row>
    <row r="361" spans="1:5">
      <c r="A361">
        <v>220518</v>
      </c>
      <c r="B361" t="s">
        <v>1518</v>
      </c>
      <c r="C361" t="s">
        <v>1724</v>
      </c>
      <c r="D361" t="s">
        <v>1725</v>
      </c>
      <c r="E361">
        <v>44704</v>
      </c>
    </row>
    <row r="362" spans="1:5">
      <c r="A362">
        <v>220519</v>
      </c>
      <c r="B362" t="s">
        <v>1096</v>
      </c>
      <c r="C362" t="s">
        <v>1726</v>
      </c>
      <c r="D362" t="s">
        <v>1727</v>
      </c>
      <c r="E362">
        <v>44704</v>
      </c>
    </row>
    <row r="363" spans="1:5">
      <c r="A363">
        <v>220520</v>
      </c>
      <c r="B363" t="s">
        <v>1183</v>
      </c>
      <c r="C363" t="s">
        <v>1728</v>
      </c>
      <c r="D363" t="s">
        <v>1729</v>
      </c>
      <c r="E363">
        <v>44705</v>
      </c>
    </row>
    <row r="364" spans="1:5">
      <c r="A364">
        <v>220521</v>
      </c>
      <c r="B364" t="s">
        <v>76</v>
      </c>
      <c r="C364" t="s">
        <v>77</v>
      </c>
      <c r="D364" t="s">
        <v>78</v>
      </c>
      <c r="E364">
        <v>44706</v>
      </c>
    </row>
    <row r="365" spans="1:5">
      <c r="A365">
        <v>220522</v>
      </c>
      <c r="B365" t="s">
        <v>1130</v>
      </c>
      <c r="C365" t="s">
        <v>35</v>
      </c>
      <c r="D365" t="s">
        <v>70</v>
      </c>
      <c r="E365">
        <v>44707</v>
      </c>
    </row>
    <row r="366" spans="1:5">
      <c r="A366">
        <v>220523</v>
      </c>
      <c r="B366" t="s">
        <v>1262</v>
      </c>
      <c r="C366" t="s">
        <v>1730</v>
      </c>
      <c r="D366" t="s">
        <v>1731</v>
      </c>
      <c r="E366">
        <v>44708</v>
      </c>
    </row>
    <row r="367" spans="1:5">
      <c r="A367">
        <v>220524</v>
      </c>
      <c r="B367" t="s">
        <v>1518</v>
      </c>
      <c r="C367" t="s">
        <v>80</v>
      </c>
      <c r="D367" t="s">
        <v>81</v>
      </c>
      <c r="E367">
        <v>44708</v>
      </c>
    </row>
    <row r="368" spans="1:5">
      <c r="A368">
        <v>220525</v>
      </c>
      <c r="B368" t="s">
        <v>76</v>
      </c>
      <c r="C368" t="s">
        <v>1732</v>
      </c>
      <c r="D368" t="s">
        <v>1733</v>
      </c>
      <c r="E368">
        <v>44711</v>
      </c>
    </row>
    <row r="369" spans="1:5">
      <c r="A369">
        <v>210315</v>
      </c>
      <c r="B369" t="s">
        <v>1255</v>
      </c>
      <c r="C369" t="s">
        <v>99</v>
      </c>
      <c r="D369" t="s">
        <v>100</v>
      </c>
      <c r="E369">
        <v>44712</v>
      </c>
    </row>
    <row r="370" spans="1:5">
      <c r="A370">
        <v>220526</v>
      </c>
      <c r="B370" t="s">
        <v>1255</v>
      </c>
      <c r="C370" t="s">
        <v>97</v>
      </c>
      <c r="D370" t="s">
        <v>98</v>
      </c>
      <c r="E370">
        <v>44712</v>
      </c>
    </row>
    <row r="371" spans="1:5">
      <c r="A371">
        <v>210412</v>
      </c>
      <c r="B371" t="s">
        <v>239</v>
      </c>
      <c r="C371" t="s">
        <v>1249</v>
      </c>
      <c r="D371" t="s">
        <v>1250</v>
      </c>
      <c r="E371">
        <v>44713</v>
      </c>
    </row>
    <row r="372" spans="1:5">
      <c r="A372">
        <v>210710</v>
      </c>
      <c r="B372" t="s">
        <v>239</v>
      </c>
      <c r="C372" t="s">
        <v>1352</v>
      </c>
      <c r="D372" t="s">
        <v>1353</v>
      </c>
      <c r="E372">
        <v>44713</v>
      </c>
    </row>
    <row r="373" spans="1:5">
      <c r="A373">
        <v>220601</v>
      </c>
      <c r="B373" t="s">
        <v>1106</v>
      </c>
      <c r="C373" t="s">
        <v>61</v>
      </c>
      <c r="D373" t="s">
        <v>62</v>
      </c>
      <c r="E373">
        <v>44713</v>
      </c>
    </row>
    <row r="374" spans="1:5">
      <c r="A374">
        <v>220602</v>
      </c>
      <c r="B374" t="s">
        <v>1106</v>
      </c>
      <c r="C374" t="s">
        <v>86</v>
      </c>
      <c r="D374" t="s">
        <v>87</v>
      </c>
      <c r="E374">
        <v>44713</v>
      </c>
    </row>
    <row r="375" spans="1:5">
      <c r="A375">
        <v>220603</v>
      </c>
      <c r="B375" t="s">
        <v>1106</v>
      </c>
      <c r="C375" t="s">
        <v>84</v>
      </c>
      <c r="D375" t="s">
        <v>85</v>
      </c>
      <c r="E375">
        <v>44713</v>
      </c>
    </row>
    <row r="376" spans="1:5">
      <c r="A376">
        <v>220605</v>
      </c>
      <c r="B376" t="s">
        <v>178</v>
      </c>
      <c r="C376" t="s">
        <v>26</v>
      </c>
      <c r="D376" t="s">
        <v>27</v>
      </c>
      <c r="E376">
        <v>44718</v>
      </c>
    </row>
    <row r="377" spans="1:5">
      <c r="A377">
        <v>220606</v>
      </c>
      <c r="B377" t="s">
        <v>178</v>
      </c>
      <c r="C377" t="s">
        <v>28</v>
      </c>
      <c r="D377" t="s">
        <v>29</v>
      </c>
      <c r="E377">
        <v>44718</v>
      </c>
    </row>
    <row r="378" spans="1:5">
      <c r="A378">
        <v>220604</v>
      </c>
      <c r="B378" t="s">
        <v>1130</v>
      </c>
      <c r="C378" t="s">
        <v>1734</v>
      </c>
      <c r="D378" t="s">
        <v>1735</v>
      </c>
      <c r="E378">
        <v>44718</v>
      </c>
    </row>
    <row r="379" spans="1:5">
      <c r="A379">
        <v>220607</v>
      </c>
      <c r="B379" t="s">
        <v>178</v>
      </c>
      <c r="C379" t="s">
        <v>1736</v>
      </c>
      <c r="D379" t="s">
        <v>1737</v>
      </c>
      <c r="E379">
        <v>44718</v>
      </c>
    </row>
    <row r="380" spans="1:5">
      <c r="A380">
        <v>220608</v>
      </c>
      <c r="B380" t="s">
        <v>76</v>
      </c>
      <c r="C380" t="s">
        <v>1738</v>
      </c>
      <c r="D380" t="s">
        <v>1739</v>
      </c>
      <c r="E380">
        <v>44725</v>
      </c>
    </row>
    <row r="381" spans="1:5">
      <c r="A381">
        <v>220610</v>
      </c>
      <c r="B381" t="s">
        <v>1495</v>
      </c>
      <c r="C381" t="s">
        <v>1740</v>
      </c>
      <c r="D381" t="s">
        <v>1741</v>
      </c>
      <c r="E381">
        <v>44725</v>
      </c>
    </row>
    <row r="382" spans="1:5">
      <c r="A382">
        <v>220611</v>
      </c>
      <c r="B382" t="s">
        <v>50</v>
      </c>
      <c r="C382" t="s">
        <v>82</v>
      </c>
      <c r="D382" t="s">
        <v>1383</v>
      </c>
      <c r="E382">
        <v>44725</v>
      </c>
    </row>
    <row r="383" spans="1:5">
      <c r="A383">
        <v>220609</v>
      </c>
      <c r="B383" t="s">
        <v>1183</v>
      </c>
      <c r="C383" t="s">
        <v>89</v>
      </c>
      <c r="D383" t="s">
        <v>90</v>
      </c>
      <c r="E383">
        <v>44725</v>
      </c>
    </row>
    <row r="384" spans="1:5">
      <c r="A384">
        <v>220612</v>
      </c>
      <c r="B384" t="s">
        <v>211</v>
      </c>
      <c r="C384" t="s">
        <v>1742</v>
      </c>
      <c r="D384" t="s">
        <v>1743</v>
      </c>
      <c r="E384">
        <v>44726</v>
      </c>
    </row>
    <row r="385" spans="1:5">
      <c r="A385">
        <v>220613</v>
      </c>
      <c r="B385" t="s">
        <v>1130</v>
      </c>
      <c r="C385" t="s">
        <v>1744</v>
      </c>
      <c r="D385" t="s">
        <v>1745</v>
      </c>
      <c r="E385">
        <v>44726</v>
      </c>
    </row>
    <row r="386" spans="1:5">
      <c r="A386">
        <v>220614</v>
      </c>
      <c r="B386" t="s">
        <v>1130</v>
      </c>
      <c r="C386" t="s">
        <v>1746</v>
      </c>
      <c r="D386" t="s">
        <v>1747</v>
      </c>
      <c r="E386">
        <v>44726</v>
      </c>
    </row>
    <row r="387" spans="1:5">
      <c r="A387">
        <v>220615</v>
      </c>
      <c r="B387" t="s">
        <v>1593</v>
      </c>
      <c r="C387" t="s">
        <v>1748</v>
      </c>
      <c r="D387" t="s">
        <v>1749</v>
      </c>
      <c r="E387">
        <v>44727</v>
      </c>
    </row>
    <row r="388" spans="1:5">
      <c r="A388">
        <v>220717</v>
      </c>
      <c r="B388" t="s">
        <v>178</v>
      </c>
      <c r="C388" t="s">
        <v>1750</v>
      </c>
      <c r="D388" t="s">
        <v>1751</v>
      </c>
      <c r="E388">
        <v>44727</v>
      </c>
    </row>
    <row r="389" spans="1:5">
      <c r="A389">
        <v>210704</v>
      </c>
      <c r="B389" t="s">
        <v>1255</v>
      </c>
      <c r="C389" t="s">
        <v>1340</v>
      </c>
      <c r="D389" t="s">
        <v>1341</v>
      </c>
      <c r="E389">
        <v>44732</v>
      </c>
    </row>
    <row r="390" spans="1:5">
      <c r="A390">
        <v>220616</v>
      </c>
      <c r="B390" t="s">
        <v>50</v>
      </c>
      <c r="C390" t="s">
        <v>1752</v>
      </c>
      <c r="D390" t="s">
        <v>1753</v>
      </c>
      <c r="E390">
        <v>44735</v>
      </c>
    </row>
    <row r="391" spans="1:5">
      <c r="A391">
        <v>220702</v>
      </c>
      <c r="B391" t="s">
        <v>178</v>
      </c>
      <c r="C391" t="s">
        <v>101</v>
      </c>
      <c r="D391" t="s">
        <v>102</v>
      </c>
      <c r="E391">
        <v>44743</v>
      </c>
    </row>
    <row r="392" spans="1:5">
      <c r="A392">
        <v>220701</v>
      </c>
      <c r="B392" t="s">
        <v>1255</v>
      </c>
      <c r="C392" t="s">
        <v>1754</v>
      </c>
      <c r="D392" t="s">
        <v>1755</v>
      </c>
      <c r="E392">
        <v>44743</v>
      </c>
    </row>
    <row r="393" spans="1:5">
      <c r="A393">
        <v>220703</v>
      </c>
      <c r="B393" t="s">
        <v>1079</v>
      </c>
      <c r="C393" t="s">
        <v>1756</v>
      </c>
      <c r="D393" t="s">
        <v>1757</v>
      </c>
      <c r="E393">
        <v>44743</v>
      </c>
    </row>
    <row r="394" spans="1:5">
      <c r="A394">
        <v>220704</v>
      </c>
      <c r="B394" t="s">
        <v>1130</v>
      </c>
      <c r="C394" t="s">
        <v>1758</v>
      </c>
      <c r="D394" t="s">
        <v>1759</v>
      </c>
      <c r="E394">
        <v>44750</v>
      </c>
    </row>
    <row r="395" spans="1:5">
      <c r="A395">
        <v>220705</v>
      </c>
      <c r="B395" t="s">
        <v>76</v>
      </c>
      <c r="C395" t="s">
        <v>1760</v>
      </c>
      <c r="D395" t="s">
        <v>1761</v>
      </c>
      <c r="E395">
        <v>44753</v>
      </c>
    </row>
    <row r="396" spans="1:5">
      <c r="A396">
        <v>220706</v>
      </c>
      <c r="B396" t="s">
        <v>1106</v>
      </c>
      <c r="C396" t="s">
        <v>1762</v>
      </c>
      <c r="D396" t="s">
        <v>1763</v>
      </c>
      <c r="E396">
        <v>44760</v>
      </c>
    </row>
    <row r="397" spans="1:5">
      <c r="A397">
        <v>210422</v>
      </c>
      <c r="B397" t="s">
        <v>1255</v>
      </c>
      <c r="C397" t="s">
        <v>1272</v>
      </c>
      <c r="D397" t="s">
        <v>1273</v>
      </c>
      <c r="E397">
        <v>44761</v>
      </c>
    </row>
    <row r="398" spans="1:5">
      <c r="A398">
        <v>220709</v>
      </c>
      <c r="B398" t="s">
        <v>178</v>
      </c>
      <c r="C398" t="s">
        <v>111</v>
      </c>
      <c r="D398" t="s">
        <v>112</v>
      </c>
      <c r="E398">
        <v>44762</v>
      </c>
    </row>
    <row r="399" spans="1:5">
      <c r="A399">
        <v>220710</v>
      </c>
      <c r="B399" t="s">
        <v>178</v>
      </c>
      <c r="C399" t="s">
        <v>109</v>
      </c>
      <c r="D399" t="s">
        <v>110</v>
      </c>
      <c r="E399">
        <v>44762</v>
      </c>
    </row>
    <row r="400" spans="1:5">
      <c r="A400">
        <v>220711</v>
      </c>
      <c r="B400" t="s">
        <v>178</v>
      </c>
      <c r="C400" t="s">
        <v>113</v>
      </c>
      <c r="D400" t="s">
        <v>114</v>
      </c>
      <c r="E400">
        <v>44762</v>
      </c>
    </row>
    <row r="401" spans="1:5">
      <c r="A401">
        <v>220712</v>
      </c>
      <c r="B401" t="s">
        <v>178</v>
      </c>
      <c r="C401" t="s">
        <v>105</v>
      </c>
      <c r="D401" t="s">
        <v>106</v>
      </c>
      <c r="E401">
        <v>44762</v>
      </c>
    </row>
    <row r="402" spans="1:5">
      <c r="A402">
        <v>220714</v>
      </c>
      <c r="B402" t="s">
        <v>178</v>
      </c>
      <c r="C402" t="s">
        <v>107</v>
      </c>
      <c r="D402" t="s">
        <v>108</v>
      </c>
      <c r="E402">
        <v>44762</v>
      </c>
    </row>
    <row r="403" spans="1:5">
      <c r="A403">
        <v>220708</v>
      </c>
      <c r="B403" t="s">
        <v>178</v>
      </c>
      <c r="C403" t="s">
        <v>1764</v>
      </c>
      <c r="D403" t="s">
        <v>1765</v>
      </c>
      <c r="E403">
        <v>44762</v>
      </c>
    </row>
    <row r="404" spans="1:5">
      <c r="A404">
        <v>220713</v>
      </c>
      <c r="B404" t="s">
        <v>178</v>
      </c>
      <c r="C404" t="s">
        <v>1766</v>
      </c>
      <c r="D404" t="s">
        <v>1767</v>
      </c>
      <c r="E404">
        <v>44762</v>
      </c>
    </row>
    <row r="405" spans="1:5">
      <c r="A405">
        <v>220715</v>
      </c>
      <c r="B405" t="s">
        <v>178</v>
      </c>
      <c r="C405" t="s">
        <v>122</v>
      </c>
      <c r="D405" t="s">
        <v>123</v>
      </c>
      <c r="E405">
        <v>44762</v>
      </c>
    </row>
    <row r="406" spans="1:5">
      <c r="A406">
        <v>220707</v>
      </c>
      <c r="B406" t="s">
        <v>1130</v>
      </c>
      <c r="C406" t="s">
        <v>55</v>
      </c>
      <c r="D406" t="s">
        <v>56</v>
      </c>
      <c r="E406">
        <v>44762</v>
      </c>
    </row>
    <row r="407" spans="1:5">
      <c r="A407">
        <v>220716</v>
      </c>
      <c r="B407" t="s">
        <v>178</v>
      </c>
      <c r="C407" t="s">
        <v>1768</v>
      </c>
      <c r="D407" t="s">
        <v>1769</v>
      </c>
      <c r="E407">
        <v>44767</v>
      </c>
    </row>
    <row r="408" spans="1:5">
      <c r="A408">
        <v>220718</v>
      </c>
      <c r="B408" t="s">
        <v>76</v>
      </c>
      <c r="C408" t="s">
        <v>1770</v>
      </c>
      <c r="D408" t="s">
        <v>91</v>
      </c>
      <c r="E408">
        <v>44767</v>
      </c>
    </row>
    <row r="409" spans="1:5">
      <c r="A409">
        <v>220719</v>
      </c>
      <c r="B409" t="s">
        <v>264</v>
      </c>
      <c r="C409" t="s">
        <v>1771</v>
      </c>
      <c r="D409" t="s">
        <v>1772</v>
      </c>
      <c r="E409">
        <v>44770</v>
      </c>
    </row>
    <row r="410" spans="1:5">
      <c r="A410">
        <v>220801</v>
      </c>
      <c r="B410" t="s">
        <v>50</v>
      </c>
      <c r="C410" t="s">
        <v>209</v>
      </c>
      <c r="D410" t="s">
        <v>210</v>
      </c>
      <c r="E410">
        <v>44775</v>
      </c>
    </row>
    <row r="411" spans="1:5">
      <c r="A411">
        <v>220802</v>
      </c>
      <c r="B411" t="s">
        <v>1773</v>
      </c>
      <c r="C411" t="s">
        <v>53</v>
      </c>
      <c r="D411" t="s">
        <v>54</v>
      </c>
      <c r="E411">
        <v>44775</v>
      </c>
    </row>
    <row r="412" spans="1:5">
      <c r="A412">
        <v>220812</v>
      </c>
      <c r="B412" t="s">
        <v>178</v>
      </c>
      <c r="C412" t="s">
        <v>155</v>
      </c>
      <c r="D412" t="s">
        <v>156</v>
      </c>
      <c r="E412">
        <v>44776</v>
      </c>
    </row>
    <row r="413" spans="1:5">
      <c r="A413">
        <v>220813</v>
      </c>
      <c r="B413" t="s">
        <v>178</v>
      </c>
      <c r="C413" t="s">
        <v>1774</v>
      </c>
      <c r="D413" t="s">
        <v>1775</v>
      </c>
      <c r="E413">
        <v>44776</v>
      </c>
    </row>
    <row r="414" spans="1:5">
      <c r="A414">
        <v>220803</v>
      </c>
      <c r="B414" t="s">
        <v>1079</v>
      </c>
      <c r="C414" t="s">
        <v>1776</v>
      </c>
      <c r="D414" t="s">
        <v>1777</v>
      </c>
      <c r="E414">
        <v>44795</v>
      </c>
    </row>
    <row r="415" spans="1:5">
      <c r="A415">
        <v>220804</v>
      </c>
      <c r="B415" t="s">
        <v>1096</v>
      </c>
      <c r="C415" t="s">
        <v>1778</v>
      </c>
      <c r="D415" t="s">
        <v>1779</v>
      </c>
      <c r="E415">
        <v>44795</v>
      </c>
    </row>
    <row r="416" spans="1:5">
      <c r="A416">
        <v>220805</v>
      </c>
      <c r="B416" t="s">
        <v>1255</v>
      </c>
      <c r="C416" t="s">
        <v>1780</v>
      </c>
      <c r="D416" t="s">
        <v>1781</v>
      </c>
      <c r="E416">
        <v>44798</v>
      </c>
    </row>
    <row r="417" spans="1:5">
      <c r="A417">
        <v>220806</v>
      </c>
      <c r="B417" t="s">
        <v>178</v>
      </c>
      <c r="C417" t="s">
        <v>1782</v>
      </c>
      <c r="D417" t="s">
        <v>1783</v>
      </c>
      <c r="E417">
        <v>44798</v>
      </c>
    </row>
    <row r="418" spans="1:5">
      <c r="A418">
        <v>220807</v>
      </c>
      <c r="B418" t="s">
        <v>178</v>
      </c>
      <c r="C418" t="s">
        <v>1784</v>
      </c>
      <c r="D418" t="s">
        <v>1785</v>
      </c>
      <c r="E418">
        <v>44798</v>
      </c>
    </row>
    <row r="419" spans="1:5">
      <c r="A419">
        <v>220809</v>
      </c>
      <c r="B419" t="s">
        <v>1705</v>
      </c>
      <c r="C419" t="s">
        <v>1786</v>
      </c>
      <c r="D419" t="s">
        <v>1787</v>
      </c>
      <c r="E419">
        <v>44798</v>
      </c>
    </row>
    <row r="420" spans="1:5">
      <c r="A420">
        <v>220810</v>
      </c>
      <c r="B420" t="s">
        <v>1705</v>
      </c>
      <c r="C420" t="s">
        <v>1788</v>
      </c>
      <c r="D420" t="s">
        <v>1789</v>
      </c>
      <c r="E420">
        <v>44798</v>
      </c>
    </row>
    <row r="421" spans="1:5">
      <c r="A421">
        <v>220811</v>
      </c>
      <c r="B421" t="s">
        <v>1705</v>
      </c>
      <c r="C421" t="s">
        <v>1110</v>
      </c>
      <c r="D421" t="s">
        <v>1111</v>
      </c>
      <c r="E421">
        <v>44798</v>
      </c>
    </row>
    <row r="422" spans="1:5">
      <c r="A422">
        <v>220808</v>
      </c>
      <c r="B422" t="s">
        <v>1130</v>
      </c>
      <c r="C422" t="s">
        <v>1790</v>
      </c>
      <c r="D422" t="s">
        <v>1791</v>
      </c>
      <c r="E422">
        <v>44798</v>
      </c>
    </row>
    <row r="423" spans="1:5">
      <c r="A423">
        <v>220814</v>
      </c>
      <c r="B423" t="s">
        <v>1705</v>
      </c>
      <c r="C423" t="s">
        <v>1792</v>
      </c>
      <c r="D423" t="s">
        <v>1793</v>
      </c>
      <c r="E423">
        <v>44804</v>
      </c>
    </row>
    <row r="424" spans="1:5">
      <c r="A424">
        <v>220815</v>
      </c>
      <c r="B424" t="s">
        <v>1705</v>
      </c>
      <c r="C424" t="s">
        <v>1794</v>
      </c>
      <c r="D424" t="s">
        <v>1795</v>
      </c>
      <c r="E424">
        <v>44804</v>
      </c>
    </row>
    <row r="425" spans="1:5">
      <c r="A425">
        <v>220816</v>
      </c>
      <c r="B425" t="s">
        <v>1705</v>
      </c>
      <c r="C425" t="s">
        <v>1796</v>
      </c>
      <c r="D425" t="s">
        <v>1797</v>
      </c>
      <c r="E425">
        <v>44804</v>
      </c>
    </row>
    <row r="426" spans="1:5">
      <c r="A426">
        <v>220901</v>
      </c>
      <c r="B426" t="s">
        <v>1130</v>
      </c>
      <c r="C426" t="s">
        <v>1798</v>
      </c>
      <c r="D426" t="s">
        <v>1799</v>
      </c>
      <c r="E426">
        <v>44805</v>
      </c>
    </row>
    <row r="427" spans="1:5">
      <c r="A427">
        <v>220902</v>
      </c>
      <c r="B427" t="s">
        <v>1676</v>
      </c>
      <c r="C427" t="s">
        <v>1800</v>
      </c>
      <c r="D427" t="s">
        <v>1801</v>
      </c>
      <c r="E427">
        <v>44809</v>
      </c>
    </row>
    <row r="428" spans="1:5">
      <c r="A428">
        <v>220903</v>
      </c>
      <c r="B428" t="s">
        <v>76</v>
      </c>
      <c r="C428" t="s">
        <v>1802</v>
      </c>
      <c r="D428" t="s">
        <v>1803</v>
      </c>
      <c r="E428">
        <v>44810</v>
      </c>
    </row>
    <row r="429" spans="1:5">
      <c r="A429">
        <v>220904</v>
      </c>
      <c r="B429" t="s">
        <v>178</v>
      </c>
      <c r="C429" t="s">
        <v>30</v>
      </c>
      <c r="D429" t="s">
        <v>1804</v>
      </c>
      <c r="E429">
        <v>44812</v>
      </c>
    </row>
    <row r="430" spans="1:5">
      <c r="A430">
        <v>220905</v>
      </c>
      <c r="B430" t="s">
        <v>178</v>
      </c>
      <c r="C430" t="s">
        <v>1805</v>
      </c>
      <c r="D430" t="s">
        <v>1806</v>
      </c>
      <c r="E430">
        <v>44812</v>
      </c>
    </row>
    <row r="431" spans="1:5">
      <c r="A431">
        <v>220906</v>
      </c>
      <c r="B431" t="s">
        <v>178</v>
      </c>
      <c r="C431" t="s">
        <v>1807</v>
      </c>
      <c r="D431" t="s">
        <v>1808</v>
      </c>
      <c r="E431">
        <v>44812</v>
      </c>
    </row>
    <row r="432" spans="1:5">
      <c r="A432">
        <v>220907</v>
      </c>
      <c r="B432" t="s">
        <v>1106</v>
      </c>
      <c r="C432" t="s">
        <v>1809</v>
      </c>
      <c r="D432" t="s">
        <v>1810</v>
      </c>
      <c r="E432">
        <v>44816</v>
      </c>
    </row>
    <row r="433" spans="1:5">
      <c r="A433">
        <v>220908</v>
      </c>
      <c r="B433" t="s">
        <v>50</v>
      </c>
      <c r="C433" t="s">
        <v>150</v>
      </c>
      <c r="D433" t="s">
        <v>151</v>
      </c>
      <c r="E433">
        <v>44818</v>
      </c>
    </row>
    <row r="434" spans="1:5">
      <c r="A434">
        <v>220911</v>
      </c>
      <c r="B434" t="s">
        <v>50</v>
      </c>
      <c r="C434" t="s">
        <v>1811</v>
      </c>
      <c r="D434" t="s">
        <v>1812</v>
      </c>
      <c r="E434">
        <v>44818</v>
      </c>
    </row>
    <row r="435" spans="1:5">
      <c r="A435">
        <v>220912</v>
      </c>
      <c r="B435" t="s">
        <v>1705</v>
      </c>
      <c r="C435" t="s">
        <v>1813</v>
      </c>
      <c r="D435" t="s">
        <v>1814</v>
      </c>
      <c r="E435">
        <v>44818</v>
      </c>
    </row>
    <row r="436" spans="1:5">
      <c r="A436">
        <v>220913</v>
      </c>
      <c r="B436" t="s">
        <v>264</v>
      </c>
      <c r="C436" t="s">
        <v>1815</v>
      </c>
      <c r="D436" t="s">
        <v>1816</v>
      </c>
      <c r="E436">
        <v>44823</v>
      </c>
    </row>
    <row r="437" spans="1:5">
      <c r="A437">
        <v>220914</v>
      </c>
      <c r="B437" t="s">
        <v>1705</v>
      </c>
      <c r="C437" t="s">
        <v>1817</v>
      </c>
      <c r="D437" t="s">
        <v>1818</v>
      </c>
      <c r="E437">
        <v>44823</v>
      </c>
    </row>
    <row r="438" spans="1:5">
      <c r="A438">
        <v>221010</v>
      </c>
      <c r="B438" t="s">
        <v>1705</v>
      </c>
      <c r="C438" t="s">
        <v>168</v>
      </c>
      <c r="D438" t="s">
        <v>169</v>
      </c>
      <c r="E438">
        <v>45894</v>
      </c>
    </row>
    <row r="439" spans="1:5">
      <c r="A439">
        <v>220916</v>
      </c>
      <c r="B439" t="s">
        <v>50</v>
      </c>
      <c r="C439" t="s">
        <v>152</v>
      </c>
      <c r="D439" t="s">
        <v>153</v>
      </c>
      <c r="E439">
        <v>44825</v>
      </c>
    </row>
    <row r="440" spans="1:5">
      <c r="A440">
        <v>220917</v>
      </c>
      <c r="B440" t="s">
        <v>50</v>
      </c>
      <c r="C440" t="s">
        <v>1819</v>
      </c>
      <c r="D440" t="s">
        <v>1820</v>
      </c>
      <c r="E440">
        <v>44825</v>
      </c>
    </row>
    <row r="441" spans="1:5">
      <c r="A441">
        <v>220918</v>
      </c>
      <c r="B441" t="s">
        <v>178</v>
      </c>
      <c r="C441" t="s">
        <v>144</v>
      </c>
      <c r="D441" t="s">
        <v>145</v>
      </c>
      <c r="E441">
        <v>44827</v>
      </c>
    </row>
    <row r="442" spans="1:5">
      <c r="A442">
        <v>220919</v>
      </c>
      <c r="B442" t="s">
        <v>178</v>
      </c>
      <c r="C442" t="s">
        <v>146</v>
      </c>
      <c r="D442" t="s">
        <v>147</v>
      </c>
      <c r="E442">
        <v>44827</v>
      </c>
    </row>
    <row r="443" spans="1:5">
      <c r="A443">
        <v>220920</v>
      </c>
      <c r="B443" t="s">
        <v>178</v>
      </c>
      <c r="C443" t="s">
        <v>1821</v>
      </c>
      <c r="D443" t="s">
        <v>1822</v>
      </c>
      <c r="E443">
        <v>44827</v>
      </c>
    </row>
    <row r="444" spans="1:5">
      <c r="A444">
        <v>220921</v>
      </c>
      <c r="B444" t="s">
        <v>1079</v>
      </c>
      <c r="C444" t="s">
        <v>1823</v>
      </c>
      <c r="D444" t="s">
        <v>1824</v>
      </c>
      <c r="E444">
        <v>44830</v>
      </c>
    </row>
    <row r="445" spans="1:5">
      <c r="A445">
        <v>220922</v>
      </c>
      <c r="B445" t="s">
        <v>1705</v>
      </c>
      <c r="C445" t="s">
        <v>1825</v>
      </c>
      <c r="D445" t="s">
        <v>1826</v>
      </c>
      <c r="E445">
        <v>44830</v>
      </c>
    </row>
    <row r="446" spans="1:5">
      <c r="A446">
        <v>210306</v>
      </c>
      <c r="B446" t="s">
        <v>1255</v>
      </c>
      <c r="C446" t="s">
        <v>1203</v>
      </c>
      <c r="D446" t="s">
        <v>1204</v>
      </c>
      <c r="E446">
        <v>44831</v>
      </c>
    </row>
    <row r="447" spans="1:5">
      <c r="A447">
        <v>220923</v>
      </c>
      <c r="B447" t="s">
        <v>178</v>
      </c>
      <c r="C447" t="s">
        <v>570</v>
      </c>
      <c r="D447" t="s">
        <v>1827</v>
      </c>
      <c r="E447">
        <v>44834</v>
      </c>
    </row>
    <row r="448" spans="1:5">
      <c r="A448">
        <v>220314</v>
      </c>
      <c r="B448" t="s">
        <v>1079</v>
      </c>
      <c r="C448" t="s">
        <v>321</v>
      </c>
      <c r="D448" t="s">
        <v>322</v>
      </c>
      <c r="E448">
        <v>44837</v>
      </c>
    </row>
    <row r="449" spans="1:5">
      <c r="A449">
        <v>221001</v>
      </c>
      <c r="B449" t="s">
        <v>212</v>
      </c>
      <c r="C449" t="s">
        <v>511</v>
      </c>
      <c r="D449" t="s">
        <v>512</v>
      </c>
      <c r="E449">
        <v>44837</v>
      </c>
    </row>
    <row r="450" spans="1:5">
      <c r="A450">
        <v>221002</v>
      </c>
      <c r="B450" t="s">
        <v>212</v>
      </c>
      <c r="C450" t="s">
        <v>1828</v>
      </c>
      <c r="D450" t="s">
        <v>1829</v>
      </c>
      <c r="E450">
        <v>44837</v>
      </c>
    </row>
    <row r="451" spans="1:5">
      <c r="A451">
        <v>221003</v>
      </c>
      <c r="B451" t="s">
        <v>1518</v>
      </c>
      <c r="C451" t="s">
        <v>1830</v>
      </c>
      <c r="D451" t="s">
        <v>1831</v>
      </c>
      <c r="E451">
        <v>44837</v>
      </c>
    </row>
    <row r="452" spans="1:5">
      <c r="A452">
        <v>221004</v>
      </c>
      <c r="B452" t="s">
        <v>1832</v>
      </c>
      <c r="C452" t="s">
        <v>1833</v>
      </c>
      <c r="D452" t="s">
        <v>1834</v>
      </c>
      <c r="E452">
        <v>44837</v>
      </c>
    </row>
    <row r="453" spans="1:5">
      <c r="A453">
        <v>221005</v>
      </c>
      <c r="B453" t="s">
        <v>76</v>
      </c>
      <c r="C453" t="s">
        <v>1835</v>
      </c>
      <c r="D453" t="s">
        <v>1836</v>
      </c>
      <c r="E453">
        <v>44839</v>
      </c>
    </row>
    <row r="454" spans="1:5">
      <c r="A454">
        <v>221006</v>
      </c>
      <c r="B454" t="s">
        <v>211</v>
      </c>
      <c r="C454" t="s">
        <v>1837</v>
      </c>
      <c r="D454" t="s">
        <v>1838</v>
      </c>
      <c r="E454">
        <v>44841</v>
      </c>
    </row>
    <row r="455" spans="1:5">
      <c r="A455">
        <v>221007</v>
      </c>
      <c r="B455" t="s">
        <v>211</v>
      </c>
      <c r="C455" t="s">
        <v>1839</v>
      </c>
      <c r="D455" t="s">
        <v>1840</v>
      </c>
      <c r="E455">
        <v>44841</v>
      </c>
    </row>
    <row r="456" spans="1:5">
      <c r="A456">
        <v>221008</v>
      </c>
      <c r="B456" t="s">
        <v>211</v>
      </c>
      <c r="C456" t="s">
        <v>1841</v>
      </c>
      <c r="D456" t="s">
        <v>1842</v>
      </c>
      <c r="E456">
        <v>44841</v>
      </c>
    </row>
    <row r="457" spans="1:5">
      <c r="A457">
        <v>221009</v>
      </c>
      <c r="B457" t="s">
        <v>50</v>
      </c>
      <c r="C457" t="s">
        <v>162</v>
      </c>
      <c r="D457" t="s">
        <v>163</v>
      </c>
      <c r="E457">
        <v>44851</v>
      </c>
    </row>
    <row r="458" spans="1:5">
      <c r="A458">
        <v>221010</v>
      </c>
      <c r="B458" t="s">
        <v>1705</v>
      </c>
      <c r="C458" t="s">
        <v>168</v>
      </c>
      <c r="D458" t="s">
        <v>169</v>
      </c>
      <c r="E458">
        <v>44858</v>
      </c>
    </row>
    <row r="459" spans="1:5">
      <c r="A459">
        <v>221011</v>
      </c>
      <c r="B459" t="s">
        <v>1705</v>
      </c>
      <c r="C459" t="s">
        <v>1843</v>
      </c>
      <c r="D459" t="s">
        <v>1844</v>
      </c>
      <c r="E459">
        <v>44865</v>
      </c>
    </row>
    <row r="460" spans="1:5">
      <c r="A460">
        <v>221101</v>
      </c>
      <c r="B460" t="s">
        <v>1099</v>
      </c>
      <c r="C460" t="s">
        <v>1845</v>
      </c>
      <c r="D460" t="s">
        <v>1846</v>
      </c>
      <c r="E460">
        <v>44866</v>
      </c>
    </row>
    <row r="461" spans="1:5">
      <c r="A461">
        <v>221102</v>
      </c>
      <c r="B461" t="s">
        <v>1103</v>
      </c>
      <c r="C461" t="s">
        <v>1847</v>
      </c>
      <c r="D461" t="s">
        <v>1848</v>
      </c>
      <c r="E461">
        <v>44874</v>
      </c>
    </row>
    <row r="462" spans="1:5">
      <c r="A462">
        <v>221103</v>
      </c>
      <c r="B462" t="s">
        <v>1705</v>
      </c>
      <c r="C462" t="s">
        <v>176</v>
      </c>
      <c r="D462" t="s">
        <v>177</v>
      </c>
      <c r="E462">
        <v>44880</v>
      </c>
    </row>
    <row r="463" spans="1:5">
      <c r="A463">
        <v>221104</v>
      </c>
      <c r="B463" t="s">
        <v>1103</v>
      </c>
      <c r="C463" t="s">
        <v>1849</v>
      </c>
      <c r="D463" t="s">
        <v>1850</v>
      </c>
      <c r="E463">
        <v>44882</v>
      </c>
    </row>
    <row r="464" spans="1:5">
      <c r="A464">
        <v>221105</v>
      </c>
      <c r="B464" t="s">
        <v>1130</v>
      </c>
      <c r="C464" t="s">
        <v>1851</v>
      </c>
      <c r="D464" t="s">
        <v>1852</v>
      </c>
      <c r="E464">
        <v>44883</v>
      </c>
    </row>
    <row r="465" spans="1:5">
      <c r="A465">
        <v>221106</v>
      </c>
      <c r="B465" t="s">
        <v>1130</v>
      </c>
      <c r="C465" t="s">
        <v>1853</v>
      </c>
      <c r="D465" t="s">
        <v>1854</v>
      </c>
      <c r="E465">
        <v>44883</v>
      </c>
    </row>
    <row r="466" spans="1:5">
      <c r="A466">
        <v>221107</v>
      </c>
      <c r="B466" t="s">
        <v>1255</v>
      </c>
      <c r="C466" t="s">
        <v>1855</v>
      </c>
      <c r="D466" t="s">
        <v>1856</v>
      </c>
      <c r="E466">
        <v>44886</v>
      </c>
    </row>
    <row r="467" spans="1:5">
      <c r="A467">
        <v>221108</v>
      </c>
      <c r="B467" t="s">
        <v>178</v>
      </c>
      <c r="C467" t="s">
        <v>1857</v>
      </c>
      <c r="D467" t="s">
        <v>1858</v>
      </c>
      <c r="E467">
        <v>44886</v>
      </c>
    </row>
    <row r="468" spans="1:5">
      <c r="A468">
        <v>221109</v>
      </c>
      <c r="B468" t="s">
        <v>1705</v>
      </c>
      <c r="C468" t="s">
        <v>1859</v>
      </c>
      <c r="D468" t="s">
        <v>1860</v>
      </c>
      <c r="E468">
        <v>44888</v>
      </c>
    </row>
    <row r="469" spans="1:5">
      <c r="A469">
        <v>221201</v>
      </c>
      <c r="B469" t="s">
        <v>1103</v>
      </c>
      <c r="C469" t="s">
        <v>1861</v>
      </c>
      <c r="D469" t="s">
        <v>1862</v>
      </c>
      <c r="E469">
        <v>44896</v>
      </c>
    </row>
    <row r="470" spans="1:5">
      <c r="A470">
        <v>221203</v>
      </c>
      <c r="B470" t="s">
        <v>76</v>
      </c>
      <c r="C470" t="s">
        <v>174</v>
      </c>
      <c r="D470" t="s">
        <v>175</v>
      </c>
      <c r="E470">
        <v>44896</v>
      </c>
    </row>
    <row r="471" spans="1:5">
      <c r="A471">
        <v>221204</v>
      </c>
      <c r="B471" t="s">
        <v>76</v>
      </c>
      <c r="C471" t="s">
        <v>617</v>
      </c>
      <c r="D471" t="s">
        <v>618</v>
      </c>
      <c r="E471">
        <v>44896</v>
      </c>
    </row>
    <row r="472" spans="1:5">
      <c r="A472">
        <v>221205</v>
      </c>
      <c r="B472" t="s">
        <v>76</v>
      </c>
      <c r="C472" t="s">
        <v>1863</v>
      </c>
      <c r="D472" t="s">
        <v>1864</v>
      </c>
      <c r="E472">
        <v>44896</v>
      </c>
    </row>
    <row r="473" spans="1:5">
      <c r="A473">
        <v>221206</v>
      </c>
      <c r="B473" t="s">
        <v>1096</v>
      </c>
      <c r="C473" t="s">
        <v>1865</v>
      </c>
      <c r="D473" t="s">
        <v>1866</v>
      </c>
      <c r="E473">
        <v>44896</v>
      </c>
    </row>
    <row r="474" spans="1:5">
      <c r="A474">
        <v>221202</v>
      </c>
      <c r="B474" t="s">
        <v>1103</v>
      </c>
      <c r="C474" t="s">
        <v>1867</v>
      </c>
      <c r="D474" t="s">
        <v>1868</v>
      </c>
      <c r="E474">
        <v>44896</v>
      </c>
    </row>
    <row r="475" spans="1:5">
      <c r="A475">
        <v>221208</v>
      </c>
      <c r="B475" t="s">
        <v>1130</v>
      </c>
      <c r="C475" t="s">
        <v>1869</v>
      </c>
      <c r="D475" t="s">
        <v>1870</v>
      </c>
      <c r="E475">
        <v>44903</v>
      </c>
    </row>
    <row r="476" spans="1:5">
      <c r="A476">
        <v>221207</v>
      </c>
      <c r="B476" t="s">
        <v>1130</v>
      </c>
      <c r="C476" t="s">
        <v>183</v>
      </c>
      <c r="D476" t="s">
        <v>184</v>
      </c>
      <c r="E476">
        <v>44903</v>
      </c>
    </row>
    <row r="477" spans="1:5">
      <c r="A477">
        <v>221210</v>
      </c>
      <c r="B477" t="s">
        <v>1103</v>
      </c>
      <c r="C477" t="s">
        <v>1871</v>
      </c>
      <c r="D477" t="s">
        <v>1872</v>
      </c>
      <c r="E477">
        <v>44907</v>
      </c>
    </row>
    <row r="478" spans="1:5">
      <c r="A478">
        <v>221212</v>
      </c>
      <c r="B478" t="s">
        <v>76</v>
      </c>
      <c r="C478" t="s">
        <v>188</v>
      </c>
      <c r="D478" t="s">
        <v>189</v>
      </c>
      <c r="E478">
        <v>44907</v>
      </c>
    </row>
    <row r="479" spans="1:5">
      <c r="A479">
        <v>221213</v>
      </c>
      <c r="B479" t="s">
        <v>76</v>
      </c>
      <c r="C479" t="s">
        <v>190</v>
      </c>
      <c r="D479" t="s">
        <v>191</v>
      </c>
      <c r="E479">
        <v>44907</v>
      </c>
    </row>
    <row r="480" spans="1:5">
      <c r="A480">
        <v>221214</v>
      </c>
      <c r="B480" t="s">
        <v>76</v>
      </c>
      <c r="C480" t="s">
        <v>1873</v>
      </c>
      <c r="D480" t="s">
        <v>1874</v>
      </c>
      <c r="E480">
        <v>44907</v>
      </c>
    </row>
    <row r="481" spans="1:5">
      <c r="A481">
        <v>221215</v>
      </c>
      <c r="B481" t="s">
        <v>76</v>
      </c>
      <c r="C481" t="s">
        <v>192</v>
      </c>
      <c r="D481" t="s">
        <v>193</v>
      </c>
      <c r="E481">
        <v>44907</v>
      </c>
    </row>
    <row r="482" spans="1:5">
      <c r="A482">
        <v>221216</v>
      </c>
      <c r="B482" t="s">
        <v>76</v>
      </c>
      <c r="C482" t="s">
        <v>194</v>
      </c>
      <c r="D482" t="s">
        <v>195</v>
      </c>
      <c r="E482">
        <v>44907</v>
      </c>
    </row>
    <row r="483" spans="1:5">
      <c r="A483">
        <v>221217</v>
      </c>
      <c r="B483" t="s">
        <v>1875</v>
      </c>
      <c r="C483" t="s">
        <v>1876</v>
      </c>
      <c r="D483" t="s">
        <v>1877</v>
      </c>
      <c r="E483">
        <v>44907</v>
      </c>
    </row>
    <row r="484" spans="1:5">
      <c r="A484">
        <v>221211</v>
      </c>
      <c r="B484" t="s">
        <v>1130</v>
      </c>
      <c r="C484" t="s">
        <v>185</v>
      </c>
      <c r="D484" t="s">
        <v>186</v>
      </c>
      <c r="E484">
        <v>44907</v>
      </c>
    </row>
    <row r="485" spans="1:5">
      <c r="A485">
        <v>221209</v>
      </c>
      <c r="B485" t="s">
        <v>1103</v>
      </c>
      <c r="C485" t="s">
        <v>181</v>
      </c>
      <c r="D485" t="s">
        <v>182</v>
      </c>
      <c r="E485">
        <v>44907</v>
      </c>
    </row>
    <row r="486" spans="1:5">
      <c r="A486">
        <v>221218</v>
      </c>
      <c r="B486" t="s">
        <v>1875</v>
      </c>
      <c r="C486" t="s">
        <v>1878</v>
      </c>
      <c r="D486" t="s">
        <v>1879</v>
      </c>
      <c r="E486">
        <v>44914</v>
      </c>
    </row>
    <row r="487" spans="1:5">
      <c r="A487">
        <v>230102</v>
      </c>
      <c r="B487" t="s">
        <v>1875</v>
      </c>
      <c r="C487" t="s">
        <v>1880</v>
      </c>
      <c r="D487" t="s">
        <v>1881</v>
      </c>
      <c r="E487">
        <v>44932</v>
      </c>
    </row>
    <row r="488" spans="1:5">
      <c r="A488">
        <v>230101</v>
      </c>
      <c r="B488" t="s">
        <v>1705</v>
      </c>
      <c r="C488" t="s">
        <v>217</v>
      </c>
      <c r="D488" t="s">
        <v>218</v>
      </c>
      <c r="E488">
        <v>44932</v>
      </c>
    </row>
    <row r="489" spans="1:5">
      <c r="A489">
        <v>230103</v>
      </c>
      <c r="B489" t="s">
        <v>212</v>
      </c>
      <c r="C489" t="s">
        <v>213</v>
      </c>
      <c r="D489" t="s">
        <v>214</v>
      </c>
      <c r="E489">
        <v>44935</v>
      </c>
    </row>
    <row r="490" spans="1:5">
      <c r="A490">
        <v>230104</v>
      </c>
      <c r="B490" t="s">
        <v>1079</v>
      </c>
      <c r="C490" t="s">
        <v>197</v>
      </c>
      <c r="D490" t="s">
        <v>198</v>
      </c>
      <c r="E490">
        <v>44939</v>
      </c>
    </row>
    <row r="491" spans="1:5">
      <c r="A491">
        <v>230105</v>
      </c>
      <c r="B491" t="s">
        <v>50</v>
      </c>
      <c r="C491" t="s">
        <v>1882</v>
      </c>
      <c r="D491" t="s">
        <v>1883</v>
      </c>
      <c r="E491">
        <v>44944</v>
      </c>
    </row>
    <row r="492" spans="1:5">
      <c r="A492">
        <v>230107</v>
      </c>
      <c r="B492" t="s">
        <v>178</v>
      </c>
      <c r="C492" t="s">
        <v>1884</v>
      </c>
      <c r="D492" t="s">
        <v>1885</v>
      </c>
      <c r="E492">
        <v>44945</v>
      </c>
    </row>
    <row r="493" spans="1:5">
      <c r="A493">
        <v>230108</v>
      </c>
      <c r="B493" t="s">
        <v>178</v>
      </c>
      <c r="C493" t="s">
        <v>203</v>
      </c>
      <c r="D493" t="s">
        <v>204</v>
      </c>
      <c r="E493">
        <v>44945</v>
      </c>
    </row>
    <row r="494" spans="1:5">
      <c r="A494">
        <v>230106</v>
      </c>
      <c r="B494" t="s">
        <v>1130</v>
      </c>
      <c r="C494" t="s">
        <v>201</v>
      </c>
      <c r="D494" t="s">
        <v>202</v>
      </c>
      <c r="E494">
        <v>44945</v>
      </c>
    </row>
    <row r="495" spans="1:5">
      <c r="A495">
        <v>210612</v>
      </c>
      <c r="B495" t="s">
        <v>1198</v>
      </c>
      <c r="C495" t="s">
        <v>1324</v>
      </c>
      <c r="D495" t="s">
        <v>1325</v>
      </c>
      <c r="E495">
        <v>44949</v>
      </c>
    </row>
    <row r="496" spans="1:5">
      <c r="A496">
        <v>230109</v>
      </c>
      <c r="B496" t="s">
        <v>1079</v>
      </c>
      <c r="C496" t="s">
        <v>199</v>
      </c>
      <c r="D496" t="s">
        <v>200</v>
      </c>
      <c r="E496">
        <v>44949</v>
      </c>
    </row>
    <row r="497" spans="1:5">
      <c r="A497">
        <v>220413</v>
      </c>
      <c r="B497" t="s">
        <v>50</v>
      </c>
      <c r="C497" t="s">
        <v>51</v>
      </c>
      <c r="D497" t="s">
        <v>52</v>
      </c>
      <c r="E497">
        <v>44957</v>
      </c>
    </row>
    <row r="498" spans="1:5">
      <c r="A498">
        <v>230110</v>
      </c>
      <c r="B498" t="s">
        <v>211</v>
      </c>
      <c r="C498" t="s">
        <v>82</v>
      </c>
      <c r="D498" t="s">
        <v>1886</v>
      </c>
      <c r="E498">
        <v>44957</v>
      </c>
    </row>
    <row r="499" spans="1:5">
      <c r="A499">
        <v>230111</v>
      </c>
      <c r="B499" t="s">
        <v>211</v>
      </c>
      <c r="C499" t="s">
        <v>1887</v>
      </c>
      <c r="D499" t="s">
        <v>1888</v>
      </c>
      <c r="E499">
        <v>44957</v>
      </c>
    </row>
    <row r="500" spans="1:5">
      <c r="A500">
        <v>230112</v>
      </c>
      <c r="B500" t="s">
        <v>50</v>
      </c>
      <c r="C500" t="s">
        <v>1421</v>
      </c>
      <c r="D500" t="s">
        <v>1422</v>
      </c>
      <c r="E500">
        <v>44957</v>
      </c>
    </row>
    <row r="501" spans="1:5">
      <c r="A501">
        <v>220304</v>
      </c>
      <c r="B501" t="s">
        <v>1192</v>
      </c>
      <c r="C501" t="s">
        <v>1641</v>
      </c>
      <c r="D501" t="s">
        <v>1642</v>
      </c>
      <c r="E501">
        <v>44958</v>
      </c>
    </row>
    <row r="502" spans="1:5">
      <c r="A502">
        <v>230201</v>
      </c>
      <c r="B502" t="s">
        <v>178</v>
      </c>
      <c r="C502" t="s">
        <v>1889</v>
      </c>
      <c r="D502" t="s">
        <v>1890</v>
      </c>
      <c r="E502">
        <v>44959</v>
      </c>
    </row>
    <row r="503" spans="1:5">
      <c r="A503">
        <v>230202</v>
      </c>
      <c r="B503" t="s">
        <v>1875</v>
      </c>
      <c r="C503" t="s">
        <v>1891</v>
      </c>
      <c r="D503" t="s">
        <v>1892</v>
      </c>
      <c r="E503">
        <v>44959</v>
      </c>
    </row>
    <row r="504" spans="1:5">
      <c r="A504">
        <v>230203</v>
      </c>
      <c r="B504" t="s">
        <v>1875</v>
      </c>
      <c r="C504" t="s">
        <v>215</v>
      </c>
      <c r="D504" t="s">
        <v>216</v>
      </c>
      <c r="E504">
        <v>44959</v>
      </c>
    </row>
    <row r="505" spans="1:5">
      <c r="A505">
        <v>230204</v>
      </c>
      <c r="B505" t="s">
        <v>1875</v>
      </c>
      <c r="C505" t="s">
        <v>1893</v>
      </c>
      <c r="D505" t="s">
        <v>1894</v>
      </c>
      <c r="E505">
        <v>44959</v>
      </c>
    </row>
    <row r="506" spans="1:5">
      <c r="A506">
        <v>220107</v>
      </c>
      <c r="B506" t="s">
        <v>239</v>
      </c>
      <c r="C506" t="s">
        <v>1555</v>
      </c>
      <c r="D506" t="s">
        <v>1556</v>
      </c>
      <c r="E506">
        <v>45966</v>
      </c>
    </row>
    <row r="507" spans="1:5">
      <c r="A507">
        <v>230205</v>
      </c>
      <c r="B507" t="s">
        <v>1079</v>
      </c>
      <c r="C507" t="s">
        <v>221</v>
      </c>
      <c r="D507" t="s">
        <v>222</v>
      </c>
      <c r="E507">
        <v>44970</v>
      </c>
    </row>
    <row r="508" spans="1:5">
      <c r="A508">
        <v>230206</v>
      </c>
      <c r="B508" t="s">
        <v>1079</v>
      </c>
      <c r="C508" t="s">
        <v>1895</v>
      </c>
      <c r="D508" t="s">
        <v>1896</v>
      </c>
      <c r="E508">
        <v>44978</v>
      </c>
    </row>
    <row r="509" spans="1:5">
      <c r="A509">
        <v>230213</v>
      </c>
      <c r="B509" t="s">
        <v>178</v>
      </c>
      <c r="C509" t="s">
        <v>224</v>
      </c>
      <c r="D509" t="s">
        <v>225</v>
      </c>
      <c r="E509">
        <v>44979</v>
      </c>
    </row>
    <row r="510" spans="1:5">
      <c r="A510">
        <v>230207</v>
      </c>
      <c r="B510" t="s">
        <v>50</v>
      </c>
      <c r="C510" t="s">
        <v>1897</v>
      </c>
      <c r="D510" t="s">
        <v>1898</v>
      </c>
      <c r="E510">
        <v>44979</v>
      </c>
    </row>
    <row r="511" spans="1:5">
      <c r="A511">
        <v>230208</v>
      </c>
      <c r="B511" t="s">
        <v>50</v>
      </c>
      <c r="C511" t="s">
        <v>1899</v>
      </c>
      <c r="D511" t="s">
        <v>1900</v>
      </c>
      <c r="E511">
        <v>44979</v>
      </c>
    </row>
    <row r="512" spans="1:5">
      <c r="A512">
        <v>230209</v>
      </c>
      <c r="B512" t="s">
        <v>50</v>
      </c>
      <c r="C512" t="s">
        <v>244</v>
      </c>
      <c r="D512" t="s">
        <v>245</v>
      </c>
      <c r="E512">
        <v>44979</v>
      </c>
    </row>
    <row r="513" spans="1:5">
      <c r="A513">
        <v>230210</v>
      </c>
      <c r="B513" t="s">
        <v>50</v>
      </c>
      <c r="C513" t="s">
        <v>1901</v>
      </c>
      <c r="D513" t="s">
        <v>1902</v>
      </c>
      <c r="E513">
        <v>44979</v>
      </c>
    </row>
    <row r="514" spans="1:5">
      <c r="A514">
        <v>230211</v>
      </c>
      <c r="B514" t="s">
        <v>50</v>
      </c>
      <c r="C514" t="s">
        <v>247</v>
      </c>
      <c r="D514" t="s">
        <v>248</v>
      </c>
      <c r="E514">
        <v>44979</v>
      </c>
    </row>
    <row r="515" spans="1:5">
      <c r="A515">
        <v>230212</v>
      </c>
      <c r="B515" t="s">
        <v>178</v>
      </c>
      <c r="C515" t="s">
        <v>223</v>
      </c>
      <c r="D515" t="s">
        <v>1903</v>
      </c>
      <c r="E515">
        <v>44979</v>
      </c>
    </row>
    <row r="516" spans="1:5">
      <c r="A516">
        <v>230214</v>
      </c>
      <c r="B516" t="s">
        <v>178</v>
      </c>
      <c r="C516" t="s">
        <v>226</v>
      </c>
      <c r="D516" t="s">
        <v>1904</v>
      </c>
      <c r="E516">
        <v>44979</v>
      </c>
    </row>
    <row r="517" spans="1:5">
      <c r="A517">
        <v>230215</v>
      </c>
      <c r="B517" t="s">
        <v>178</v>
      </c>
      <c r="C517" t="s">
        <v>227</v>
      </c>
      <c r="D517" t="s">
        <v>228</v>
      </c>
      <c r="E517">
        <v>44979</v>
      </c>
    </row>
    <row r="518" spans="1:5">
      <c r="A518">
        <v>230216</v>
      </c>
      <c r="B518" t="s">
        <v>178</v>
      </c>
      <c r="C518" t="s">
        <v>229</v>
      </c>
      <c r="D518" t="s">
        <v>230</v>
      </c>
      <c r="E518">
        <v>44979</v>
      </c>
    </row>
    <row r="519" spans="1:5">
      <c r="A519">
        <v>220302</v>
      </c>
      <c r="B519" t="s">
        <v>1116</v>
      </c>
      <c r="C519" t="s">
        <v>1639</v>
      </c>
      <c r="D519" t="s">
        <v>1640</v>
      </c>
      <c r="E519">
        <v>44621</v>
      </c>
    </row>
    <row r="520" spans="1:5">
      <c r="A520">
        <v>220321</v>
      </c>
      <c r="B520" t="s">
        <v>206</v>
      </c>
      <c r="C520" t="s">
        <v>207</v>
      </c>
      <c r="D520" t="s">
        <v>208</v>
      </c>
      <c r="E520">
        <v>44641</v>
      </c>
    </row>
    <row r="521" spans="1:5">
      <c r="A521">
        <v>230218</v>
      </c>
      <c r="B521" t="s">
        <v>1116</v>
      </c>
      <c r="C521" t="s">
        <v>1907</v>
      </c>
      <c r="D521" t="s">
        <v>1908</v>
      </c>
      <c r="E521">
        <v>44984</v>
      </c>
    </row>
    <row r="522" spans="1:5">
      <c r="A522">
        <v>230219</v>
      </c>
      <c r="B522" t="s">
        <v>1705</v>
      </c>
      <c r="C522" t="s">
        <v>1909</v>
      </c>
      <c r="D522" t="s">
        <v>1910</v>
      </c>
      <c r="E522">
        <v>44984</v>
      </c>
    </row>
    <row r="523" spans="1:5">
      <c r="A523">
        <v>230220</v>
      </c>
      <c r="B523" t="s">
        <v>1103</v>
      </c>
      <c r="C523" t="s">
        <v>1911</v>
      </c>
      <c r="D523" t="s">
        <v>1912</v>
      </c>
      <c r="E523">
        <v>44985</v>
      </c>
    </row>
    <row r="524" spans="1:5">
      <c r="A524">
        <v>230221</v>
      </c>
      <c r="B524" t="s">
        <v>211</v>
      </c>
      <c r="C524" t="s">
        <v>1913</v>
      </c>
      <c r="D524" t="s">
        <v>1914</v>
      </c>
      <c r="E524">
        <v>44985</v>
      </c>
    </row>
    <row r="525" spans="1:5">
      <c r="A525">
        <v>230303</v>
      </c>
      <c r="B525" t="s">
        <v>178</v>
      </c>
      <c r="C525" t="s">
        <v>1915</v>
      </c>
      <c r="D525" t="s">
        <v>1916</v>
      </c>
      <c r="E525">
        <v>44986</v>
      </c>
    </row>
    <row r="526" spans="1:5">
      <c r="A526">
        <v>230305</v>
      </c>
      <c r="B526" t="s">
        <v>178</v>
      </c>
      <c r="C526" t="s">
        <v>1917</v>
      </c>
      <c r="D526" t="s">
        <v>1918</v>
      </c>
      <c r="E526">
        <v>44986</v>
      </c>
    </row>
    <row r="527" spans="1:5">
      <c r="A527">
        <v>220303</v>
      </c>
      <c r="B527" t="s">
        <v>1116</v>
      </c>
      <c r="C527" t="s">
        <v>392</v>
      </c>
      <c r="D527" t="s">
        <v>393</v>
      </c>
      <c r="E527">
        <v>44986</v>
      </c>
    </row>
    <row r="528" spans="1:5">
      <c r="A528">
        <v>220315</v>
      </c>
      <c r="B528" t="s">
        <v>1192</v>
      </c>
      <c r="C528" t="s">
        <v>1654</v>
      </c>
      <c r="D528" t="s">
        <v>1655</v>
      </c>
      <c r="E528">
        <v>44986</v>
      </c>
    </row>
    <row r="529" spans="1:5">
      <c r="A529">
        <v>230301</v>
      </c>
      <c r="B529" t="s">
        <v>206</v>
      </c>
      <c r="C529" t="s">
        <v>236</v>
      </c>
      <c r="D529" t="s">
        <v>237</v>
      </c>
      <c r="E529">
        <v>44986</v>
      </c>
    </row>
    <row r="530" spans="1:5">
      <c r="A530">
        <v>230217</v>
      </c>
      <c r="B530" t="s">
        <v>239</v>
      </c>
      <c r="C530" t="s">
        <v>1905</v>
      </c>
      <c r="D530" t="s">
        <v>1906</v>
      </c>
      <c r="E530">
        <v>44984</v>
      </c>
    </row>
    <row r="531" spans="1:5">
      <c r="A531">
        <v>230304</v>
      </c>
      <c r="B531" t="s">
        <v>178</v>
      </c>
      <c r="C531" t="s">
        <v>232</v>
      </c>
      <c r="D531" t="s">
        <v>233</v>
      </c>
      <c r="E531">
        <v>44986</v>
      </c>
    </row>
    <row r="532" spans="1:5">
      <c r="A532">
        <v>230306</v>
      </c>
      <c r="B532" t="s">
        <v>178</v>
      </c>
      <c r="C532" t="s">
        <v>234</v>
      </c>
      <c r="D532" t="s">
        <v>235</v>
      </c>
      <c r="E532">
        <v>44986</v>
      </c>
    </row>
    <row r="533" spans="1:5">
      <c r="A533">
        <v>230307</v>
      </c>
      <c r="B533" t="s">
        <v>178</v>
      </c>
      <c r="C533" t="s">
        <v>1800</v>
      </c>
      <c r="D533" t="s">
        <v>1801</v>
      </c>
      <c r="E533">
        <v>44986</v>
      </c>
    </row>
    <row r="534" spans="1:5">
      <c r="A534">
        <v>210404</v>
      </c>
      <c r="B534" t="s">
        <v>1192</v>
      </c>
      <c r="C534" t="s">
        <v>240</v>
      </c>
      <c r="D534" t="s">
        <v>241</v>
      </c>
      <c r="E534">
        <v>44991</v>
      </c>
    </row>
    <row r="535" spans="1:5">
      <c r="A535">
        <v>230308</v>
      </c>
      <c r="B535" t="s">
        <v>1116</v>
      </c>
      <c r="C535" t="s">
        <v>1919</v>
      </c>
      <c r="D535" t="s">
        <v>1920</v>
      </c>
      <c r="E535">
        <v>44993</v>
      </c>
    </row>
    <row r="536" spans="1:5">
      <c r="A536">
        <v>230302</v>
      </c>
      <c r="B536" t="s">
        <v>1116</v>
      </c>
      <c r="C536" t="s">
        <v>295</v>
      </c>
      <c r="D536" t="s">
        <v>296</v>
      </c>
      <c r="E536">
        <v>44986</v>
      </c>
    </row>
    <row r="537" spans="1:5">
      <c r="A537">
        <v>230310</v>
      </c>
      <c r="B537" t="s">
        <v>1192</v>
      </c>
      <c r="C537" t="s">
        <v>1923</v>
      </c>
      <c r="D537" t="s">
        <v>1924</v>
      </c>
      <c r="E537">
        <v>44993</v>
      </c>
    </row>
    <row r="538" spans="1:5">
      <c r="A538">
        <v>230311</v>
      </c>
      <c r="B538" t="s">
        <v>1518</v>
      </c>
      <c r="C538" t="s">
        <v>1925</v>
      </c>
      <c r="D538" t="s">
        <v>1926</v>
      </c>
      <c r="E538">
        <v>44994</v>
      </c>
    </row>
    <row r="539" spans="1:5">
      <c r="A539">
        <v>230312</v>
      </c>
      <c r="B539" t="s">
        <v>1593</v>
      </c>
      <c r="C539" t="s">
        <v>1927</v>
      </c>
      <c r="D539" t="s">
        <v>1928</v>
      </c>
      <c r="E539">
        <v>44995</v>
      </c>
    </row>
    <row r="540" spans="1:5">
      <c r="A540">
        <v>230313</v>
      </c>
      <c r="B540" t="s">
        <v>1116</v>
      </c>
      <c r="C540" t="s">
        <v>1929</v>
      </c>
      <c r="D540" t="s">
        <v>1930</v>
      </c>
      <c r="E540">
        <v>44998</v>
      </c>
    </row>
    <row r="541" spans="1:5">
      <c r="A541">
        <v>230314</v>
      </c>
      <c r="B541" t="s">
        <v>50</v>
      </c>
      <c r="C541" t="s">
        <v>1931</v>
      </c>
      <c r="D541" t="s">
        <v>1932</v>
      </c>
      <c r="E541">
        <v>44999</v>
      </c>
    </row>
    <row r="542" spans="1:5">
      <c r="A542">
        <v>220117</v>
      </c>
      <c r="B542" t="s">
        <v>239</v>
      </c>
      <c r="C542" t="s">
        <v>1573</v>
      </c>
      <c r="D542" t="s">
        <v>1574</v>
      </c>
      <c r="E542">
        <v>45005</v>
      </c>
    </row>
    <row r="543" spans="1:5">
      <c r="A543">
        <v>230315</v>
      </c>
      <c r="B543" t="s">
        <v>1705</v>
      </c>
      <c r="C543" t="s">
        <v>1933</v>
      </c>
      <c r="D543" t="s">
        <v>1934</v>
      </c>
      <c r="E543">
        <v>45007</v>
      </c>
    </row>
    <row r="544" spans="1:5">
      <c r="A544">
        <v>230316</v>
      </c>
      <c r="B544" t="s">
        <v>50</v>
      </c>
      <c r="C544" t="s">
        <v>261</v>
      </c>
      <c r="D544" t="s">
        <v>262</v>
      </c>
      <c r="E544">
        <v>45007</v>
      </c>
    </row>
    <row r="545" spans="1:5">
      <c r="A545">
        <v>230317</v>
      </c>
      <c r="B545" t="s">
        <v>206</v>
      </c>
      <c r="C545" t="s">
        <v>1935</v>
      </c>
      <c r="D545" t="s">
        <v>1647</v>
      </c>
      <c r="E545">
        <v>45012</v>
      </c>
    </row>
    <row r="546" spans="1:5">
      <c r="A546">
        <v>230319</v>
      </c>
      <c r="B546" t="s">
        <v>1130</v>
      </c>
      <c r="C546" t="s">
        <v>1936</v>
      </c>
      <c r="D546" t="s">
        <v>1937</v>
      </c>
      <c r="E546">
        <v>45012</v>
      </c>
    </row>
    <row r="547" spans="1:5">
      <c r="A547">
        <v>230318</v>
      </c>
      <c r="B547" t="s">
        <v>1130</v>
      </c>
      <c r="C547" t="s">
        <v>302</v>
      </c>
      <c r="D547" t="s">
        <v>303</v>
      </c>
      <c r="E547">
        <v>45012</v>
      </c>
    </row>
    <row r="548" spans="1:5">
      <c r="A548">
        <v>230320</v>
      </c>
      <c r="B548" t="s">
        <v>178</v>
      </c>
      <c r="C548" t="s">
        <v>255</v>
      </c>
      <c r="D548" t="s">
        <v>256</v>
      </c>
      <c r="E548">
        <v>45013</v>
      </c>
    </row>
    <row r="549" spans="1:5">
      <c r="A549">
        <v>230321</v>
      </c>
      <c r="B549" t="s">
        <v>178</v>
      </c>
      <c r="C549" t="s">
        <v>257</v>
      </c>
      <c r="D549" t="s">
        <v>258</v>
      </c>
      <c r="E549">
        <v>45013</v>
      </c>
    </row>
    <row r="550" spans="1:5">
      <c r="A550">
        <v>230322</v>
      </c>
      <c r="B550" t="s">
        <v>178</v>
      </c>
      <c r="C550" t="s">
        <v>259</v>
      </c>
      <c r="D550" t="s">
        <v>260</v>
      </c>
      <c r="E550">
        <v>45013</v>
      </c>
    </row>
    <row r="551" spans="1:5">
      <c r="A551">
        <v>230325</v>
      </c>
      <c r="B551" t="s">
        <v>178</v>
      </c>
      <c r="C551" t="s">
        <v>253</v>
      </c>
      <c r="D551" t="s">
        <v>254</v>
      </c>
      <c r="E551">
        <v>45013</v>
      </c>
    </row>
    <row r="552" spans="1:5">
      <c r="A552">
        <v>230323</v>
      </c>
      <c r="B552" t="s">
        <v>178</v>
      </c>
      <c r="C552" t="s">
        <v>1938</v>
      </c>
      <c r="D552" t="s">
        <v>1939</v>
      </c>
      <c r="E552">
        <v>45013</v>
      </c>
    </row>
    <row r="553" spans="1:5">
      <c r="A553">
        <v>230324</v>
      </c>
      <c r="B553" t="s">
        <v>178</v>
      </c>
      <c r="C553" t="s">
        <v>1940</v>
      </c>
      <c r="D553" t="s">
        <v>1941</v>
      </c>
      <c r="E553">
        <v>45013</v>
      </c>
    </row>
    <row r="554" spans="1:5">
      <c r="A554">
        <v>230326</v>
      </c>
      <c r="B554" t="s">
        <v>76</v>
      </c>
      <c r="C554" t="s">
        <v>915</v>
      </c>
      <c r="D554" t="s">
        <v>916</v>
      </c>
      <c r="E554">
        <v>45014</v>
      </c>
    </row>
    <row r="555" spans="1:5">
      <c r="A555">
        <v>230401</v>
      </c>
      <c r="B555" t="s">
        <v>1192</v>
      </c>
      <c r="C555" t="s">
        <v>1942</v>
      </c>
      <c r="D555" t="s">
        <v>1943</v>
      </c>
      <c r="E555">
        <v>45026</v>
      </c>
    </row>
    <row r="556" spans="1:5">
      <c r="A556">
        <v>230402</v>
      </c>
      <c r="B556" t="s">
        <v>76</v>
      </c>
      <c r="C556" t="s">
        <v>1400</v>
      </c>
      <c r="D556" t="s">
        <v>1944</v>
      </c>
      <c r="E556">
        <v>45026</v>
      </c>
    </row>
    <row r="557" spans="1:5">
      <c r="A557">
        <v>230403</v>
      </c>
      <c r="B557" t="s">
        <v>1705</v>
      </c>
      <c r="C557" t="s">
        <v>283</v>
      </c>
      <c r="D557" t="s">
        <v>284</v>
      </c>
      <c r="E557">
        <v>45026</v>
      </c>
    </row>
    <row r="558" spans="1:5">
      <c r="A558">
        <v>230404</v>
      </c>
      <c r="B558" t="s">
        <v>1705</v>
      </c>
      <c r="C558" t="s">
        <v>1945</v>
      </c>
      <c r="D558" t="s">
        <v>1946</v>
      </c>
      <c r="E558">
        <v>45026</v>
      </c>
    </row>
    <row r="559" spans="1:5">
      <c r="A559">
        <v>230405</v>
      </c>
      <c r="B559" t="s">
        <v>264</v>
      </c>
      <c r="C559" t="s">
        <v>265</v>
      </c>
      <c r="D559" t="s">
        <v>266</v>
      </c>
      <c r="E559">
        <v>45034</v>
      </c>
    </row>
    <row r="560" spans="1:5">
      <c r="A560">
        <v>230406</v>
      </c>
      <c r="B560" t="s">
        <v>264</v>
      </c>
      <c r="C560" t="s">
        <v>1947</v>
      </c>
      <c r="D560" t="s">
        <v>1948</v>
      </c>
      <c r="E560">
        <v>45040</v>
      </c>
    </row>
    <row r="561" spans="1:5">
      <c r="A561">
        <v>230407</v>
      </c>
      <c r="B561" t="s">
        <v>76</v>
      </c>
      <c r="C561" t="s">
        <v>1949</v>
      </c>
      <c r="D561" t="s">
        <v>1950</v>
      </c>
      <c r="E561">
        <v>45040</v>
      </c>
    </row>
    <row r="562" spans="1:5">
      <c r="A562">
        <v>230408</v>
      </c>
      <c r="B562" t="s">
        <v>264</v>
      </c>
      <c r="C562" t="s">
        <v>1951</v>
      </c>
      <c r="D562" t="s">
        <v>1952</v>
      </c>
      <c r="E562">
        <v>45043</v>
      </c>
    </row>
    <row r="563" spans="1:5">
      <c r="A563">
        <v>230501</v>
      </c>
      <c r="B563" t="s">
        <v>212</v>
      </c>
      <c r="C563" t="s">
        <v>1953</v>
      </c>
      <c r="D563" t="s">
        <v>1954</v>
      </c>
      <c r="E563">
        <v>45056</v>
      </c>
    </row>
    <row r="564" spans="1:5">
      <c r="A564">
        <v>230502</v>
      </c>
      <c r="B564" t="s">
        <v>1130</v>
      </c>
      <c r="C564" t="s">
        <v>1955</v>
      </c>
      <c r="D564" t="s">
        <v>1956</v>
      </c>
      <c r="E564">
        <v>45061</v>
      </c>
    </row>
    <row r="565" spans="1:5">
      <c r="A565">
        <v>230506</v>
      </c>
      <c r="B565" t="s">
        <v>178</v>
      </c>
      <c r="C565" t="s">
        <v>1957</v>
      </c>
      <c r="D565" t="s">
        <v>1958</v>
      </c>
      <c r="E565">
        <v>45061</v>
      </c>
    </row>
    <row r="566" spans="1:5">
      <c r="A566">
        <v>230503</v>
      </c>
      <c r="B566" t="s">
        <v>1130</v>
      </c>
      <c r="C566" t="s">
        <v>293</v>
      </c>
      <c r="D566" t="s">
        <v>294</v>
      </c>
      <c r="E566">
        <v>45061</v>
      </c>
    </row>
    <row r="567" spans="1:5">
      <c r="A567">
        <v>230504</v>
      </c>
      <c r="B567" t="s">
        <v>1130</v>
      </c>
      <c r="C567" t="s">
        <v>291</v>
      </c>
      <c r="D567" t="s">
        <v>292</v>
      </c>
      <c r="E567">
        <v>45061</v>
      </c>
    </row>
    <row r="568" spans="1:5">
      <c r="A568">
        <v>230505</v>
      </c>
      <c r="B568" t="s">
        <v>1103</v>
      </c>
      <c r="C568" t="s">
        <v>289</v>
      </c>
      <c r="D568" t="s">
        <v>290</v>
      </c>
      <c r="E568">
        <v>45061</v>
      </c>
    </row>
    <row r="569" spans="1:5">
      <c r="A569">
        <v>210107</v>
      </c>
      <c r="B569" t="s">
        <v>1116</v>
      </c>
      <c r="C569" t="s">
        <v>1147</v>
      </c>
      <c r="D569" t="s">
        <v>1148</v>
      </c>
      <c r="E569">
        <v>45064</v>
      </c>
    </row>
    <row r="570" spans="1:5">
      <c r="A570">
        <v>230507</v>
      </c>
      <c r="B570" t="s">
        <v>76</v>
      </c>
      <c r="C570" t="s">
        <v>297</v>
      </c>
      <c r="D570" t="s">
        <v>298</v>
      </c>
      <c r="E570">
        <v>45068</v>
      </c>
    </row>
    <row r="571" spans="1:5">
      <c r="A571">
        <v>230508</v>
      </c>
      <c r="B571" t="s">
        <v>76</v>
      </c>
      <c r="C571" t="s">
        <v>299</v>
      </c>
      <c r="D571" t="s">
        <v>300</v>
      </c>
      <c r="E571">
        <v>45068</v>
      </c>
    </row>
    <row r="572" spans="1:5">
      <c r="A572">
        <v>230509</v>
      </c>
      <c r="B572" t="s">
        <v>76</v>
      </c>
      <c r="C572" t="s">
        <v>1959</v>
      </c>
      <c r="D572" t="s">
        <v>1960</v>
      </c>
      <c r="E572">
        <v>45068</v>
      </c>
    </row>
    <row r="573" spans="1:5">
      <c r="A573">
        <v>230510</v>
      </c>
      <c r="B573" t="s">
        <v>76</v>
      </c>
      <c r="C573" t="s">
        <v>1961</v>
      </c>
      <c r="D573" t="s">
        <v>1962</v>
      </c>
      <c r="E573">
        <v>45068</v>
      </c>
    </row>
    <row r="574" spans="1:5">
      <c r="A574">
        <v>230601</v>
      </c>
      <c r="B574" t="s">
        <v>1116</v>
      </c>
      <c r="C574" t="s">
        <v>1963</v>
      </c>
      <c r="D574" t="s">
        <v>1964</v>
      </c>
      <c r="E574">
        <v>45078</v>
      </c>
    </row>
    <row r="575" spans="1:5">
      <c r="A575">
        <v>220504</v>
      </c>
      <c r="B575" t="s">
        <v>1705</v>
      </c>
      <c r="C575" t="s">
        <v>63</v>
      </c>
      <c r="D575" t="s">
        <v>64</v>
      </c>
      <c r="E575">
        <v>44690</v>
      </c>
    </row>
    <row r="576" spans="1:5">
      <c r="A576">
        <v>230603</v>
      </c>
      <c r="B576" t="s">
        <v>1192</v>
      </c>
      <c r="C576" t="s">
        <v>305</v>
      </c>
      <c r="D576" t="s">
        <v>306</v>
      </c>
      <c r="E576">
        <v>45089</v>
      </c>
    </row>
    <row r="577" spans="1:5">
      <c r="A577">
        <v>220208</v>
      </c>
      <c r="B577" t="s">
        <v>1079</v>
      </c>
      <c r="C577" t="s">
        <v>1616</v>
      </c>
      <c r="D577" t="s">
        <v>1617</v>
      </c>
      <c r="E577">
        <v>45093</v>
      </c>
    </row>
    <row r="578" spans="1:5">
      <c r="A578">
        <v>230604</v>
      </c>
      <c r="B578" t="s">
        <v>178</v>
      </c>
      <c r="C578" t="s">
        <v>310</v>
      </c>
      <c r="D578" t="s">
        <v>311</v>
      </c>
      <c r="E578">
        <v>45093</v>
      </c>
    </row>
    <row r="579" spans="1:5">
      <c r="A579">
        <v>230608</v>
      </c>
      <c r="B579" t="s">
        <v>178</v>
      </c>
      <c r="C579" t="s">
        <v>319</v>
      </c>
      <c r="D579" t="s">
        <v>320</v>
      </c>
      <c r="E579">
        <v>45093</v>
      </c>
    </row>
    <row r="580" spans="1:5">
      <c r="A580">
        <v>230611</v>
      </c>
      <c r="B580" t="s">
        <v>178</v>
      </c>
      <c r="C580" t="s">
        <v>35</v>
      </c>
      <c r="D580" t="s">
        <v>70</v>
      </c>
      <c r="E580">
        <v>45093</v>
      </c>
    </row>
    <row r="581" spans="1:5">
      <c r="A581">
        <v>230605</v>
      </c>
      <c r="B581" t="s">
        <v>178</v>
      </c>
      <c r="C581" t="s">
        <v>312</v>
      </c>
      <c r="D581" t="s">
        <v>313</v>
      </c>
      <c r="E581">
        <v>45093</v>
      </c>
    </row>
    <row r="582" spans="1:5">
      <c r="A582">
        <v>230606</v>
      </c>
      <c r="B582" t="s">
        <v>178</v>
      </c>
      <c r="C582" t="s">
        <v>1966</v>
      </c>
      <c r="D582" t="s">
        <v>1967</v>
      </c>
      <c r="E582">
        <v>45093</v>
      </c>
    </row>
    <row r="583" spans="1:5">
      <c r="A583">
        <v>230607</v>
      </c>
      <c r="B583" t="s">
        <v>178</v>
      </c>
      <c r="C583" t="s">
        <v>314</v>
      </c>
      <c r="D583" t="s">
        <v>315</v>
      </c>
      <c r="E583">
        <v>45093</v>
      </c>
    </row>
    <row r="584" spans="1:5">
      <c r="A584">
        <v>230609</v>
      </c>
      <c r="B584" t="s">
        <v>178</v>
      </c>
      <c r="C584" t="s">
        <v>1968</v>
      </c>
      <c r="D584" t="s">
        <v>1969</v>
      </c>
      <c r="E584">
        <v>45093</v>
      </c>
    </row>
    <row r="585" spans="1:5">
      <c r="A585">
        <v>230610</v>
      </c>
      <c r="B585" t="s">
        <v>178</v>
      </c>
      <c r="C585" t="s">
        <v>316</v>
      </c>
      <c r="D585" t="s">
        <v>317</v>
      </c>
      <c r="E585">
        <v>45093</v>
      </c>
    </row>
    <row r="586" spans="1:5">
      <c r="A586">
        <v>210609</v>
      </c>
      <c r="B586" t="s">
        <v>1192</v>
      </c>
      <c r="C586" t="s">
        <v>1321</v>
      </c>
      <c r="D586" t="s">
        <v>1174</v>
      </c>
      <c r="E586">
        <v>45103</v>
      </c>
    </row>
    <row r="587" spans="1:5">
      <c r="A587">
        <v>230612</v>
      </c>
      <c r="B587" t="s">
        <v>1130</v>
      </c>
      <c r="C587" t="s">
        <v>1970</v>
      </c>
      <c r="D587" t="s">
        <v>1971</v>
      </c>
      <c r="E587">
        <v>45103</v>
      </c>
    </row>
    <row r="588" spans="1:5">
      <c r="A588">
        <v>230613</v>
      </c>
      <c r="B588" t="s">
        <v>1130</v>
      </c>
      <c r="C588" t="s">
        <v>157</v>
      </c>
      <c r="D588" t="s">
        <v>158</v>
      </c>
      <c r="E588">
        <v>45103</v>
      </c>
    </row>
    <row r="589" spans="1:5">
      <c r="A589">
        <v>230309</v>
      </c>
      <c r="B589" t="s">
        <v>1192</v>
      </c>
      <c r="C589" t="s">
        <v>1921</v>
      </c>
      <c r="D589" t="s">
        <v>1922</v>
      </c>
      <c r="E589">
        <v>44993</v>
      </c>
    </row>
    <row r="590" spans="1:5">
      <c r="A590">
        <v>230701</v>
      </c>
      <c r="B590" t="s">
        <v>212</v>
      </c>
      <c r="C590" t="s">
        <v>307</v>
      </c>
      <c r="D590" t="s">
        <v>308</v>
      </c>
      <c r="E590">
        <v>45110</v>
      </c>
    </row>
    <row r="591" spans="1:5">
      <c r="A591">
        <v>230702</v>
      </c>
      <c r="B591" t="s">
        <v>1192</v>
      </c>
      <c r="C591" t="s">
        <v>1972</v>
      </c>
      <c r="D591" t="s">
        <v>1973</v>
      </c>
      <c r="E591">
        <v>45110</v>
      </c>
    </row>
    <row r="592" spans="1:5">
      <c r="A592">
        <v>230703</v>
      </c>
      <c r="B592" t="s">
        <v>239</v>
      </c>
      <c r="C592" t="s">
        <v>1974</v>
      </c>
      <c r="D592" t="s">
        <v>1975</v>
      </c>
      <c r="E592">
        <v>45110</v>
      </c>
    </row>
    <row r="593" spans="1:5">
      <c r="A593">
        <v>220511</v>
      </c>
      <c r="B593" t="s">
        <v>1705</v>
      </c>
      <c r="C593" t="s">
        <v>57</v>
      </c>
      <c r="D593" t="s">
        <v>58</v>
      </c>
      <c r="E593">
        <v>44692</v>
      </c>
    </row>
    <row r="594" spans="1:5">
      <c r="A594">
        <v>230705</v>
      </c>
      <c r="B594" t="s">
        <v>1099</v>
      </c>
      <c r="C594" t="s">
        <v>1976</v>
      </c>
      <c r="D594" t="s">
        <v>1977</v>
      </c>
      <c r="E594">
        <v>45112</v>
      </c>
    </row>
    <row r="595" spans="1:5">
      <c r="A595">
        <v>230706</v>
      </c>
      <c r="B595" t="s">
        <v>178</v>
      </c>
      <c r="C595" t="s">
        <v>499</v>
      </c>
      <c r="D595" t="s">
        <v>500</v>
      </c>
      <c r="E595">
        <v>45117</v>
      </c>
    </row>
    <row r="596" spans="1:5">
      <c r="A596">
        <v>230707</v>
      </c>
      <c r="B596" t="s">
        <v>178</v>
      </c>
      <c r="C596" t="s">
        <v>1978</v>
      </c>
      <c r="D596" t="s">
        <v>1979</v>
      </c>
      <c r="E596">
        <v>45125</v>
      </c>
    </row>
    <row r="597" spans="1:5">
      <c r="A597">
        <v>230708</v>
      </c>
      <c r="B597" t="s">
        <v>1705</v>
      </c>
      <c r="C597" t="s">
        <v>1980</v>
      </c>
      <c r="D597" t="s">
        <v>1981</v>
      </c>
      <c r="E597">
        <v>45128</v>
      </c>
    </row>
    <row r="598" spans="1:5">
      <c r="A598">
        <v>230709</v>
      </c>
      <c r="B598" t="s">
        <v>212</v>
      </c>
      <c r="C598" t="s">
        <v>1982</v>
      </c>
      <c r="D598" t="s">
        <v>1983</v>
      </c>
      <c r="E598">
        <v>45132</v>
      </c>
    </row>
    <row r="599" spans="1:5">
      <c r="A599">
        <v>230710</v>
      </c>
      <c r="B599" t="s">
        <v>212</v>
      </c>
      <c r="C599" t="s">
        <v>1984</v>
      </c>
      <c r="D599" t="s">
        <v>1985</v>
      </c>
      <c r="E599">
        <v>45132</v>
      </c>
    </row>
    <row r="600" spans="1:5">
      <c r="A600">
        <v>230711</v>
      </c>
      <c r="B600" t="s">
        <v>206</v>
      </c>
      <c r="C600" t="s">
        <v>1986</v>
      </c>
      <c r="D600" t="s">
        <v>1987</v>
      </c>
      <c r="E600">
        <v>45133</v>
      </c>
    </row>
    <row r="601" spans="1:5">
      <c r="A601">
        <v>230712</v>
      </c>
      <c r="B601" t="s">
        <v>239</v>
      </c>
      <c r="C601" t="s">
        <v>1988</v>
      </c>
      <c r="D601" t="s">
        <v>1989</v>
      </c>
      <c r="E601">
        <v>45133</v>
      </c>
    </row>
    <row r="602" spans="1:5">
      <c r="A602">
        <v>230713</v>
      </c>
      <c r="B602" t="s">
        <v>76</v>
      </c>
      <c r="C602" t="s">
        <v>1990</v>
      </c>
      <c r="D602" t="s">
        <v>1991</v>
      </c>
      <c r="E602">
        <v>45138</v>
      </c>
    </row>
    <row r="603" spans="1:5">
      <c r="A603">
        <v>230714</v>
      </c>
      <c r="B603" t="s">
        <v>76</v>
      </c>
      <c r="C603" t="s">
        <v>1992</v>
      </c>
      <c r="D603" t="s">
        <v>333</v>
      </c>
      <c r="E603">
        <v>45138</v>
      </c>
    </row>
    <row r="604" spans="1:5">
      <c r="A604">
        <v>230715</v>
      </c>
      <c r="B604" t="s">
        <v>76</v>
      </c>
      <c r="C604" t="s">
        <v>334</v>
      </c>
      <c r="D604" t="s">
        <v>335</v>
      </c>
      <c r="E604">
        <v>45138</v>
      </c>
    </row>
    <row r="605" spans="1:5">
      <c r="A605">
        <v>230801</v>
      </c>
      <c r="B605" t="s">
        <v>1192</v>
      </c>
      <c r="C605" t="s">
        <v>347</v>
      </c>
      <c r="D605" t="s">
        <v>348</v>
      </c>
      <c r="E605">
        <v>45139</v>
      </c>
    </row>
    <row r="606" spans="1:5">
      <c r="A606">
        <v>210710</v>
      </c>
      <c r="B606" t="s">
        <v>1192</v>
      </c>
      <c r="C606" t="s">
        <v>1352</v>
      </c>
      <c r="D606" t="s">
        <v>1353</v>
      </c>
      <c r="E606">
        <v>45110</v>
      </c>
    </row>
    <row r="607" spans="1:5">
      <c r="A607">
        <v>230803</v>
      </c>
      <c r="B607" t="s">
        <v>178</v>
      </c>
      <c r="C607" t="s">
        <v>1993</v>
      </c>
      <c r="D607" t="s">
        <v>1994</v>
      </c>
      <c r="E607">
        <v>45139</v>
      </c>
    </row>
    <row r="608" spans="1:5">
      <c r="A608">
        <v>230804</v>
      </c>
      <c r="B608" t="s">
        <v>178</v>
      </c>
      <c r="C608" t="s">
        <v>1995</v>
      </c>
      <c r="D608" t="s">
        <v>1996</v>
      </c>
      <c r="E608">
        <v>45139</v>
      </c>
    </row>
    <row r="609" spans="1:5">
      <c r="A609">
        <v>230805</v>
      </c>
      <c r="B609" t="s">
        <v>178</v>
      </c>
      <c r="C609" t="s">
        <v>345</v>
      </c>
      <c r="D609" t="s">
        <v>346</v>
      </c>
      <c r="E609">
        <v>45139</v>
      </c>
    </row>
    <row r="610" spans="1:5">
      <c r="A610">
        <v>230806</v>
      </c>
      <c r="B610" t="s">
        <v>178</v>
      </c>
      <c r="C610" t="s">
        <v>1997</v>
      </c>
      <c r="D610" t="s">
        <v>1998</v>
      </c>
      <c r="E610">
        <v>45139</v>
      </c>
    </row>
    <row r="611" spans="1:5">
      <c r="A611">
        <v>230807</v>
      </c>
      <c r="B611" t="s">
        <v>1130</v>
      </c>
      <c r="C611" t="s">
        <v>326</v>
      </c>
      <c r="D611" t="s">
        <v>327</v>
      </c>
      <c r="E611">
        <v>45139</v>
      </c>
    </row>
    <row r="612" spans="1:5">
      <c r="A612">
        <v>230809</v>
      </c>
      <c r="B612" t="s">
        <v>1130</v>
      </c>
      <c r="C612" t="s">
        <v>1999</v>
      </c>
      <c r="D612" t="s">
        <v>2000</v>
      </c>
      <c r="E612">
        <v>45139</v>
      </c>
    </row>
    <row r="613" spans="1:5">
      <c r="A613">
        <v>230810</v>
      </c>
      <c r="B613" t="s">
        <v>1130</v>
      </c>
      <c r="C613" t="s">
        <v>330</v>
      </c>
      <c r="D613" t="s">
        <v>331</v>
      </c>
      <c r="E613">
        <v>45139</v>
      </c>
    </row>
    <row r="614" spans="1:5">
      <c r="A614">
        <v>230813</v>
      </c>
      <c r="B614" t="s">
        <v>264</v>
      </c>
      <c r="C614" t="s">
        <v>2001</v>
      </c>
      <c r="D614" t="s">
        <v>2002</v>
      </c>
      <c r="E614">
        <v>45139</v>
      </c>
    </row>
    <row r="615" spans="1:5">
      <c r="A615">
        <v>230808</v>
      </c>
      <c r="B615" t="s">
        <v>1130</v>
      </c>
      <c r="C615" t="s">
        <v>328</v>
      </c>
      <c r="D615" t="s">
        <v>329</v>
      </c>
      <c r="E615">
        <v>45139</v>
      </c>
    </row>
    <row r="616" spans="1:5">
      <c r="A616">
        <v>230811</v>
      </c>
      <c r="B616" t="s">
        <v>1103</v>
      </c>
      <c r="C616" t="s">
        <v>337</v>
      </c>
      <c r="D616" t="s">
        <v>338</v>
      </c>
      <c r="E616">
        <v>45139</v>
      </c>
    </row>
    <row r="617" spans="1:5">
      <c r="A617">
        <v>230812</v>
      </c>
      <c r="B617" t="s">
        <v>1103</v>
      </c>
      <c r="C617" t="s">
        <v>339</v>
      </c>
      <c r="D617" t="s">
        <v>340</v>
      </c>
      <c r="E617">
        <v>45139</v>
      </c>
    </row>
    <row r="618" spans="1:5">
      <c r="A618">
        <v>230814</v>
      </c>
      <c r="B618" t="s">
        <v>1183</v>
      </c>
      <c r="C618" t="s">
        <v>2003</v>
      </c>
      <c r="D618" t="s">
        <v>2004</v>
      </c>
      <c r="E618">
        <v>45140</v>
      </c>
    </row>
    <row r="619" spans="1:5">
      <c r="A619">
        <v>230602</v>
      </c>
      <c r="B619" t="s">
        <v>1875</v>
      </c>
      <c r="C619" t="s">
        <v>1965</v>
      </c>
      <c r="D619" t="s">
        <v>309</v>
      </c>
      <c r="E619">
        <v>45082</v>
      </c>
    </row>
    <row r="620" spans="1:5">
      <c r="A620">
        <v>230816</v>
      </c>
      <c r="B620" t="s">
        <v>1096</v>
      </c>
      <c r="C620" t="s">
        <v>2005</v>
      </c>
      <c r="D620" t="s">
        <v>2006</v>
      </c>
      <c r="E620">
        <v>45141</v>
      </c>
    </row>
    <row r="621" spans="1:5">
      <c r="A621">
        <v>230817</v>
      </c>
      <c r="B621" t="s">
        <v>1192</v>
      </c>
      <c r="C621" t="s">
        <v>351</v>
      </c>
      <c r="D621" t="s">
        <v>352</v>
      </c>
      <c r="E621">
        <v>45145</v>
      </c>
    </row>
    <row r="622" spans="1:5">
      <c r="A622">
        <v>230818</v>
      </c>
      <c r="B622" t="s">
        <v>1116</v>
      </c>
      <c r="C622" t="s">
        <v>2007</v>
      </c>
      <c r="D622" t="s">
        <v>2008</v>
      </c>
      <c r="E622">
        <v>45159</v>
      </c>
    </row>
    <row r="623" spans="1:5">
      <c r="A623">
        <v>230819</v>
      </c>
      <c r="B623" t="s">
        <v>1192</v>
      </c>
      <c r="C623" t="s">
        <v>30</v>
      </c>
      <c r="D623" t="s">
        <v>2009</v>
      </c>
      <c r="E623">
        <v>45159</v>
      </c>
    </row>
    <row r="624" spans="1:5">
      <c r="A624">
        <v>230820</v>
      </c>
      <c r="B624" t="s">
        <v>206</v>
      </c>
      <c r="C624" t="s">
        <v>2010</v>
      </c>
      <c r="D624" t="s">
        <v>2011</v>
      </c>
      <c r="E624">
        <v>45159</v>
      </c>
    </row>
    <row r="625" spans="1:5">
      <c r="A625">
        <v>230821</v>
      </c>
      <c r="B625" t="s">
        <v>1106</v>
      </c>
      <c r="C625" t="s">
        <v>2012</v>
      </c>
      <c r="D625" t="s">
        <v>2013</v>
      </c>
      <c r="E625">
        <v>45159</v>
      </c>
    </row>
    <row r="626" spans="1:5">
      <c r="A626">
        <v>230903</v>
      </c>
      <c r="B626" t="s">
        <v>1096</v>
      </c>
      <c r="C626" t="s">
        <v>2014</v>
      </c>
      <c r="D626" t="s">
        <v>2015</v>
      </c>
      <c r="E626">
        <v>45170</v>
      </c>
    </row>
    <row r="627" spans="1:5">
      <c r="A627">
        <v>230901</v>
      </c>
      <c r="B627" t="s">
        <v>1130</v>
      </c>
      <c r="C627" t="s">
        <v>1363</v>
      </c>
      <c r="D627" t="s">
        <v>1364</v>
      </c>
      <c r="E627">
        <v>45170</v>
      </c>
    </row>
    <row r="628" spans="1:5">
      <c r="A628">
        <v>230902</v>
      </c>
      <c r="B628" t="s">
        <v>1130</v>
      </c>
      <c r="C628" t="s">
        <v>2016</v>
      </c>
      <c r="D628" t="s">
        <v>2017</v>
      </c>
      <c r="E628">
        <v>45170</v>
      </c>
    </row>
    <row r="629" spans="1:5">
      <c r="A629">
        <v>230904</v>
      </c>
      <c r="B629" t="s">
        <v>1705</v>
      </c>
      <c r="C629" t="s">
        <v>2018</v>
      </c>
      <c r="D629" t="s">
        <v>2019</v>
      </c>
      <c r="E629">
        <v>45175</v>
      </c>
    </row>
    <row r="630" spans="1:5">
      <c r="A630">
        <v>230905</v>
      </c>
      <c r="B630" t="s">
        <v>1192</v>
      </c>
      <c r="C630" t="s">
        <v>2020</v>
      </c>
      <c r="D630" t="s">
        <v>2021</v>
      </c>
      <c r="E630">
        <v>45180</v>
      </c>
    </row>
    <row r="631" spans="1:5">
      <c r="A631">
        <v>230906</v>
      </c>
      <c r="B631" t="s">
        <v>206</v>
      </c>
      <c r="C631" t="s">
        <v>2022</v>
      </c>
      <c r="D631" t="s">
        <v>2023</v>
      </c>
      <c r="E631">
        <v>45180</v>
      </c>
    </row>
    <row r="632" spans="1:5">
      <c r="A632">
        <v>230907</v>
      </c>
      <c r="B632" t="s">
        <v>1192</v>
      </c>
      <c r="C632" t="s">
        <v>390</v>
      </c>
      <c r="D632" t="s">
        <v>391</v>
      </c>
      <c r="E632">
        <v>45180</v>
      </c>
    </row>
    <row r="633" spans="1:5">
      <c r="A633">
        <v>230908</v>
      </c>
      <c r="B633" t="s">
        <v>1103</v>
      </c>
      <c r="C633" t="s">
        <v>361</v>
      </c>
      <c r="D633" t="s">
        <v>362</v>
      </c>
      <c r="E633">
        <v>45187</v>
      </c>
    </row>
    <row r="634" spans="1:5">
      <c r="A634">
        <v>230910</v>
      </c>
      <c r="B634" t="s">
        <v>1130</v>
      </c>
      <c r="C634" t="s">
        <v>378</v>
      </c>
      <c r="D634" t="s">
        <v>379</v>
      </c>
      <c r="E634">
        <v>45188</v>
      </c>
    </row>
    <row r="635" spans="1:5">
      <c r="A635">
        <v>230911</v>
      </c>
      <c r="B635" t="s">
        <v>1130</v>
      </c>
      <c r="C635" t="s">
        <v>369</v>
      </c>
      <c r="D635" t="s">
        <v>370</v>
      </c>
      <c r="E635">
        <v>45188</v>
      </c>
    </row>
    <row r="636" spans="1:5">
      <c r="A636">
        <v>230909</v>
      </c>
      <c r="B636" t="s">
        <v>1130</v>
      </c>
      <c r="C636" t="s">
        <v>364</v>
      </c>
      <c r="D636" t="s">
        <v>365</v>
      </c>
      <c r="E636">
        <v>45188</v>
      </c>
    </row>
    <row r="637" spans="1:5">
      <c r="A637">
        <v>230912</v>
      </c>
      <c r="B637" t="s">
        <v>1130</v>
      </c>
      <c r="C637" t="s">
        <v>366</v>
      </c>
      <c r="D637" t="s">
        <v>367</v>
      </c>
      <c r="E637">
        <v>45188</v>
      </c>
    </row>
    <row r="638" spans="1:5">
      <c r="A638">
        <v>230913</v>
      </c>
      <c r="B638" t="s">
        <v>1130</v>
      </c>
      <c r="C638" t="s">
        <v>371</v>
      </c>
      <c r="D638" t="s">
        <v>372</v>
      </c>
      <c r="E638">
        <v>45188</v>
      </c>
    </row>
    <row r="639" spans="1:5">
      <c r="A639">
        <v>230914</v>
      </c>
      <c r="B639" t="s">
        <v>1130</v>
      </c>
      <c r="C639" t="s">
        <v>374</v>
      </c>
      <c r="D639" t="s">
        <v>375</v>
      </c>
      <c r="E639">
        <v>45190</v>
      </c>
    </row>
    <row r="640" spans="1:5">
      <c r="A640">
        <v>230915</v>
      </c>
      <c r="B640" t="s">
        <v>1130</v>
      </c>
      <c r="C640" t="s">
        <v>376</v>
      </c>
      <c r="D640" t="s">
        <v>377</v>
      </c>
      <c r="E640">
        <v>45190</v>
      </c>
    </row>
    <row r="641" spans="1:5">
      <c r="A641">
        <v>220308</v>
      </c>
      <c r="B641" t="s">
        <v>1192</v>
      </c>
      <c r="C641" t="s">
        <v>39</v>
      </c>
      <c r="D641" t="s">
        <v>40</v>
      </c>
      <c r="E641">
        <v>44623</v>
      </c>
    </row>
    <row r="642" spans="1:5">
      <c r="A642">
        <v>230917</v>
      </c>
      <c r="B642" t="s">
        <v>178</v>
      </c>
      <c r="C642" t="s">
        <v>380</v>
      </c>
      <c r="D642" t="s">
        <v>381</v>
      </c>
      <c r="E642">
        <v>45197</v>
      </c>
    </row>
    <row r="643" spans="1:5">
      <c r="A643">
        <v>230919</v>
      </c>
      <c r="B643" t="s">
        <v>178</v>
      </c>
      <c r="C643" t="s">
        <v>384</v>
      </c>
      <c r="D643" t="s">
        <v>385</v>
      </c>
      <c r="E643">
        <v>45197</v>
      </c>
    </row>
    <row r="644" spans="1:5">
      <c r="A644">
        <v>230920</v>
      </c>
      <c r="B644" t="s">
        <v>178</v>
      </c>
      <c r="C644" t="s">
        <v>386</v>
      </c>
      <c r="D644" t="s">
        <v>387</v>
      </c>
      <c r="E644">
        <v>45197</v>
      </c>
    </row>
    <row r="645" spans="1:5">
      <c r="A645">
        <v>230918</v>
      </c>
      <c r="B645" t="s">
        <v>178</v>
      </c>
      <c r="C645" t="s">
        <v>382</v>
      </c>
      <c r="D645" t="s">
        <v>383</v>
      </c>
      <c r="E645">
        <v>45197</v>
      </c>
    </row>
    <row r="646" spans="1:5">
      <c r="A646">
        <v>231001</v>
      </c>
      <c r="B646" t="s">
        <v>1079</v>
      </c>
      <c r="C646" t="s">
        <v>396</v>
      </c>
      <c r="D646" t="s">
        <v>397</v>
      </c>
      <c r="E646">
        <v>45201</v>
      </c>
    </row>
    <row r="647" spans="1:5">
      <c r="A647">
        <v>231009</v>
      </c>
      <c r="B647" t="s">
        <v>264</v>
      </c>
      <c r="C647" t="s">
        <v>2024</v>
      </c>
      <c r="D647" t="s">
        <v>2025</v>
      </c>
      <c r="E647">
        <v>45201</v>
      </c>
    </row>
    <row r="648" spans="1:5">
      <c r="A648">
        <v>230802</v>
      </c>
      <c r="B648" t="s">
        <v>1192</v>
      </c>
      <c r="C648" t="s">
        <v>349</v>
      </c>
      <c r="D648" t="s">
        <v>350</v>
      </c>
      <c r="E648">
        <v>45139</v>
      </c>
    </row>
    <row r="649" spans="1:5">
      <c r="A649">
        <v>231003</v>
      </c>
      <c r="B649" t="s">
        <v>239</v>
      </c>
      <c r="C649" t="s">
        <v>1071</v>
      </c>
      <c r="D649" t="s">
        <v>1072</v>
      </c>
      <c r="E649">
        <v>45215</v>
      </c>
    </row>
    <row r="650" spans="1:5">
      <c r="A650">
        <v>231004</v>
      </c>
      <c r="B650" t="s">
        <v>1705</v>
      </c>
      <c r="C650" t="s">
        <v>2026</v>
      </c>
      <c r="D650" t="s">
        <v>2027</v>
      </c>
      <c r="E650">
        <v>45215</v>
      </c>
    </row>
    <row r="651" spans="1:5">
      <c r="A651">
        <v>231005</v>
      </c>
      <c r="B651" t="s">
        <v>1705</v>
      </c>
      <c r="C651" t="s">
        <v>2028</v>
      </c>
      <c r="D651" t="s">
        <v>2029</v>
      </c>
      <c r="E651">
        <v>45215</v>
      </c>
    </row>
    <row r="652" spans="1:5">
      <c r="A652">
        <v>231006</v>
      </c>
      <c r="B652" t="s">
        <v>264</v>
      </c>
      <c r="C652" t="s">
        <v>411</v>
      </c>
      <c r="D652" t="s">
        <v>412</v>
      </c>
      <c r="E652">
        <v>45216</v>
      </c>
    </row>
    <row r="653" spans="1:5">
      <c r="A653">
        <v>231007</v>
      </c>
      <c r="B653" t="s">
        <v>1079</v>
      </c>
      <c r="C653" t="s">
        <v>415</v>
      </c>
      <c r="D653" t="s">
        <v>416</v>
      </c>
      <c r="E653">
        <v>45217</v>
      </c>
    </row>
    <row r="654" spans="1:5">
      <c r="A654">
        <v>231008</v>
      </c>
      <c r="B654" t="s">
        <v>1116</v>
      </c>
      <c r="C654" t="s">
        <v>2030</v>
      </c>
      <c r="D654" t="s">
        <v>2031</v>
      </c>
      <c r="E654">
        <v>45223</v>
      </c>
    </row>
    <row r="655" spans="1:5">
      <c r="A655">
        <v>231010</v>
      </c>
      <c r="B655" t="s">
        <v>1116</v>
      </c>
      <c r="C655" t="s">
        <v>2032</v>
      </c>
      <c r="D655" t="s">
        <v>2033</v>
      </c>
      <c r="E655">
        <v>45225</v>
      </c>
    </row>
    <row r="656" spans="1:5">
      <c r="A656">
        <v>231011</v>
      </c>
      <c r="B656" t="s">
        <v>239</v>
      </c>
      <c r="C656" t="s">
        <v>2034</v>
      </c>
      <c r="D656" t="s">
        <v>2035</v>
      </c>
      <c r="E656">
        <v>45229</v>
      </c>
    </row>
    <row r="657" spans="1:5">
      <c r="A657">
        <v>231012</v>
      </c>
      <c r="B657" t="s">
        <v>1832</v>
      </c>
      <c r="C657" t="s">
        <v>1367</v>
      </c>
      <c r="D657" t="s">
        <v>2036</v>
      </c>
      <c r="E657">
        <v>45230</v>
      </c>
    </row>
    <row r="658" spans="1:5">
      <c r="A658">
        <v>231101</v>
      </c>
      <c r="B658" t="s">
        <v>1096</v>
      </c>
      <c r="C658" t="s">
        <v>884</v>
      </c>
      <c r="D658" t="s">
        <v>885</v>
      </c>
      <c r="E658">
        <v>45231</v>
      </c>
    </row>
    <row r="659" spans="1:5">
      <c r="A659">
        <v>231104</v>
      </c>
      <c r="B659" t="s">
        <v>178</v>
      </c>
      <c r="C659" t="s">
        <v>426</v>
      </c>
      <c r="D659" t="s">
        <v>427</v>
      </c>
      <c r="E659">
        <v>45231</v>
      </c>
    </row>
    <row r="660" spans="1:5">
      <c r="A660">
        <v>231105</v>
      </c>
      <c r="B660" t="s">
        <v>178</v>
      </c>
      <c r="C660" t="s">
        <v>2037</v>
      </c>
      <c r="D660" t="s">
        <v>2038</v>
      </c>
      <c r="E660">
        <v>45231</v>
      </c>
    </row>
    <row r="661" spans="1:5">
      <c r="A661">
        <v>231102</v>
      </c>
      <c r="B661" t="s">
        <v>1103</v>
      </c>
      <c r="C661" t="s">
        <v>405</v>
      </c>
      <c r="D661" t="s">
        <v>406</v>
      </c>
      <c r="E661">
        <v>45231</v>
      </c>
    </row>
    <row r="662" spans="1:5">
      <c r="A662">
        <v>231103</v>
      </c>
      <c r="B662" t="s">
        <v>1103</v>
      </c>
      <c r="C662" t="s">
        <v>407</v>
      </c>
      <c r="D662" t="s">
        <v>408</v>
      </c>
      <c r="E662">
        <v>45231</v>
      </c>
    </row>
    <row r="663" spans="1:5">
      <c r="A663">
        <v>231106</v>
      </c>
      <c r="B663" t="s">
        <v>1106</v>
      </c>
      <c r="C663" t="s">
        <v>413</v>
      </c>
      <c r="D663" t="s">
        <v>414</v>
      </c>
      <c r="E663">
        <v>45232</v>
      </c>
    </row>
    <row r="664" spans="1:5">
      <c r="A664">
        <v>231110</v>
      </c>
      <c r="B664" t="s">
        <v>1130</v>
      </c>
      <c r="C664" t="s">
        <v>419</v>
      </c>
      <c r="D664" t="s">
        <v>420</v>
      </c>
      <c r="E664">
        <v>45232</v>
      </c>
    </row>
    <row r="665" spans="1:5">
      <c r="A665">
        <v>231111</v>
      </c>
      <c r="B665" t="s">
        <v>1079</v>
      </c>
      <c r="C665" t="s">
        <v>398</v>
      </c>
      <c r="D665" t="s">
        <v>399</v>
      </c>
      <c r="E665">
        <v>45232</v>
      </c>
    </row>
    <row r="666" spans="1:5">
      <c r="A666">
        <v>231107</v>
      </c>
      <c r="B666" t="s">
        <v>1106</v>
      </c>
      <c r="C666" t="s">
        <v>409</v>
      </c>
      <c r="D666" t="s">
        <v>410</v>
      </c>
      <c r="E666">
        <v>45232</v>
      </c>
    </row>
    <row r="667" spans="1:5">
      <c r="A667">
        <v>231108</v>
      </c>
      <c r="B667" t="s">
        <v>1106</v>
      </c>
      <c r="C667" t="s">
        <v>2039</v>
      </c>
      <c r="D667" t="s">
        <v>2040</v>
      </c>
      <c r="E667">
        <v>45232</v>
      </c>
    </row>
    <row r="668" spans="1:5">
      <c r="A668">
        <v>231109</v>
      </c>
      <c r="B668" t="s">
        <v>1130</v>
      </c>
      <c r="C668" t="s">
        <v>417</v>
      </c>
      <c r="D668" t="s">
        <v>418</v>
      </c>
      <c r="E668">
        <v>45232</v>
      </c>
    </row>
    <row r="669" spans="1:5">
      <c r="A669">
        <v>220804</v>
      </c>
      <c r="B669" t="s">
        <v>1096</v>
      </c>
      <c r="C669" t="s">
        <v>1778</v>
      </c>
      <c r="D669" t="s">
        <v>1779</v>
      </c>
      <c r="E669">
        <v>45236</v>
      </c>
    </row>
    <row r="670" spans="1:5">
      <c r="A670">
        <v>210420</v>
      </c>
      <c r="B670" t="s">
        <v>1262</v>
      </c>
      <c r="C670" t="s">
        <v>1268</v>
      </c>
      <c r="D670" t="s">
        <v>1269</v>
      </c>
      <c r="E670">
        <v>45243</v>
      </c>
    </row>
    <row r="671" spans="1:5">
      <c r="A671">
        <v>231112</v>
      </c>
      <c r="B671" t="s">
        <v>1192</v>
      </c>
      <c r="C671" t="s">
        <v>462</v>
      </c>
      <c r="D671" t="s">
        <v>463</v>
      </c>
      <c r="E671">
        <v>45243</v>
      </c>
    </row>
    <row r="672" spans="1:5">
      <c r="A672">
        <v>230916</v>
      </c>
      <c r="B672" t="s">
        <v>239</v>
      </c>
      <c r="C672" t="s">
        <v>388</v>
      </c>
      <c r="D672" t="s">
        <v>389</v>
      </c>
      <c r="E672">
        <v>45194</v>
      </c>
    </row>
    <row r="673" spans="1:5">
      <c r="A673">
        <v>231114</v>
      </c>
      <c r="B673" t="s">
        <v>1130</v>
      </c>
      <c r="C673" t="s">
        <v>2043</v>
      </c>
      <c r="D673" t="s">
        <v>2044</v>
      </c>
      <c r="E673">
        <v>45251</v>
      </c>
    </row>
    <row r="674" spans="1:5">
      <c r="A674">
        <v>231117</v>
      </c>
      <c r="B674" t="s">
        <v>1130</v>
      </c>
      <c r="C674" t="s">
        <v>446</v>
      </c>
      <c r="D674" t="s">
        <v>447</v>
      </c>
      <c r="E674">
        <v>45251</v>
      </c>
    </row>
    <row r="675" spans="1:5">
      <c r="A675">
        <v>231115</v>
      </c>
      <c r="B675" t="s">
        <v>1130</v>
      </c>
      <c r="C675" t="s">
        <v>442</v>
      </c>
      <c r="D675" t="s">
        <v>443</v>
      </c>
      <c r="E675">
        <v>45251</v>
      </c>
    </row>
    <row r="676" spans="1:5">
      <c r="A676">
        <v>231116</v>
      </c>
      <c r="B676" t="s">
        <v>1130</v>
      </c>
      <c r="C676" t="s">
        <v>444</v>
      </c>
      <c r="D676" t="s">
        <v>445</v>
      </c>
      <c r="E676">
        <v>45251</v>
      </c>
    </row>
    <row r="677" spans="1:5">
      <c r="A677">
        <v>231118</v>
      </c>
      <c r="B677" t="s">
        <v>264</v>
      </c>
      <c r="C677" t="s">
        <v>2045</v>
      </c>
      <c r="D677" t="s">
        <v>2046</v>
      </c>
      <c r="E677">
        <v>45254</v>
      </c>
    </row>
    <row r="678" spans="1:5">
      <c r="A678">
        <v>231119</v>
      </c>
      <c r="B678" t="s">
        <v>264</v>
      </c>
      <c r="C678" t="s">
        <v>435</v>
      </c>
      <c r="D678" t="s">
        <v>436</v>
      </c>
      <c r="E678">
        <v>45254</v>
      </c>
    </row>
    <row r="679" spans="1:5">
      <c r="A679">
        <v>231120</v>
      </c>
      <c r="B679" t="s">
        <v>1773</v>
      </c>
      <c r="C679" t="s">
        <v>2047</v>
      </c>
      <c r="D679" t="s">
        <v>607</v>
      </c>
      <c r="E679">
        <v>45258</v>
      </c>
    </row>
    <row r="680" spans="1:5">
      <c r="A680">
        <v>231201</v>
      </c>
      <c r="B680" t="s">
        <v>178</v>
      </c>
      <c r="C680" t="s">
        <v>2048</v>
      </c>
      <c r="D680" t="s">
        <v>2049</v>
      </c>
      <c r="E680">
        <v>45261</v>
      </c>
    </row>
    <row r="681" spans="1:5">
      <c r="A681">
        <v>231202</v>
      </c>
      <c r="B681" t="s">
        <v>264</v>
      </c>
      <c r="C681" t="s">
        <v>432</v>
      </c>
      <c r="D681" t="s">
        <v>433</v>
      </c>
      <c r="E681">
        <v>45261</v>
      </c>
    </row>
    <row r="682" spans="1:5">
      <c r="A682">
        <v>231203</v>
      </c>
      <c r="B682" t="s">
        <v>1106</v>
      </c>
      <c r="C682" t="s">
        <v>1974</v>
      </c>
      <c r="D682" t="s">
        <v>2050</v>
      </c>
      <c r="E682">
        <v>45261</v>
      </c>
    </row>
    <row r="683" spans="1:5">
      <c r="A683">
        <v>231204</v>
      </c>
      <c r="B683" t="s">
        <v>1106</v>
      </c>
      <c r="C683" t="s">
        <v>2051</v>
      </c>
      <c r="D683" t="s">
        <v>2052</v>
      </c>
      <c r="E683">
        <v>45261</v>
      </c>
    </row>
    <row r="684" spans="1:5">
      <c r="A684">
        <v>231205</v>
      </c>
      <c r="B684" t="s">
        <v>1103</v>
      </c>
      <c r="C684" t="s">
        <v>437</v>
      </c>
      <c r="D684" t="s">
        <v>438</v>
      </c>
      <c r="E684">
        <v>45261</v>
      </c>
    </row>
    <row r="685" spans="1:5">
      <c r="A685">
        <v>231207</v>
      </c>
      <c r="B685" t="s">
        <v>76</v>
      </c>
      <c r="C685" t="s">
        <v>464</v>
      </c>
      <c r="D685" t="s">
        <v>465</v>
      </c>
      <c r="E685">
        <v>45261</v>
      </c>
    </row>
    <row r="686" spans="1:5">
      <c r="A686">
        <v>231208</v>
      </c>
      <c r="B686" t="s">
        <v>76</v>
      </c>
      <c r="C686" t="s">
        <v>466</v>
      </c>
      <c r="D686" t="s">
        <v>467</v>
      </c>
      <c r="E686">
        <v>45261</v>
      </c>
    </row>
    <row r="687" spans="1:5">
      <c r="A687">
        <v>231206</v>
      </c>
      <c r="B687" t="s">
        <v>1103</v>
      </c>
      <c r="C687" t="s">
        <v>440</v>
      </c>
      <c r="D687" t="s">
        <v>441</v>
      </c>
      <c r="E687">
        <v>45261</v>
      </c>
    </row>
    <row r="688" spans="1:5">
      <c r="A688">
        <v>231214</v>
      </c>
      <c r="B688" t="s">
        <v>178</v>
      </c>
      <c r="C688" t="s">
        <v>468</v>
      </c>
      <c r="D688" t="s">
        <v>469</v>
      </c>
      <c r="E688">
        <v>45264</v>
      </c>
    </row>
    <row r="689" spans="1:5">
      <c r="A689">
        <v>231210</v>
      </c>
      <c r="B689" t="s">
        <v>1130</v>
      </c>
      <c r="C689" t="s">
        <v>2053</v>
      </c>
      <c r="D689" t="s">
        <v>2054</v>
      </c>
      <c r="E689">
        <v>45264</v>
      </c>
    </row>
    <row r="690" spans="1:5">
      <c r="A690">
        <v>231211</v>
      </c>
      <c r="B690" t="s">
        <v>1130</v>
      </c>
      <c r="C690" t="s">
        <v>2055</v>
      </c>
      <c r="D690" t="s">
        <v>2056</v>
      </c>
      <c r="E690">
        <v>45264</v>
      </c>
    </row>
    <row r="691" spans="1:5">
      <c r="A691">
        <v>231213</v>
      </c>
      <c r="B691" t="s">
        <v>1130</v>
      </c>
      <c r="C691" t="s">
        <v>452</v>
      </c>
      <c r="D691" t="s">
        <v>453</v>
      </c>
      <c r="E691">
        <v>45264</v>
      </c>
    </row>
    <row r="692" spans="1:5">
      <c r="A692">
        <v>231209</v>
      </c>
      <c r="B692" t="s">
        <v>1130</v>
      </c>
      <c r="C692" t="s">
        <v>449</v>
      </c>
      <c r="D692" t="s">
        <v>54</v>
      </c>
      <c r="E692">
        <v>45264</v>
      </c>
    </row>
    <row r="693" spans="1:5">
      <c r="A693">
        <v>231212</v>
      </c>
      <c r="B693" t="s">
        <v>1130</v>
      </c>
      <c r="C693" t="s">
        <v>450</v>
      </c>
      <c r="D693" t="s">
        <v>451</v>
      </c>
      <c r="E693">
        <v>45264</v>
      </c>
    </row>
    <row r="694" spans="1:5">
      <c r="A694">
        <v>231215</v>
      </c>
      <c r="B694" t="s">
        <v>1130</v>
      </c>
      <c r="C694" t="s">
        <v>456</v>
      </c>
      <c r="D694" t="s">
        <v>457</v>
      </c>
      <c r="E694">
        <v>45272</v>
      </c>
    </row>
    <row r="695" spans="1:5">
      <c r="A695">
        <v>231216</v>
      </c>
      <c r="B695" t="s">
        <v>1130</v>
      </c>
      <c r="C695" t="s">
        <v>458</v>
      </c>
      <c r="D695" t="s">
        <v>459</v>
      </c>
      <c r="E695">
        <v>45272</v>
      </c>
    </row>
    <row r="696" spans="1:5">
      <c r="A696">
        <v>231002</v>
      </c>
      <c r="B696" t="s">
        <v>239</v>
      </c>
      <c r="C696" t="s">
        <v>421</v>
      </c>
      <c r="D696" t="s">
        <v>422</v>
      </c>
      <c r="E696">
        <v>45215</v>
      </c>
    </row>
    <row r="697" spans="1:5">
      <c r="A697">
        <v>231218</v>
      </c>
      <c r="B697" t="s">
        <v>178</v>
      </c>
      <c r="C697" t="s">
        <v>2057</v>
      </c>
      <c r="D697" t="s">
        <v>2058</v>
      </c>
      <c r="E697">
        <v>45275</v>
      </c>
    </row>
    <row r="698" spans="1:5">
      <c r="A698">
        <v>231219</v>
      </c>
      <c r="B698" t="s">
        <v>178</v>
      </c>
      <c r="C698" t="s">
        <v>2059</v>
      </c>
      <c r="D698" t="s">
        <v>2060</v>
      </c>
      <c r="E698">
        <v>45278</v>
      </c>
    </row>
    <row r="699" spans="1:5">
      <c r="A699">
        <v>231221</v>
      </c>
      <c r="B699" t="s">
        <v>178</v>
      </c>
      <c r="C699" t="s">
        <v>93</v>
      </c>
      <c r="D699" t="s">
        <v>94</v>
      </c>
      <c r="E699">
        <v>45278</v>
      </c>
    </row>
    <row r="700" spans="1:5">
      <c r="A700">
        <v>231220</v>
      </c>
      <c r="B700" t="s">
        <v>264</v>
      </c>
      <c r="C700" t="s">
        <v>2061</v>
      </c>
      <c r="D700" t="s">
        <v>2062</v>
      </c>
      <c r="E700">
        <v>45281</v>
      </c>
    </row>
    <row r="701" spans="1:5">
      <c r="A701">
        <v>240101</v>
      </c>
      <c r="B701" t="s">
        <v>1495</v>
      </c>
      <c r="C701" t="s">
        <v>2063</v>
      </c>
      <c r="D701" t="s">
        <v>2064</v>
      </c>
      <c r="E701">
        <v>45301</v>
      </c>
    </row>
    <row r="702" spans="1:5">
      <c r="A702">
        <v>240102</v>
      </c>
      <c r="B702" t="s">
        <v>1495</v>
      </c>
      <c r="C702" t="s">
        <v>497</v>
      </c>
      <c r="D702" t="s">
        <v>498</v>
      </c>
      <c r="E702">
        <v>45301</v>
      </c>
    </row>
    <row r="703" spans="1:5">
      <c r="A703">
        <v>220806</v>
      </c>
      <c r="B703" t="s">
        <v>178</v>
      </c>
      <c r="C703" t="s">
        <v>1782</v>
      </c>
      <c r="D703" t="s">
        <v>1783</v>
      </c>
      <c r="E703">
        <v>45306</v>
      </c>
    </row>
    <row r="704" spans="1:5">
      <c r="A704">
        <v>231113</v>
      </c>
      <c r="B704" t="s">
        <v>239</v>
      </c>
      <c r="C704" t="s">
        <v>2041</v>
      </c>
      <c r="D704" t="s">
        <v>2042</v>
      </c>
      <c r="E704">
        <v>45250</v>
      </c>
    </row>
    <row r="705" spans="1:5">
      <c r="A705">
        <v>240104</v>
      </c>
      <c r="B705" t="s">
        <v>1130</v>
      </c>
      <c r="C705" t="s">
        <v>477</v>
      </c>
      <c r="D705" t="s">
        <v>478</v>
      </c>
      <c r="E705">
        <v>45309</v>
      </c>
    </row>
    <row r="706" spans="1:5">
      <c r="A706">
        <v>240105</v>
      </c>
      <c r="B706" t="s">
        <v>1130</v>
      </c>
      <c r="C706" t="s">
        <v>479</v>
      </c>
      <c r="D706" t="s">
        <v>480</v>
      </c>
      <c r="E706">
        <v>45309</v>
      </c>
    </row>
    <row r="707" spans="1:5">
      <c r="A707">
        <v>240106</v>
      </c>
      <c r="B707" t="s">
        <v>1130</v>
      </c>
      <c r="C707" t="s">
        <v>481</v>
      </c>
      <c r="D707" t="s">
        <v>482</v>
      </c>
      <c r="E707">
        <v>45309</v>
      </c>
    </row>
    <row r="708" spans="1:5">
      <c r="A708">
        <v>240107</v>
      </c>
      <c r="B708" t="s">
        <v>1130</v>
      </c>
      <c r="C708" t="s">
        <v>483</v>
      </c>
      <c r="D708" t="s">
        <v>484</v>
      </c>
      <c r="E708">
        <v>45309</v>
      </c>
    </row>
    <row r="709" spans="1:5">
      <c r="A709">
        <v>240108</v>
      </c>
      <c r="B709" t="s">
        <v>1130</v>
      </c>
      <c r="C709" t="s">
        <v>417</v>
      </c>
      <c r="D709" t="s">
        <v>418</v>
      </c>
      <c r="E709">
        <v>45309</v>
      </c>
    </row>
    <row r="710" spans="1:5">
      <c r="A710">
        <v>240109</v>
      </c>
      <c r="B710" t="s">
        <v>1183</v>
      </c>
      <c r="C710" t="s">
        <v>2066</v>
      </c>
      <c r="D710" t="s">
        <v>2067</v>
      </c>
      <c r="E710">
        <v>45313</v>
      </c>
    </row>
    <row r="711" spans="1:5">
      <c r="A711">
        <v>240110</v>
      </c>
      <c r="B711" t="s">
        <v>1130</v>
      </c>
      <c r="C711" t="s">
        <v>493</v>
      </c>
      <c r="D711" t="s">
        <v>494</v>
      </c>
      <c r="E711">
        <v>45314</v>
      </c>
    </row>
    <row r="712" spans="1:5">
      <c r="A712">
        <v>240114</v>
      </c>
      <c r="B712" t="s">
        <v>76</v>
      </c>
      <c r="C712" t="s">
        <v>2068</v>
      </c>
      <c r="D712" t="s">
        <v>2069</v>
      </c>
      <c r="E712">
        <v>45314</v>
      </c>
    </row>
    <row r="713" spans="1:5">
      <c r="A713">
        <v>240115</v>
      </c>
      <c r="B713" t="s">
        <v>76</v>
      </c>
      <c r="C713" t="s">
        <v>2070</v>
      </c>
      <c r="D713" t="s">
        <v>2071</v>
      </c>
      <c r="E713">
        <v>45314</v>
      </c>
    </row>
    <row r="714" spans="1:5">
      <c r="A714">
        <v>240111</v>
      </c>
      <c r="B714" t="s">
        <v>1130</v>
      </c>
      <c r="C714" t="s">
        <v>488</v>
      </c>
      <c r="D714" t="s">
        <v>489</v>
      </c>
      <c r="E714">
        <v>45314</v>
      </c>
    </row>
    <row r="715" spans="1:5">
      <c r="A715">
        <v>240112</v>
      </c>
      <c r="B715" t="s">
        <v>1130</v>
      </c>
      <c r="C715" t="s">
        <v>495</v>
      </c>
      <c r="D715" t="s">
        <v>496</v>
      </c>
      <c r="E715">
        <v>45314</v>
      </c>
    </row>
    <row r="716" spans="1:5">
      <c r="A716">
        <v>240113</v>
      </c>
      <c r="B716" t="s">
        <v>1130</v>
      </c>
      <c r="C716" t="s">
        <v>490</v>
      </c>
      <c r="D716" t="s">
        <v>491</v>
      </c>
      <c r="E716">
        <v>45314</v>
      </c>
    </row>
    <row r="717" spans="1:5">
      <c r="A717">
        <v>240116</v>
      </c>
      <c r="B717" t="s">
        <v>1130</v>
      </c>
      <c r="C717" t="s">
        <v>2072</v>
      </c>
      <c r="D717" t="s">
        <v>2073</v>
      </c>
      <c r="E717">
        <v>45316</v>
      </c>
    </row>
    <row r="718" spans="1:5">
      <c r="A718">
        <v>240117</v>
      </c>
      <c r="B718" t="s">
        <v>1130</v>
      </c>
      <c r="C718" t="s">
        <v>486</v>
      </c>
      <c r="D718" t="s">
        <v>487</v>
      </c>
      <c r="E718">
        <v>45316</v>
      </c>
    </row>
    <row r="719" spans="1:5">
      <c r="A719">
        <v>220214</v>
      </c>
      <c r="B719" t="s">
        <v>1255</v>
      </c>
      <c r="C719" t="s">
        <v>1622</v>
      </c>
      <c r="D719" t="s">
        <v>1623</v>
      </c>
      <c r="E719">
        <v>45321</v>
      </c>
    </row>
    <row r="720" spans="1:5">
      <c r="A720">
        <v>240201</v>
      </c>
      <c r="B720" t="s">
        <v>1593</v>
      </c>
      <c r="C720" t="s">
        <v>2074</v>
      </c>
      <c r="D720" t="s">
        <v>2075</v>
      </c>
      <c r="E720">
        <v>45323</v>
      </c>
    </row>
    <row r="721" spans="1:5">
      <c r="A721">
        <v>240202</v>
      </c>
      <c r="B721" t="s">
        <v>264</v>
      </c>
      <c r="C721" t="s">
        <v>2076</v>
      </c>
      <c r="D721" t="s">
        <v>2077</v>
      </c>
      <c r="E721">
        <v>45323</v>
      </c>
    </row>
    <row r="722" spans="1:5">
      <c r="A722">
        <v>201001</v>
      </c>
      <c r="B722" t="s">
        <v>1356</v>
      </c>
      <c r="C722" t="s">
        <v>1097</v>
      </c>
      <c r="D722" t="s">
        <v>1098</v>
      </c>
      <c r="E722">
        <v>45327</v>
      </c>
    </row>
    <row r="723" spans="1:5">
      <c r="A723">
        <v>240203</v>
      </c>
      <c r="B723" t="s">
        <v>510</v>
      </c>
      <c r="C723" t="s">
        <v>334</v>
      </c>
      <c r="D723" t="s">
        <v>335</v>
      </c>
      <c r="E723">
        <v>45341</v>
      </c>
    </row>
    <row r="724" spans="1:5">
      <c r="A724">
        <v>240204</v>
      </c>
      <c r="B724" t="s">
        <v>264</v>
      </c>
      <c r="C724" t="s">
        <v>508</v>
      </c>
      <c r="D724" t="s">
        <v>509</v>
      </c>
      <c r="E724">
        <v>45341</v>
      </c>
    </row>
    <row r="725" spans="1:5">
      <c r="A725">
        <v>240205</v>
      </c>
      <c r="B725" t="s">
        <v>1079</v>
      </c>
      <c r="C725" t="s">
        <v>2078</v>
      </c>
      <c r="D725" t="s">
        <v>2079</v>
      </c>
      <c r="E725">
        <v>45341</v>
      </c>
    </row>
    <row r="726" spans="1:5">
      <c r="A726">
        <v>240206</v>
      </c>
      <c r="B726" t="s">
        <v>264</v>
      </c>
      <c r="C726" t="s">
        <v>2080</v>
      </c>
      <c r="D726" t="s">
        <v>2081</v>
      </c>
      <c r="E726">
        <v>45348</v>
      </c>
    </row>
    <row r="727" spans="1:5">
      <c r="A727">
        <v>240207</v>
      </c>
      <c r="B727" t="s">
        <v>1183</v>
      </c>
      <c r="C727" t="s">
        <v>2082</v>
      </c>
      <c r="D727" t="s">
        <v>2083</v>
      </c>
      <c r="E727">
        <v>45351</v>
      </c>
    </row>
    <row r="728" spans="1:5">
      <c r="A728">
        <v>240301</v>
      </c>
      <c r="B728" t="s">
        <v>76</v>
      </c>
      <c r="C728" t="s">
        <v>2084</v>
      </c>
      <c r="D728" t="s">
        <v>2085</v>
      </c>
      <c r="E728">
        <v>45355</v>
      </c>
    </row>
    <row r="729" spans="1:5">
      <c r="A729">
        <v>240302</v>
      </c>
      <c r="B729" t="s">
        <v>264</v>
      </c>
      <c r="C729" t="s">
        <v>2086</v>
      </c>
      <c r="D729" t="s">
        <v>2087</v>
      </c>
      <c r="E729">
        <v>45356</v>
      </c>
    </row>
    <row r="730" spans="1:5">
      <c r="A730">
        <v>240303</v>
      </c>
      <c r="B730" t="s">
        <v>264</v>
      </c>
      <c r="C730" t="s">
        <v>2088</v>
      </c>
      <c r="D730" t="s">
        <v>2089</v>
      </c>
      <c r="E730">
        <v>45357</v>
      </c>
    </row>
    <row r="731" spans="1:5">
      <c r="A731">
        <v>240304</v>
      </c>
      <c r="B731" t="s">
        <v>1773</v>
      </c>
      <c r="C731" t="s">
        <v>2090</v>
      </c>
      <c r="D731" t="s">
        <v>2091</v>
      </c>
      <c r="E731">
        <v>45357</v>
      </c>
    </row>
    <row r="732" spans="1:5">
      <c r="A732">
        <v>240305</v>
      </c>
      <c r="B732" t="s">
        <v>1106</v>
      </c>
      <c r="C732" t="s">
        <v>2092</v>
      </c>
      <c r="D732" t="s">
        <v>2093</v>
      </c>
      <c r="E732">
        <v>45359</v>
      </c>
    </row>
    <row r="733" spans="1:5">
      <c r="A733">
        <v>240306</v>
      </c>
      <c r="B733" t="s">
        <v>1106</v>
      </c>
      <c r="C733" t="s">
        <v>2094</v>
      </c>
      <c r="D733" t="s">
        <v>2095</v>
      </c>
      <c r="E733">
        <v>45359</v>
      </c>
    </row>
    <row r="734" spans="1:5">
      <c r="A734">
        <v>240307</v>
      </c>
      <c r="B734" t="s">
        <v>1106</v>
      </c>
      <c r="C734" t="s">
        <v>2096</v>
      </c>
      <c r="D734" t="s">
        <v>2097</v>
      </c>
      <c r="E734">
        <v>45359</v>
      </c>
    </row>
    <row r="735" spans="1:5">
      <c r="A735">
        <v>240308</v>
      </c>
      <c r="B735" t="s">
        <v>1116</v>
      </c>
      <c r="C735" t="s">
        <v>2098</v>
      </c>
      <c r="D735" t="s">
        <v>2099</v>
      </c>
      <c r="E735">
        <v>45362</v>
      </c>
    </row>
    <row r="736" spans="1:5">
      <c r="A736">
        <v>240309</v>
      </c>
      <c r="B736" t="s">
        <v>264</v>
      </c>
      <c r="C736" t="s">
        <v>2100</v>
      </c>
      <c r="D736" t="s">
        <v>2101</v>
      </c>
      <c r="E736">
        <v>45362</v>
      </c>
    </row>
    <row r="737" spans="1:5">
      <c r="A737">
        <v>220315</v>
      </c>
      <c r="B737" t="s">
        <v>1116</v>
      </c>
      <c r="C737" t="s">
        <v>1654</v>
      </c>
      <c r="D737" t="s">
        <v>1655</v>
      </c>
      <c r="E737">
        <v>45363</v>
      </c>
    </row>
    <row r="738" spans="1:5">
      <c r="A738">
        <v>240310</v>
      </c>
      <c r="B738" t="s">
        <v>1130</v>
      </c>
      <c r="C738" t="s">
        <v>2102</v>
      </c>
      <c r="D738" t="s">
        <v>2103</v>
      </c>
      <c r="E738">
        <v>45363</v>
      </c>
    </row>
    <row r="739" spans="1:5">
      <c r="A739">
        <v>240311</v>
      </c>
      <c r="B739" t="s">
        <v>1130</v>
      </c>
      <c r="C739" t="s">
        <v>2104</v>
      </c>
      <c r="D739" t="s">
        <v>2105</v>
      </c>
      <c r="E739">
        <v>45363</v>
      </c>
    </row>
    <row r="740" spans="1:5">
      <c r="A740">
        <v>240312</v>
      </c>
      <c r="B740" t="s">
        <v>1130</v>
      </c>
      <c r="C740" t="s">
        <v>2106</v>
      </c>
      <c r="D740" t="s">
        <v>2107</v>
      </c>
      <c r="E740">
        <v>45363</v>
      </c>
    </row>
    <row r="741" spans="1:5">
      <c r="A741">
        <v>240313</v>
      </c>
      <c r="B741" t="s">
        <v>1773</v>
      </c>
      <c r="C741" t="s">
        <v>1040</v>
      </c>
      <c r="D741" t="s">
        <v>1041</v>
      </c>
      <c r="E741">
        <v>45364</v>
      </c>
    </row>
    <row r="742" spans="1:5">
      <c r="A742">
        <v>240314</v>
      </c>
      <c r="B742" t="s">
        <v>1106</v>
      </c>
      <c r="C742" t="s">
        <v>2108</v>
      </c>
      <c r="D742" t="s">
        <v>2109</v>
      </c>
      <c r="E742">
        <v>45365</v>
      </c>
    </row>
    <row r="743" spans="1:5">
      <c r="A743">
        <v>240315</v>
      </c>
      <c r="B743" t="s">
        <v>1106</v>
      </c>
      <c r="C743" t="s">
        <v>2110</v>
      </c>
      <c r="D743" t="s">
        <v>2111</v>
      </c>
      <c r="E743">
        <v>45365</v>
      </c>
    </row>
    <row r="744" spans="1:5">
      <c r="A744">
        <v>240319</v>
      </c>
      <c r="B744" t="s">
        <v>1079</v>
      </c>
      <c r="C744" t="s">
        <v>2112</v>
      </c>
      <c r="D744" t="s">
        <v>2113</v>
      </c>
      <c r="E744">
        <v>45366</v>
      </c>
    </row>
    <row r="745" spans="1:5">
      <c r="A745">
        <v>240316</v>
      </c>
      <c r="B745" t="s">
        <v>1130</v>
      </c>
      <c r="C745" t="s">
        <v>2114</v>
      </c>
      <c r="D745" t="s">
        <v>2115</v>
      </c>
      <c r="E745">
        <v>45366</v>
      </c>
    </row>
    <row r="746" spans="1:5">
      <c r="A746">
        <v>240317</v>
      </c>
      <c r="B746" t="s">
        <v>1103</v>
      </c>
      <c r="C746" t="s">
        <v>1225</v>
      </c>
      <c r="D746" t="s">
        <v>1226</v>
      </c>
      <c r="E746">
        <v>45366</v>
      </c>
    </row>
    <row r="747" spans="1:5">
      <c r="A747">
        <v>240318</v>
      </c>
      <c r="B747" t="s">
        <v>1103</v>
      </c>
      <c r="C747" t="s">
        <v>30</v>
      </c>
      <c r="D747" t="s">
        <v>1804</v>
      </c>
      <c r="E747">
        <v>45366</v>
      </c>
    </row>
    <row r="748" spans="1:5">
      <c r="A748">
        <v>210801</v>
      </c>
      <c r="B748" t="s">
        <v>1197</v>
      </c>
      <c r="C748" t="s">
        <v>1363</v>
      </c>
      <c r="D748" t="s">
        <v>1364</v>
      </c>
      <c r="E748">
        <v>45369</v>
      </c>
    </row>
    <row r="749" spans="1:5">
      <c r="A749">
        <v>240321</v>
      </c>
      <c r="B749" t="s">
        <v>1099</v>
      </c>
      <c r="C749" t="s">
        <v>2116</v>
      </c>
      <c r="D749" t="s">
        <v>2117</v>
      </c>
      <c r="E749">
        <v>45369</v>
      </c>
    </row>
    <row r="750" spans="1:5">
      <c r="A750">
        <v>211031</v>
      </c>
      <c r="B750" t="s">
        <v>50</v>
      </c>
      <c r="C750" t="s">
        <v>1307</v>
      </c>
      <c r="D750" t="s">
        <v>1308</v>
      </c>
      <c r="E750">
        <v>45372</v>
      </c>
    </row>
    <row r="751" spans="1:5">
      <c r="A751">
        <v>240322</v>
      </c>
      <c r="B751" t="s">
        <v>76</v>
      </c>
      <c r="C751" t="s">
        <v>2118</v>
      </c>
      <c r="D751" t="s">
        <v>2119</v>
      </c>
      <c r="E751">
        <v>45372</v>
      </c>
    </row>
    <row r="752" spans="1:5">
      <c r="A752">
        <v>240323</v>
      </c>
      <c r="B752" t="s">
        <v>178</v>
      </c>
      <c r="C752" t="s">
        <v>2120</v>
      </c>
      <c r="D752" t="s">
        <v>2121</v>
      </c>
      <c r="E752">
        <v>45372</v>
      </c>
    </row>
    <row r="753" spans="1:5">
      <c r="A753">
        <v>240324</v>
      </c>
      <c r="B753" t="s">
        <v>1593</v>
      </c>
      <c r="C753" t="s">
        <v>2122</v>
      </c>
      <c r="D753" t="s">
        <v>2123</v>
      </c>
      <c r="E753">
        <v>45376</v>
      </c>
    </row>
    <row r="754" spans="1:5">
      <c r="A754">
        <v>240401</v>
      </c>
      <c r="B754" t="s">
        <v>1106</v>
      </c>
      <c r="C754" t="s">
        <v>2124</v>
      </c>
      <c r="D754" t="s">
        <v>2125</v>
      </c>
      <c r="E754">
        <v>45384</v>
      </c>
    </row>
    <row r="755" spans="1:5">
      <c r="A755">
        <v>240402</v>
      </c>
      <c r="B755" t="s">
        <v>1106</v>
      </c>
      <c r="C755" t="s">
        <v>334</v>
      </c>
      <c r="D755" t="s">
        <v>335</v>
      </c>
      <c r="E755">
        <v>45384</v>
      </c>
    </row>
    <row r="756" spans="1:5">
      <c r="A756">
        <v>231217</v>
      </c>
      <c r="B756" t="s">
        <v>1192</v>
      </c>
      <c r="C756" t="s">
        <v>460</v>
      </c>
      <c r="D756" t="s">
        <v>461</v>
      </c>
      <c r="E756">
        <v>45275</v>
      </c>
    </row>
    <row r="757" spans="1:5">
      <c r="A757">
        <v>240403</v>
      </c>
      <c r="B757" t="s">
        <v>1593</v>
      </c>
      <c r="C757" t="s">
        <v>209</v>
      </c>
      <c r="D757" t="s">
        <v>210</v>
      </c>
      <c r="E757">
        <v>45393</v>
      </c>
    </row>
    <row r="758" spans="1:5">
      <c r="A758">
        <v>240404</v>
      </c>
      <c r="B758" t="s">
        <v>1593</v>
      </c>
      <c r="C758" t="s">
        <v>2126</v>
      </c>
      <c r="D758" t="s">
        <v>2127</v>
      </c>
      <c r="E758">
        <v>45393</v>
      </c>
    </row>
    <row r="759" spans="1:5">
      <c r="A759">
        <v>211020</v>
      </c>
      <c r="B759" t="s">
        <v>1106</v>
      </c>
      <c r="C759" t="s">
        <v>1460</v>
      </c>
      <c r="D759" t="s">
        <v>1461</v>
      </c>
      <c r="E759">
        <v>45397</v>
      </c>
    </row>
    <row r="760" spans="1:5">
      <c r="A760">
        <v>240405</v>
      </c>
      <c r="B760" t="s">
        <v>178</v>
      </c>
      <c r="C760" t="s">
        <v>2128</v>
      </c>
      <c r="D760" t="s">
        <v>2129</v>
      </c>
      <c r="E760">
        <v>45398</v>
      </c>
    </row>
    <row r="761" spans="1:5">
      <c r="A761">
        <v>240406</v>
      </c>
      <c r="B761" t="s">
        <v>178</v>
      </c>
      <c r="C761" t="s">
        <v>409</v>
      </c>
      <c r="D761" t="s">
        <v>410</v>
      </c>
      <c r="E761">
        <v>45398</v>
      </c>
    </row>
    <row r="762" spans="1:5">
      <c r="A762">
        <v>240407</v>
      </c>
      <c r="B762" t="s">
        <v>178</v>
      </c>
      <c r="C762" t="s">
        <v>2130</v>
      </c>
      <c r="D762" t="s">
        <v>2131</v>
      </c>
      <c r="E762">
        <v>45398</v>
      </c>
    </row>
    <row r="763" spans="1:5">
      <c r="A763">
        <v>240408</v>
      </c>
      <c r="B763" t="s">
        <v>1192</v>
      </c>
      <c r="C763" t="s">
        <v>561</v>
      </c>
      <c r="D763" t="s">
        <v>562</v>
      </c>
      <c r="E763">
        <v>45399</v>
      </c>
    </row>
    <row r="764" spans="1:5">
      <c r="A764">
        <v>240409</v>
      </c>
      <c r="B764" t="s">
        <v>1192</v>
      </c>
      <c r="C764" t="s">
        <v>2132</v>
      </c>
      <c r="D764" t="s">
        <v>2133</v>
      </c>
      <c r="E764">
        <v>45399</v>
      </c>
    </row>
    <row r="765" spans="1:5">
      <c r="A765">
        <v>240103</v>
      </c>
      <c r="B765" t="s">
        <v>1116</v>
      </c>
      <c r="C765" t="s">
        <v>164</v>
      </c>
      <c r="D765" t="s">
        <v>2065</v>
      </c>
      <c r="E765">
        <v>45306</v>
      </c>
    </row>
    <row r="766" spans="1:5">
      <c r="A766">
        <v>211211</v>
      </c>
      <c r="B766" t="s">
        <v>1116</v>
      </c>
      <c r="C766" t="s">
        <v>1527</v>
      </c>
      <c r="D766" t="s">
        <v>1528</v>
      </c>
      <c r="E766">
        <v>45386</v>
      </c>
    </row>
    <row r="767" spans="1:5">
      <c r="A767">
        <v>240410</v>
      </c>
      <c r="B767" t="s">
        <v>1192</v>
      </c>
      <c r="C767" t="s">
        <v>2134</v>
      </c>
      <c r="D767" t="s">
        <v>2135</v>
      </c>
      <c r="E767">
        <v>45399</v>
      </c>
    </row>
    <row r="768" spans="1:5">
      <c r="A768">
        <v>240412</v>
      </c>
      <c r="B768" t="s">
        <v>1192</v>
      </c>
      <c r="C768" t="s">
        <v>2098</v>
      </c>
      <c r="D768" t="s">
        <v>2138</v>
      </c>
      <c r="E768">
        <v>45399</v>
      </c>
    </row>
    <row r="769" spans="1:5">
      <c r="A769">
        <v>240501</v>
      </c>
      <c r="B769" t="s">
        <v>178</v>
      </c>
      <c r="C769" t="s">
        <v>2139</v>
      </c>
      <c r="D769" t="s">
        <v>2140</v>
      </c>
      <c r="E769">
        <v>45418</v>
      </c>
    </row>
    <row r="770" spans="1:5">
      <c r="A770">
        <v>240411</v>
      </c>
      <c r="B770" t="s">
        <v>239</v>
      </c>
      <c r="C770" t="s">
        <v>2136</v>
      </c>
      <c r="D770" t="s">
        <v>2137</v>
      </c>
      <c r="E770">
        <v>45399</v>
      </c>
    </row>
    <row r="771" spans="1:5">
      <c r="A771">
        <v>240413</v>
      </c>
      <c r="B771" t="s">
        <v>1192</v>
      </c>
      <c r="C771" t="s">
        <v>1473</v>
      </c>
      <c r="D771" t="s">
        <v>1474</v>
      </c>
      <c r="E771">
        <v>45404</v>
      </c>
    </row>
    <row r="772" spans="1:5">
      <c r="A772">
        <v>240504</v>
      </c>
      <c r="B772" t="s">
        <v>1103</v>
      </c>
      <c r="C772" t="s">
        <v>2145</v>
      </c>
      <c r="D772" t="s">
        <v>2146</v>
      </c>
      <c r="E772">
        <v>45422</v>
      </c>
    </row>
    <row r="773" spans="1:5">
      <c r="A773">
        <v>240506</v>
      </c>
      <c r="B773" t="s">
        <v>178</v>
      </c>
      <c r="C773" t="s">
        <v>2147</v>
      </c>
      <c r="D773" t="s">
        <v>2148</v>
      </c>
      <c r="E773">
        <v>45425</v>
      </c>
    </row>
    <row r="774" spans="1:5">
      <c r="A774">
        <v>240502</v>
      </c>
      <c r="B774" t="s">
        <v>239</v>
      </c>
      <c r="C774" t="s">
        <v>2141</v>
      </c>
      <c r="D774" t="s">
        <v>2142</v>
      </c>
      <c r="E774">
        <v>45418</v>
      </c>
    </row>
    <row r="775" spans="1:5">
      <c r="A775">
        <v>210424</v>
      </c>
      <c r="B775" t="s">
        <v>1255</v>
      </c>
      <c r="C775" t="s">
        <v>209</v>
      </c>
      <c r="D775" t="s">
        <v>1276</v>
      </c>
      <c r="E775">
        <v>45439</v>
      </c>
    </row>
    <row r="776" spans="1:5">
      <c r="A776">
        <v>240507</v>
      </c>
      <c r="B776" t="s">
        <v>1183</v>
      </c>
      <c r="C776" t="s">
        <v>2151</v>
      </c>
      <c r="D776" t="s">
        <v>2152</v>
      </c>
      <c r="E776">
        <v>45439</v>
      </c>
    </row>
    <row r="777" spans="1:5">
      <c r="A777">
        <v>201204</v>
      </c>
      <c r="B777" t="s">
        <v>264</v>
      </c>
      <c r="C777" t="s">
        <v>1120</v>
      </c>
      <c r="D777" t="s">
        <v>1121</v>
      </c>
      <c r="E777">
        <v>45446</v>
      </c>
    </row>
    <row r="778" spans="1:5">
      <c r="A778">
        <v>240503</v>
      </c>
      <c r="B778" t="s">
        <v>239</v>
      </c>
      <c r="C778" t="s">
        <v>2143</v>
      </c>
      <c r="D778" t="s">
        <v>2144</v>
      </c>
      <c r="E778">
        <v>45418</v>
      </c>
    </row>
    <row r="779" spans="1:5">
      <c r="A779">
        <v>240505</v>
      </c>
      <c r="B779" t="s">
        <v>1116</v>
      </c>
      <c r="C779" t="s">
        <v>2149</v>
      </c>
      <c r="D779" t="s">
        <v>2150</v>
      </c>
      <c r="E779">
        <v>45425</v>
      </c>
    </row>
    <row r="780" spans="1:5">
      <c r="A780">
        <v>240601</v>
      </c>
      <c r="B780" t="s">
        <v>510</v>
      </c>
      <c r="C780" t="s">
        <v>550</v>
      </c>
      <c r="D780" t="s">
        <v>551</v>
      </c>
      <c r="E780">
        <v>45460</v>
      </c>
    </row>
    <row r="781" spans="1:5">
      <c r="A781">
        <v>240602</v>
      </c>
      <c r="B781" t="s">
        <v>1875</v>
      </c>
      <c r="C781" t="s">
        <v>537</v>
      </c>
      <c r="D781" t="s">
        <v>538</v>
      </c>
      <c r="E781">
        <v>45461</v>
      </c>
    </row>
    <row r="782" spans="1:5">
      <c r="A782">
        <v>240603</v>
      </c>
      <c r="B782" t="s">
        <v>50</v>
      </c>
      <c r="C782" t="s">
        <v>547</v>
      </c>
      <c r="D782" t="s">
        <v>548</v>
      </c>
      <c r="E782">
        <v>45464</v>
      </c>
    </row>
    <row r="783" spans="1:5">
      <c r="A783">
        <v>240604</v>
      </c>
      <c r="B783" t="s">
        <v>1192</v>
      </c>
      <c r="C783" t="s">
        <v>2153</v>
      </c>
      <c r="D783" t="s">
        <v>2154</v>
      </c>
      <c r="E783">
        <v>45467</v>
      </c>
    </row>
    <row r="784" spans="1:5">
      <c r="A784">
        <v>240605</v>
      </c>
      <c r="B784" t="s">
        <v>1079</v>
      </c>
      <c r="C784" t="s">
        <v>535</v>
      </c>
      <c r="D784" t="s">
        <v>536</v>
      </c>
      <c r="E784">
        <v>45467</v>
      </c>
    </row>
    <row r="785" spans="1:5">
      <c r="A785">
        <v>240606</v>
      </c>
      <c r="B785" t="s">
        <v>178</v>
      </c>
      <c r="C785" t="s">
        <v>543</v>
      </c>
      <c r="D785" t="s">
        <v>544</v>
      </c>
      <c r="E785">
        <v>45468</v>
      </c>
    </row>
    <row r="786" spans="1:5">
      <c r="A786">
        <v>240607</v>
      </c>
      <c r="B786" t="s">
        <v>510</v>
      </c>
      <c r="C786" t="s">
        <v>552</v>
      </c>
      <c r="D786" t="s">
        <v>553</v>
      </c>
      <c r="E786">
        <v>45470</v>
      </c>
    </row>
    <row r="787" spans="1:5">
      <c r="A787">
        <v>210908</v>
      </c>
      <c r="B787" t="s">
        <v>50</v>
      </c>
      <c r="C787" t="s">
        <v>1409</v>
      </c>
      <c r="D787" t="s">
        <v>1410</v>
      </c>
      <c r="E787">
        <v>45474</v>
      </c>
    </row>
    <row r="788" spans="1:5">
      <c r="A788">
        <v>240701</v>
      </c>
      <c r="B788" t="s">
        <v>1079</v>
      </c>
      <c r="C788" t="s">
        <v>2155</v>
      </c>
      <c r="D788" t="s">
        <v>2156</v>
      </c>
      <c r="E788">
        <v>45474</v>
      </c>
    </row>
    <row r="789" spans="1:5">
      <c r="A789">
        <v>240702</v>
      </c>
      <c r="B789" t="s">
        <v>76</v>
      </c>
      <c r="C789" t="s">
        <v>545</v>
      </c>
      <c r="D789" t="s">
        <v>546</v>
      </c>
      <c r="E789">
        <v>45474</v>
      </c>
    </row>
    <row r="790" spans="1:5">
      <c r="A790">
        <v>210611</v>
      </c>
      <c r="B790" t="s">
        <v>1192</v>
      </c>
      <c r="C790" t="s">
        <v>1322</v>
      </c>
      <c r="D790" t="s">
        <v>1323</v>
      </c>
      <c r="E790">
        <v>45481</v>
      </c>
    </row>
    <row r="791" spans="1:5">
      <c r="A791">
        <v>240703</v>
      </c>
      <c r="B791" t="s">
        <v>178</v>
      </c>
      <c r="C791" t="s">
        <v>2157</v>
      </c>
      <c r="D791" t="s">
        <v>2158</v>
      </c>
      <c r="E791">
        <v>45481</v>
      </c>
    </row>
    <row r="792" spans="1:5">
      <c r="A792">
        <v>240704</v>
      </c>
      <c r="B792" t="s">
        <v>1079</v>
      </c>
      <c r="C792" t="s">
        <v>2159</v>
      </c>
      <c r="D792" t="s">
        <v>2160</v>
      </c>
      <c r="E792">
        <v>45481</v>
      </c>
    </row>
    <row r="793" spans="1:5">
      <c r="A793">
        <v>230906</v>
      </c>
      <c r="B793" t="s">
        <v>1192</v>
      </c>
      <c r="C793" t="s">
        <v>2022</v>
      </c>
      <c r="D793" t="s">
        <v>2023</v>
      </c>
      <c r="E793">
        <v>45453</v>
      </c>
    </row>
    <row r="794" spans="1:5">
      <c r="A794">
        <v>240706</v>
      </c>
      <c r="B794" t="s">
        <v>178</v>
      </c>
      <c r="C794" t="s">
        <v>2163</v>
      </c>
      <c r="D794" t="s">
        <v>2164</v>
      </c>
      <c r="E794">
        <v>45483</v>
      </c>
    </row>
    <row r="795" spans="1:5">
      <c r="A795">
        <v>240707</v>
      </c>
      <c r="B795" t="s">
        <v>178</v>
      </c>
      <c r="C795" t="s">
        <v>2165</v>
      </c>
      <c r="D795" t="s">
        <v>2166</v>
      </c>
      <c r="E795">
        <v>45483</v>
      </c>
    </row>
    <row r="796" spans="1:5">
      <c r="A796">
        <v>240708</v>
      </c>
      <c r="B796" t="s">
        <v>50</v>
      </c>
      <c r="C796" t="s">
        <v>539</v>
      </c>
      <c r="D796" t="s">
        <v>540</v>
      </c>
      <c r="E796">
        <v>45485</v>
      </c>
    </row>
    <row r="797" spans="1:5">
      <c r="A797">
        <v>240709</v>
      </c>
      <c r="B797" t="s">
        <v>50</v>
      </c>
      <c r="C797" t="s">
        <v>541</v>
      </c>
      <c r="D797" t="s">
        <v>542</v>
      </c>
      <c r="E797">
        <v>45485</v>
      </c>
    </row>
    <row r="798" spans="1:5">
      <c r="A798">
        <v>240710</v>
      </c>
      <c r="B798" t="s">
        <v>264</v>
      </c>
      <c r="C798" t="s">
        <v>1073</v>
      </c>
      <c r="D798" t="s">
        <v>1074</v>
      </c>
      <c r="E798">
        <v>45488</v>
      </c>
    </row>
    <row r="799" spans="1:5">
      <c r="A799">
        <v>210201</v>
      </c>
      <c r="B799" t="s">
        <v>1106</v>
      </c>
      <c r="C799" t="s">
        <v>1175</v>
      </c>
      <c r="D799" t="s">
        <v>1176</v>
      </c>
      <c r="E799">
        <v>45495</v>
      </c>
    </row>
    <row r="800" spans="1:5">
      <c r="A800">
        <v>240711</v>
      </c>
      <c r="B800" t="s">
        <v>1106</v>
      </c>
      <c r="C800" t="s">
        <v>2167</v>
      </c>
      <c r="D800" t="s">
        <v>2168</v>
      </c>
      <c r="E800">
        <v>45495</v>
      </c>
    </row>
    <row r="801" spans="1:5">
      <c r="A801">
        <v>240712</v>
      </c>
      <c r="B801" t="s">
        <v>1106</v>
      </c>
      <c r="C801" t="s">
        <v>2169</v>
      </c>
      <c r="D801" t="s">
        <v>2170</v>
      </c>
      <c r="E801">
        <v>45495</v>
      </c>
    </row>
    <row r="802" spans="1:5">
      <c r="A802">
        <v>210315</v>
      </c>
      <c r="B802" t="s">
        <v>1255</v>
      </c>
      <c r="C802" t="s">
        <v>99</v>
      </c>
      <c r="D802" t="s">
        <v>100</v>
      </c>
      <c r="E802">
        <v>45505</v>
      </c>
    </row>
    <row r="803" spans="1:5">
      <c r="A803">
        <v>240801</v>
      </c>
      <c r="B803" t="s">
        <v>1705</v>
      </c>
      <c r="C803" t="s">
        <v>2171</v>
      </c>
      <c r="D803" t="s">
        <v>2172</v>
      </c>
      <c r="E803">
        <v>45505</v>
      </c>
    </row>
    <row r="804" spans="1:5">
      <c r="A804">
        <v>240802</v>
      </c>
      <c r="B804" t="s">
        <v>1130</v>
      </c>
      <c r="C804" t="s">
        <v>2161</v>
      </c>
      <c r="D804" t="s">
        <v>2173</v>
      </c>
      <c r="E804">
        <v>45505</v>
      </c>
    </row>
    <row r="805" spans="1:5">
      <c r="A805">
        <v>240803</v>
      </c>
      <c r="B805" t="s">
        <v>1130</v>
      </c>
      <c r="C805" t="s">
        <v>305</v>
      </c>
      <c r="D805" t="s">
        <v>306</v>
      </c>
      <c r="E805">
        <v>45506</v>
      </c>
    </row>
    <row r="806" spans="1:5">
      <c r="A806">
        <v>240804</v>
      </c>
      <c r="B806" t="s">
        <v>1130</v>
      </c>
      <c r="C806" t="s">
        <v>2174</v>
      </c>
      <c r="D806" t="s">
        <v>2175</v>
      </c>
      <c r="E806">
        <v>45506</v>
      </c>
    </row>
    <row r="807" spans="1:5">
      <c r="A807">
        <v>230815</v>
      </c>
      <c r="B807" t="s">
        <v>1875</v>
      </c>
      <c r="C807" t="s">
        <v>354</v>
      </c>
      <c r="D807" t="s">
        <v>355</v>
      </c>
      <c r="E807">
        <v>45140</v>
      </c>
    </row>
    <row r="808" spans="1:5">
      <c r="A808">
        <v>210906</v>
      </c>
      <c r="B808" t="s">
        <v>1705</v>
      </c>
      <c r="C808" t="s">
        <v>32</v>
      </c>
      <c r="D808" t="s">
        <v>1406</v>
      </c>
      <c r="E808">
        <v>45510</v>
      </c>
    </row>
    <row r="809" spans="1:5">
      <c r="A809">
        <v>240806</v>
      </c>
      <c r="B809" t="s">
        <v>1705</v>
      </c>
      <c r="C809" t="s">
        <v>2178</v>
      </c>
      <c r="D809" t="s">
        <v>2179</v>
      </c>
      <c r="E809">
        <v>45510</v>
      </c>
    </row>
    <row r="810" spans="1:5">
      <c r="A810">
        <v>240807</v>
      </c>
      <c r="B810" t="s">
        <v>50</v>
      </c>
      <c r="C810" t="s">
        <v>2180</v>
      </c>
      <c r="D810" t="s">
        <v>2181</v>
      </c>
      <c r="E810">
        <v>45510</v>
      </c>
    </row>
    <row r="811" spans="1:5">
      <c r="A811">
        <v>240808</v>
      </c>
      <c r="B811" t="s">
        <v>50</v>
      </c>
      <c r="C811" t="s">
        <v>2182</v>
      </c>
      <c r="D811" t="s">
        <v>2183</v>
      </c>
      <c r="E811">
        <v>45510</v>
      </c>
    </row>
    <row r="812" spans="1:5">
      <c r="A812">
        <v>240809</v>
      </c>
      <c r="B812" t="s">
        <v>50</v>
      </c>
      <c r="C812" t="s">
        <v>358</v>
      </c>
      <c r="D812" t="s">
        <v>2184</v>
      </c>
      <c r="E812">
        <v>45510</v>
      </c>
    </row>
    <row r="813" spans="1:5">
      <c r="A813">
        <v>240705</v>
      </c>
      <c r="B813" t="s">
        <v>1116</v>
      </c>
      <c r="C813" t="s">
        <v>2161</v>
      </c>
      <c r="D813" t="s">
        <v>2162</v>
      </c>
      <c r="E813">
        <v>45482</v>
      </c>
    </row>
    <row r="814" spans="1:5">
      <c r="A814">
        <v>240805</v>
      </c>
      <c r="B814" t="s">
        <v>1705</v>
      </c>
      <c r="C814" t="s">
        <v>2176</v>
      </c>
      <c r="D814" t="s">
        <v>2177</v>
      </c>
      <c r="E814">
        <v>45509</v>
      </c>
    </row>
    <row r="815" spans="1:5">
      <c r="A815">
        <v>210108</v>
      </c>
      <c r="B815" t="s">
        <v>1116</v>
      </c>
      <c r="C815" t="s">
        <v>1149</v>
      </c>
      <c r="D815" t="s">
        <v>1150</v>
      </c>
      <c r="E815">
        <v>45523</v>
      </c>
    </row>
    <row r="816" spans="1:5">
      <c r="A816">
        <v>240812</v>
      </c>
      <c r="B816" t="s">
        <v>50</v>
      </c>
      <c r="C816" t="s">
        <v>2187</v>
      </c>
      <c r="D816" t="s">
        <v>2188</v>
      </c>
      <c r="E816">
        <v>45524</v>
      </c>
    </row>
    <row r="817" spans="1:5">
      <c r="A817">
        <v>220506</v>
      </c>
      <c r="B817" t="s">
        <v>1705</v>
      </c>
      <c r="C817" t="s">
        <v>1706</v>
      </c>
      <c r="D817" t="s">
        <v>1707</v>
      </c>
      <c r="E817">
        <v>45525</v>
      </c>
    </row>
    <row r="818" spans="1:5">
      <c r="A818">
        <v>240813</v>
      </c>
      <c r="B818" t="s">
        <v>1705</v>
      </c>
      <c r="C818" t="s">
        <v>2189</v>
      </c>
      <c r="D818" t="s">
        <v>2190</v>
      </c>
      <c r="E818">
        <v>45525</v>
      </c>
    </row>
    <row r="819" spans="1:5">
      <c r="A819">
        <v>240814</v>
      </c>
      <c r="B819" t="s">
        <v>1705</v>
      </c>
      <c r="C819" t="s">
        <v>2191</v>
      </c>
      <c r="D819" t="s">
        <v>2192</v>
      </c>
      <c r="E819">
        <v>45525</v>
      </c>
    </row>
    <row r="820" spans="1:5">
      <c r="A820">
        <v>240801</v>
      </c>
      <c r="B820" t="s">
        <v>1705</v>
      </c>
      <c r="C820" t="s">
        <v>2171</v>
      </c>
      <c r="D820" t="s">
        <v>2172</v>
      </c>
      <c r="E820">
        <v>45894</v>
      </c>
    </row>
    <row r="821" spans="1:5">
      <c r="A821">
        <v>240408</v>
      </c>
      <c r="B821" t="s">
        <v>239</v>
      </c>
      <c r="C821" t="s">
        <v>561</v>
      </c>
      <c r="D821" t="s">
        <v>562</v>
      </c>
      <c r="E821">
        <v>45530</v>
      </c>
    </row>
    <row r="822" spans="1:5">
      <c r="A822">
        <v>240816</v>
      </c>
      <c r="B822" t="s">
        <v>50</v>
      </c>
      <c r="C822" t="s">
        <v>2195</v>
      </c>
      <c r="D822" t="s">
        <v>564</v>
      </c>
      <c r="E822">
        <v>45531</v>
      </c>
    </row>
    <row r="823" spans="1:5">
      <c r="A823">
        <v>240817</v>
      </c>
      <c r="B823" t="s">
        <v>50</v>
      </c>
      <c r="C823" t="s">
        <v>2196</v>
      </c>
      <c r="D823" t="s">
        <v>2197</v>
      </c>
      <c r="E823">
        <v>45531</v>
      </c>
    </row>
    <row r="824" spans="1:5">
      <c r="A824">
        <v>240818</v>
      </c>
      <c r="B824" t="s">
        <v>50</v>
      </c>
      <c r="C824" t="s">
        <v>2198</v>
      </c>
      <c r="D824" t="s">
        <v>2199</v>
      </c>
      <c r="E824">
        <v>45531</v>
      </c>
    </row>
    <row r="825" spans="1:5">
      <c r="A825">
        <v>241002</v>
      </c>
      <c r="B825" t="s">
        <v>239</v>
      </c>
      <c r="C825" t="s">
        <v>2217</v>
      </c>
      <c r="D825" t="s">
        <v>2218</v>
      </c>
      <c r="E825">
        <v>45566</v>
      </c>
    </row>
    <row r="826" spans="1:5">
      <c r="A826">
        <v>240901</v>
      </c>
      <c r="B826" t="s">
        <v>1705</v>
      </c>
      <c r="C826" t="s">
        <v>2200</v>
      </c>
      <c r="D826" t="s">
        <v>2201</v>
      </c>
      <c r="E826">
        <v>45537</v>
      </c>
    </row>
    <row r="827" spans="1:5">
      <c r="A827">
        <v>240811</v>
      </c>
      <c r="B827" t="s">
        <v>1705</v>
      </c>
      <c r="C827" t="s">
        <v>2185</v>
      </c>
      <c r="D827" t="s">
        <v>2186</v>
      </c>
      <c r="E827">
        <v>45512</v>
      </c>
    </row>
    <row r="828" spans="1:5">
      <c r="A828">
        <v>240903</v>
      </c>
      <c r="B828" t="s">
        <v>1103</v>
      </c>
      <c r="C828" t="s">
        <v>2204</v>
      </c>
      <c r="D828" t="s">
        <v>2205</v>
      </c>
      <c r="E828">
        <v>45537</v>
      </c>
    </row>
    <row r="829" spans="1:5">
      <c r="A829">
        <v>240815</v>
      </c>
      <c r="B829" t="s">
        <v>1705</v>
      </c>
      <c r="C829" t="s">
        <v>2193</v>
      </c>
      <c r="D829" t="s">
        <v>2194</v>
      </c>
      <c r="E829">
        <v>45526</v>
      </c>
    </row>
    <row r="830" spans="1:5">
      <c r="A830">
        <v>240905</v>
      </c>
      <c r="B830" t="s">
        <v>178</v>
      </c>
      <c r="C830" t="s">
        <v>608</v>
      </c>
      <c r="D830" t="s">
        <v>606</v>
      </c>
      <c r="E830">
        <v>45539</v>
      </c>
    </row>
    <row r="831" spans="1:5">
      <c r="A831">
        <v>240906</v>
      </c>
      <c r="B831" t="s">
        <v>178</v>
      </c>
      <c r="C831" t="s">
        <v>2208</v>
      </c>
      <c r="D831" t="s">
        <v>2209</v>
      </c>
      <c r="E831">
        <v>45539</v>
      </c>
    </row>
    <row r="832" spans="1:5">
      <c r="A832">
        <v>240907</v>
      </c>
      <c r="B832" t="s">
        <v>178</v>
      </c>
      <c r="C832" t="s">
        <v>2210</v>
      </c>
      <c r="D832" t="s">
        <v>2211</v>
      </c>
      <c r="E832">
        <v>45539</v>
      </c>
    </row>
    <row r="833" spans="1:5">
      <c r="A833">
        <v>240908</v>
      </c>
      <c r="B833" t="s">
        <v>50</v>
      </c>
      <c r="C833" t="s">
        <v>568</v>
      </c>
      <c r="D833" t="s">
        <v>569</v>
      </c>
      <c r="E833">
        <v>45541</v>
      </c>
    </row>
    <row r="834" spans="1:5">
      <c r="A834">
        <v>240909</v>
      </c>
      <c r="B834" t="s">
        <v>211</v>
      </c>
      <c r="C834" t="s">
        <v>570</v>
      </c>
      <c r="D834" t="s">
        <v>571</v>
      </c>
      <c r="E834">
        <v>45541</v>
      </c>
    </row>
    <row r="835" spans="1:5">
      <c r="A835">
        <v>240910</v>
      </c>
      <c r="B835" t="s">
        <v>50</v>
      </c>
      <c r="C835" t="s">
        <v>572</v>
      </c>
      <c r="D835" t="s">
        <v>573</v>
      </c>
      <c r="E835">
        <v>45541</v>
      </c>
    </row>
    <row r="836" spans="1:5">
      <c r="A836">
        <v>240911</v>
      </c>
      <c r="B836" t="s">
        <v>178</v>
      </c>
      <c r="C836" t="s">
        <v>490</v>
      </c>
      <c r="D836" t="s">
        <v>491</v>
      </c>
      <c r="E836">
        <v>45548</v>
      </c>
    </row>
    <row r="837" spans="1:5">
      <c r="A837">
        <v>240912</v>
      </c>
      <c r="B837" t="s">
        <v>178</v>
      </c>
      <c r="C837" t="s">
        <v>604</v>
      </c>
      <c r="D837" t="s">
        <v>605</v>
      </c>
      <c r="E837">
        <v>45548</v>
      </c>
    </row>
    <row r="838" spans="1:5">
      <c r="A838">
        <v>240913</v>
      </c>
      <c r="B838" t="s">
        <v>1106</v>
      </c>
      <c r="C838" t="s">
        <v>2212</v>
      </c>
      <c r="D838" t="s">
        <v>2213</v>
      </c>
      <c r="E838">
        <v>45551</v>
      </c>
    </row>
    <row r="839" spans="1:5">
      <c r="A839">
        <v>240914</v>
      </c>
      <c r="B839" t="s">
        <v>50</v>
      </c>
      <c r="C839" t="s">
        <v>2214</v>
      </c>
      <c r="D839" t="s">
        <v>2215</v>
      </c>
      <c r="E839">
        <v>45554</v>
      </c>
    </row>
    <row r="840" spans="1:5">
      <c r="A840">
        <v>240915</v>
      </c>
      <c r="B840" t="s">
        <v>50</v>
      </c>
      <c r="C840" t="s">
        <v>575</v>
      </c>
      <c r="D840" t="s">
        <v>576</v>
      </c>
      <c r="E840">
        <v>45554</v>
      </c>
    </row>
    <row r="841" spans="1:5">
      <c r="A841">
        <v>240916</v>
      </c>
      <c r="B841" t="s">
        <v>50</v>
      </c>
      <c r="C841" t="s">
        <v>577</v>
      </c>
      <c r="D841" t="s">
        <v>578</v>
      </c>
      <c r="E841">
        <v>45554</v>
      </c>
    </row>
    <row r="842" spans="1:5">
      <c r="A842">
        <v>211109</v>
      </c>
      <c r="B842" t="s">
        <v>50</v>
      </c>
      <c r="C842" t="s">
        <v>1498</v>
      </c>
      <c r="D842" t="s">
        <v>1499</v>
      </c>
      <c r="E842">
        <v>45566</v>
      </c>
    </row>
    <row r="843" spans="1:5">
      <c r="A843">
        <v>231120</v>
      </c>
      <c r="B843" t="s">
        <v>1773</v>
      </c>
      <c r="C843" t="s">
        <v>2047</v>
      </c>
      <c r="D843" t="s">
        <v>607</v>
      </c>
      <c r="E843">
        <v>45566</v>
      </c>
    </row>
    <row r="844" spans="1:5">
      <c r="A844">
        <v>241001</v>
      </c>
      <c r="B844" t="s">
        <v>211</v>
      </c>
      <c r="C844" t="s">
        <v>1656</v>
      </c>
      <c r="D844" t="s">
        <v>2216</v>
      </c>
      <c r="E844">
        <v>45566</v>
      </c>
    </row>
    <row r="845" spans="1:5">
      <c r="A845">
        <v>231011</v>
      </c>
      <c r="B845" t="s">
        <v>239</v>
      </c>
      <c r="C845" t="s">
        <v>2034</v>
      </c>
      <c r="D845" t="s">
        <v>2035</v>
      </c>
      <c r="E845">
        <v>45446</v>
      </c>
    </row>
    <row r="846" spans="1:5">
      <c r="A846">
        <v>241003</v>
      </c>
      <c r="B846" t="s">
        <v>1130</v>
      </c>
      <c r="C846" t="s">
        <v>2219</v>
      </c>
      <c r="D846" t="s">
        <v>2220</v>
      </c>
      <c r="E846">
        <v>45566</v>
      </c>
    </row>
    <row r="847" spans="1:5">
      <c r="A847">
        <v>241004</v>
      </c>
      <c r="B847" t="s">
        <v>76</v>
      </c>
      <c r="C847" t="s">
        <v>316</v>
      </c>
      <c r="D847" t="s">
        <v>2221</v>
      </c>
      <c r="E847">
        <v>45568</v>
      </c>
    </row>
    <row r="848" spans="1:5">
      <c r="A848">
        <v>241005</v>
      </c>
      <c r="B848" t="s">
        <v>178</v>
      </c>
      <c r="C848" t="s">
        <v>609</v>
      </c>
      <c r="D848" t="s">
        <v>610</v>
      </c>
      <c r="E848">
        <v>45572</v>
      </c>
    </row>
    <row r="849" spans="1:5">
      <c r="A849">
        <v>241006</v>
      </c>
      <c r="B849" t="s">
        <v>1495</v>
      </c>
      <c r="C849" t="s">
        <v>2222</v>
      </c>
      <c r="D849" t="s">
        <v>2223</v>
      </c>
      <c r="E849">
        <v>45582</v>
      </c>
    </row>
    <row r="850" spans="1:5">
      <c r="A850">
        <v>241007</v>
      </c>
      <c r="B850" t="s">
        <v>1183</v>
      </c>
      <c r="C850" t="s">
        <v>2224</v>
      </c>
      <c r="D850" t="s">
        <v>2225</v>
      </c>
      <c r="E850">
        <v>45583</v>
      </c>
    </row>
    <row r="851" spans="1:5">
      <c r="A851">
        <v>241009</v>
      </c>
      <c r="B851" t="s">
        <v>178</v>
      </c>
      <c r="C851" t="s">
        <v>611</v>
      </c>
      <c r="D851" t="s">
        <v>612</v>
      </c>
      <c r="E851">
        <v>45586</v>
      </c>
    </row>
    <row r="852" spans="1:5">
      <c r="A852">
        <v>241008</v>
      </c>
      <c r="B852" t="s">
        <v>1705</v>
      </c>
      <c r="C852" t="s">
        <v>2196</v>
      </c>
      <c r="D852" t="s">
        <v>2226</v>
      </c>
      <c r="E852">
        <v>45586</v>
      </c>
    </row>
    <row r="853" spans="1:5">
      <c r="A853">
        <v>241010</v>
      </c>
      <c r="B853" t="s">
        <v>178</v>
      </c>
      <c r="C853" t="s">
        <v>613</v>
      </c>
      <c r="D853" t="s">
        <v>614</v>
      </c>
      <c r="E853">
        <v>45588</v>
      </c>
    </row>
    <row r="854" spans="1:5">
      <c r="A854">
        <v>241209</v>
      </c>
      <c r="B854" t="s">
        <v>1192</v>
      </c>
      <c r="C854" t="s">
        <v>2238</v>
      </c>
      <c r="D854" t="s">
        <v>2239</v>
      </c>
      <c r="E854">
        <v>45642</v>
      </c>
    </row>
    <row r="855" spans="1:5">
      <c r="A855">
        <v>211016</v>
      </c>
      <c r="B855" t="s">
        <v>211</v>
      </c>
      <c r="C855" t="s">
        <v>1452</v>
      </c>
      <c r="D855" t="s">
        <v>1453</v>
      </c>
      <c r="E855">
        <v>45597</v>
      </c>
    </row>
    <row r="856" spans="1:5">
      <c r="A856">
        <v>231101</v>
      </c>
      <c r="B856" t="s">
        <v>1079</v>
      </c>
      <c r="C856" t="s">
        <v>884</v>
      </c>
      <c r="D856" t="s">
        <v>885</v>
      </c>
      <c r="E856">
        <v>45597</v>
      </c>
    </row>
    <row r="857" spans="1:5">
      <c r="A857">
        <v>241101</v>
      </c>
      <c r="B857" t="s">
        <v>1106</v>
      </c>
      <c r="C857" t="s">
        <v>2227</v>
      </c>
      <c r="D857" t="s">
        <v>2228</v>
      </c>
      <c r="E857">
        <v>45600</v>
      </c>
    </row>
    <row r="858" spans="1:5">
      <c r="A858">
        <v>241102</v>
      </c>
      <c r="B858" t="s">
        <v>178</v>
      </c>
      <c r="C858" t="s">
        <v>615</v>
      </c>
      <c r="D858" t="s">
        <v>616</v>
      </c>
      <c r="E858">
        <v>45602</v>
      </c>
    </row>
    <row r="859" spans="1:5">
      <c r="A859">
        <v>241103</v>
      </c>
      <c r="B859" t="s">
        <v>178</v>
      </c>
      <c r="C859" t="s">
        <v>622</v>
      </c>
      <c r="D859" t="s">
        <v>623</v>
      </c>
      <c r="E859">
        <v>45602</v>
      </c>
    </row>
    <row r="860" spans="1:5">
      <c r="A860">
        <v>241104</v>
      </c>
      <c r="B860" t="s">
        <v>178</v>
      </c>
      <c r="C860" t="s">
        <v>617</v>
      </c>
      <c r="D860" t="s">
        <v>618</v>
      </c>
      <c r="E860">
        <v>45602</v>
      </c>
    </row>
    <row r="861" spans="1:5">
      <c r="A861">
        <v>241105</v>
      </c>
      <c r="B861" t="s">
        <v>178</v>
      </c>
      <c r="C861" t="s">
        <v>369</v>
      </c>
      <c r="D861" t="s">
        <v>624</v>
      </c>
      <c r="E861">
        <v>45602</v>
      </c>
    </row>
    <row r="862" spans="1:5">
      <c r="A862">
        <v>241106</v>
      </c>
      <c r="B862" t="s">
        <v>178</v>
      </c>
      <c r="C862" t="s">
        <v>2229</v>
      </c>
      <c r="D862" t="s">
        <v>2230</v>
      </c>
      <c r="E862">
        <v>45621</v>
      </c>
    </row>
    <row r="863" spans="1:5">
      <c r="A863">
        <v>241201</v>
      </c>
      <c r="B863" t="s">
        <v>264</v>
      </c>
      <c r="C863" t="s">
        <v>2231</v>
      </c>
      <c r="D863" t="s">
        <v>2232</v>
      </c>
      <c r="E863">
        <v>45629</v>
      </c>
    </row>
    <row r="864" spans="1:5">
      <c r="A864">
        <v>241202</v>
      </c>
      <c r="B864" t="s">
        <v>1103</v>
      </c>
      <c r="C864" t="s">
        <v>863</v>
      </c>
      <c r="D864" t="s">
        <v>864</v>
      </c>
      <c r="E864">
        <v>45631</v>
      </c>
    </row>
    <row r="865" spans="1:5">
      <c r="A865">
        <v>211012</v>
      </c>
      <c r="B865" t="s">
        <v>1192</v>
      </c>
      <c r="C865" t="s">
        <v>1444</v>
      </c>
      <c r="D865" t="s">
        <v>1445</v>
      </c>
      <c r="E865">
        <v>45635</v>
      </c>
    </row>
    <row r="866" spans="1:5">
      <c r="A866">
        <v>241207</v>
      </c>
      <c r="B866" t="s">
        <v>178</v>
      </c>
      <c r="C866" t="s">
        <v>2233</v>
      </c>
      <c r="D866" t="s">
        <v>2234</v>
      </c>
      <c r="E866">
        <v>45635</v>
      </c>
    </row>
    <row r="867" spans="1:5">
      <c r="A867">
        <v>241205</v>
      </c>
      <c r="B867" t="s">
        <v>1106</v>
      </c>
      <c r="C867" t="s">
        <v>865</v>
      </c>
      <c r="D867" t="s">
        <v>866</v>
      </c>
      <c r="E867">
        <v>45635</v>
      </c>
    </row>
    <row r="868" spans="1:5">
      <c r="A868">
        <v>241203</v>
      </c>
      <c r="B868" t="s">
        <v>1116</v>
      </c>
      <c r="C868" t="s">
        <v>878</v>
      </c>
      <c r="D868" t="s">
        <v>879</v>
      </c>
      <c r="E868">
        <v>45635</v>
      </c>
    </row>
    <row r="869" spans="1:5">
      <c r="A869">
        <v>241204</v>
      </c>
      <c r="B869" t="s">
        <v>76</v>
      </c>
      <c r="C869" t="s">
        <v>2235</v>
      </c>
      <c r="D869" t="s">
        <v>880</v>
      </c>
      <c r="E869">
        <v>45635</v>
      </c>
    </row>
    <row r="870" spans="1:5">
      <c r="A870">
        <v>241206</v>
      </c>
      <c r="B870" t="s">
        <v>178</v>
      </c>
      <c r="C870" t="s">
        <v>881</v>
      </c>
      <c r="D870" t="s">
        <v>882</v>
      </c>
      <c r="E870">
        <v>45636</v>
      </c>
    </row>
    <row r="871" spans="1:5">
      <c r="A871">
        <v>220206</v>
      </c>
      <c r="B871" t="s">
        <v>178</v>
      </c>
      <c r="C871" t="s">
        <v>1612</v>
      </c>
      <c r="D871" t="s">
        <v>1613</v>
      </c>
      <c r="E871">
        <v>45642</v>
      </c>
    </row>
    <row r="872" spans="1:5">
      <c r="A872">
        <v>241208</v>
      </c>
      <c r="B872" t="s">
        <v>1079</v>
      </c>
      <c r="C872" t="s">
        <v>2236</v>
      </c>
      <c r="D872" t="s">
        <v>2237</v>
      </c>
      <c r="E872">
        <v>45642</v>
      </c>
    </row>
    <row r="873" spans="1:5">
      <c r="A873">
        <v>241210</v>
      </c>
      <c r="B873" t="s">
        <v>1192</v>
      </c>
      <c r="C873" t="s">
        <v>2240</v>
      </c>
      <c r="D873" t="s">
        <v>2241</v>
      </c>
      <c r="E873">
        <v>45642</v>
      </c>
    </row>
    <row r="874" spans="1:5">
      <c r="A874">
        <v>221206</v>
      </c>
      <c r="B874" t="s">
        <v>1192</v>
      </c>
      <c r="C874" t="s">
        <v>1865</v>
      </c>
      <c r="D874" t="s">
        <v>1866</v>
      </c>
      <c r="E874">
        <v>45532</v>
      </c>
    </row>
    <row r="875" spans="1:5">
      <c r="A875">
        <v>241217</v>
      </c>
      <c r="B875" t="s">
        <v>1106</v>
      </c>
      <c r="C875" t="s">
        <v>861</v>
      </c>
      <c r="D875" t="s">
        <v>862</v>
      </c>
      <c r="E875">
        <v>45643</v>
      </c>
    </row>
    <row r="876" spans="1:5">
      <c r="A876">
        <v>241215</v>
      </c>
      <c r="B876" t="s">
        <v>1183</v>
      </c>
      <c r="C876" t="s">
        <v>619</v>
      </c>
      <c r="D876" t="s">
        <v>2242</v>
      </c>
      <c r="E876">
        <v>45643</v>
      </c>
    </row>
    <row r="877" spans="1:5">
      <c r="A877">
        <v>241216</v>
      </c>
      <c r="B877" t="s">
        <v>76</v>
      </c>
      <c r="C877" t="s">
        <v>913</v>
      </c>
      <c r="D877" t="s">
        <v>914</v>
      </c>
      <c r="E877">
        <v>45643</v>
      </c>
    </row>
    <row r="878" spans="1:5">
      <c r="A878">
        <v>241211</v>
      </c>
      <c r="B878" t="s">
        <v>1130</v>
      </c>
      <c r="C878" t="s">
        <v>867</v>
      </c>
      <c r="D878" t="s">
        <v>868</v>
      </c>
      <c r="E878">
        <v>45643</v>
      </c>
    </row>
    <row r="879" spans="1:5">
      <c r="A879">
        <v>241212</v>
      </c>
      <c r="B879" t="s">
        <v>1130</v>
      </c>
      <c r="C879" t="s">
        <v>873</v>
      </c>
      <c r="D879" t="s">
        <v>874</v>
      </c>
      <c r="E879">
        <v>45643</v>
      </c>
    </row>
    <row r="880" spans="1:5">
      <c r="A880">
        <v>241213</v>
      </c>
      <c r="B880" t="s">
        <v>1130</v>
      </c>
      <c r="C880" t="s">
        <v>871</v>
      </c>
      <c r="D880" t="s">
        <v>872</v>
      </c>
      <c r="E880">
        <v>45643</v>
      </c>
    </row>
    <row r="881" spans="1:5">
      <c r="A881">
        <v>241214</v>
      </c>
      <c r="B881" t="s">
        <v>1130</v>
      </c>
      <c r="C881" t="s">
        <v>869</v>
      </c>
      <c r="D881" t="s">
        <v>870</v>
      </c>
      <c r="E881">
        <v>45643</v>
      </c>
    </row>
    <row r="882" spans="1:5">
      <c r="A882">
        <v>241218</v>
      </c>
      <c r="B882" t="s">
        <v>1773</v>
      </c>
      <c r="C882" t="s">
        <v>883</v>
      </c>
      <c r="D882" t="s">
        <v>2243</v>
      </c>
      <c r="E882">
        <v>45645</v>
      </c>
    </row>
    <row r="883" spans="1:5">
      <c r="A883">
        <v>211031</v>
      </c>
      <c r="B883" t="s">
        <v>50</v>
      </c>
      <c r="C883" t="s">
        <v>1307</v>
      </c>
      <c r="D883" t="s">
        <v>1308</v>
      </c>
      <c r="E883">
        <v>45649</v>
      </c>
    </row>
    <row r="884" spans="1:5">
      <c r="A884">
        <v>241219</v>
      </c>
      <c r="B884" t="s">
        <v>178</v>
      </c>
      <c r="C884" t="s">
        <v>2244</v>
      </c>
      <c r="D884" t="s">
        <v>2245</v>
      </c>
      <c r="E884">
        <v>45649</v>
      </c>
    </row>
    <row r="885" spans="1:5">
      <c r="A885">
        <v>241220</v>
      </c>
      <c r="B885" t="s">
        <v>178</v>
      </c>
      <c r="C885" t="s">
        <v>502</v>
      </c>
      <c r="D885" t="s">
        <v>2246</v>
      </c>
      <c r="E885">
        <v>45649</v>
      </c>
    </row>
    <row r="886" spans="1:5">
      <c r="A886">
        <v>210422</v>
      </c>
      <c r="B886" t="s">
        <v>1116</v>
      </c>
      <c r="C886" t="s">
        <v>1272</v>
      </c>
      <c r="D886" t="s">
        <v>1273</v>
      </c>
      <c r="E886">
        <v>45597</v>
      </c>
    </row>
    <row r="887" spans="1:5">
      <c r="A887">
        <v>240902</v>
      </c>
      <c r="B887" t="s">
        <v>1875</v>
      </c>
      <c r="C887" t="s">
        <v>2202</v>
      </c>
      <c r="D887" t="s">
        <v>2203</v>
      </c>
      <c r="E887">
        <v>45537</v>
      </c>
    </row>
    <row r="888" spans="1:5">
      <c r="A888">
        <v>220303</v>
      </c>
      <c r="B888" t="s">
        <v>1116</v>
      </c>
      <c r="C888" t="s">
        <v>392</v>
      </c>
      <c r="D888" t="s">
        <v>393</v>
      </c>
      <c r="E888">
        <v>45712</v>
      </c>
    </row>
    <row r="889" spans="1:5">
      <c r="A889">
        <v>210118</v>
      </c>
      <c r="B889" t="s">
        <v>178</v>
      </c>
      <c r="C889" t="s">
        <v>1167</v>
      </c>
      <c r="D889" t="s">
        <v>1168</v>
      </c>
      <c r="E889">
        <v>45670</v>
      </c>
    </row>
    <row r="890" spans="1:5">
      <c r="A890">
        <v>250103</v>
      </c>
      <c r="B890" t="s">
        <v>178</v>
      </c>
      <c r="C890" t="s">
        <v>898</v>
      </c>
      <c r="D890" t="s">
        <v>899</v>
      </c>
      <c r="E890">
        <v>45671</v>
      </c>
    </row>
    <row r="891" spans="1:5">
      <c r="A891">
        <v>250104</v>
      </c>
      <c r="B891" t="s">
        <v>178</v>
      </c>
      <c r="C891" t="s">
        <v>900</v>
      </c>
      <c r="D891" t="s">
        <v>901</v>
      </c>
      <c r="E891">
        <v>45671</v>
      </c>
    </row>
    <row r="892" spans="1:5">
      <c r="A892">
        <v>250105</v>
      </c>
      <c r="B892" t="s">
        <v>178</v>
      </c>
      <c r="C892" t="s">
        <v>902</v>
      </c>
      <c r="D892" t="s">
        <v>903</v>
      </c>
      <c r="E892">
        <v>45671</v>
      </c>
    </row>
    <row r="893" spans="1:5">
      <c r="A893">
        <v>250106</v>
      </c>
      <c r="B893" t="s">
        <v>1705</v>
      </c>
      <c r="C893" t="s">
        <v>917</v>
      </c>
      <c r="D893" t="s">
        <v>918</v>
      </c>
      <c r="E893">
        <v>45672</v>
      </c>
    </row>
    <row r="894" spans="1:5">
      <c r="A894">
        <v>250112</v>
      </c>
      <c r="B894" t="s">
        <v>178</v>
      </c>
      <c r="C894" t="s">
        <v>904</v>
      </c>
      <c r="D894" t="s">
        <v>905</v>
      </c>
      <c r="E894">
        <v>45673</v>
      </c>
    </row>
    <row r="895" spans="1:5">
      <c r="A895">
        <v>250113</v>
      </c>
      <c r="B895" t="s">
        <v>178</v>
      </c>
      <c r="C895" t="s">
        <v>906</v>
      </c>
      <c r="D895" t="s">
        <v>907</v>
      </c>
      <c r="E895">
        <v>45673</v>
      </c>
    </row>
    <row r="896" spans="1:5">
      <c r="A896">
        <v>250107</v>
      </c>
      <c r="B896" t="s">
        <v>1106</v>
      </c>
      <c r="C896" t="s">
        <v>886</v>
      </c>
      <c r="D896" t="s">
        <v>887</v>
      </c>
      <c r="E896">
        <v>45673</v>
      </c>
    </row>
    <row r="897" spans="1:5">
      <c r="A897">
        <v>250108</v>
      </c>
      <c r="B897" t="s">
        <v>1183</v>
      </c>
      <c r="C897" t="s">
        <v>888</v>
      </c>
      <c r="D897" t="s">
        <v>889</v>
      </c>
      <c r="E897">
        <v>45673</v>
      </c>
    </row>
    <row r="898" spans="1:5">
      <c r="A898">
        <v>250109</v>
      </c>
      <c r="B898" t="s">
        <v>1183</v>
      </c>
      <c r="C898" t="s">
        <v>890</v>
      </c>
      <c r="D898" t="s">
        <v>891</v>
      </c>
      <c r="E898">
        <v>45673</v>
      </c>
    </row>
    <row r="899" spans="1:5">
      <c r="A899">
        <v>250110</v>
      </c>
      <c r="B899" t="s">
        <v>1130</v>
      </c>
      <c r="C899" t="s">
        <v>895</v>
      </c>
      <c r="D899" t="s">
        <v>896</v>
      </c>
      <c r="E899">
        <v>45673</v>
      </c>
    </row>
    <row r="900" spans="1:5">
      <c r="A900">
        <v>250111</v>
      </c>
      <c r="B900" t="s">
        <v>1130</v>
      </c>
      <c r="C900" t="s">
        <v>923</v>
      </c>
      <c r="D900" t="s">
        <v>924</v>
      </c>
      <c r="E900">
        <v>45673</v>
      </c>
    </row>
    <row r="901" spans="1:5">
      <c r="A901">
        <v>250114</v>
      </c>
      <c r="B901" t="s">
        <v>1773</v>
      </c>
      <c r="C901" t="s">
        <v>910</v>
      </c>
      <c r="D901" t="s">
        <v>911</v>
      </c>
      <c r="E901">
        <v>45674</v>
      </c>
    </row>
    <row r="902" spans="1:5">
      <c r="A902">
        <v>230210</v>
      </c>
      <c r="B902" t="s">
        <v>50</v>
      </c>
      <c r="C902" t="s">
        <v>1901</v>
      </c>
      <c r="D902" t="s">
        <v>1902</v>
      </c>
      <c r="E902">
        <v>45677</v>
      </c>
    </row>
    <row r="903" spans="1:5">
      <c r="A903">
        <v>240904</v>
      </c>
      <c r="B903" t="s">
        <v>1705</v>
      </c>
      <c r="C903" t="s">
        <v>2206</v>
      </c>
      <c r="D903" t="s">
        <v>2207</v>
      </c>
      <c r="E903">
        <v>45537</v>
      </c>
    </row>
    <row r="904" spans="1:5">
      <c r="A904">
        <v>250101</v>
      </c>
      <c r="B904" t="s">
        <v>1705</v>
      </c>
      <c r="C904" t="s">
        <v>2247</v>
      </c>
      <c r="D904" t="s">
        <v>2248</v>
      </c>
      <c r="E904">
        <v>45663</v>
      </c>
    </row>
    <row r="905" spans="1:5">
      <c r="A905">
        <v>250117</v>
      </c>
      <c r="B905" t="s">
        <v>1103</v>
      </c>
      <c r="C905" t="s">
        <v>892</v>
      </c>
      <c r="D905" t="s">
        <v>893</v>
      </c>
      <c r="E905">
        <v>45680</v>
      </c>
    </row>
    <row r="906" spans="1:5">
      <c r="A906">
        <v>250118</v>
      </c>
      <c r="B906" t="s">
        <v>178</v>
      </c>
      <c r="C906" t="s">
        <v>2249</v>
      </c>
      <c r="D906" t="s">
        <v>2250</v>
      </c>
      <c r="E906">
        <v>45685</v>
      </c>
    </row>
    <row r="907" spans="1:5">
      <c r="A907">
        <v>250119</v>
      </c>
      <c r="B907" t="s">
        <v>178</v>
      </c>
      <c r="C907" t="s">
        <v>342</v>
      </c>
      <c r="D907" t="s">
        <v>909</v>
      </c>
      <c r="E907">
        <v>45685</v>
      </c>
    </row>
    <row r="908" spans="1:5">
      <c r="A908">
        <v>250201</v>
      </c>
      <c r="B908" t="s">
        <v>1099</v>
      </c>
      <c r="C908" t="s">
        <v>2251</v>
      </c>
      <c r="D908" t="s">
        <v>2252</v>
      </c>
      <c r="E908">
        <v>45691</v>
      </c>
    </row>
    <row r="909" spans="1:5">
      <c r="A909">
        <v>250207</v>
      </c>
      <c r="B909" t="s">
        <v>178</v>
      </c>
      <c r="C909" t="s">
        <v>968</v>
      </c>
      <c r="D909" t="s">
        <v>969</v>
      </c>
      <c r="E909">
        <v>45698</v>
      </c>
    </row>
    <row r="910" spans="1:5">
      <c r="A910">
        <v>250208</v>
      </c>
      <c r="B910" t="s">
        <v>178</v>
      </c>
      <c r="C910" t="s">
        <v>966</v>
      </c>
      <c r="D910" t="s">
        <v>967</v>
      </c>
      <c r="E910">
        <v>45698</v>
      </c>
    </row>
    <row r="911" spans="1:5">
      <c r="A911">
        <v>250209</v>
      </c>
      <c r="B911" t="s">
        <v>178</v>
      </c>
      <c r="C911" t="s">
        <v>974</v>
      </c>
      <c r="D911" t="s">
        <v>975</v>
      </c>
      <c r="E911">
        <v>45698</v>
      </c>
    </row>
    <row r="912" spans="1:5">
      <c r="A912">
        <v>250210</v>
      </c>
      <c r="B912" t="s">
        <v>178</v>
      </c>
      <c r="C912" t="s">
        <v>976</v>
      </c>
      <c r="D912" t="s">
        <v>977</v>
      </c>
      <c r="E912">
        <v>45698</v>
      </c>
    </row>
    <row r="913" spans="1:5">
      <c r="A913">
        <v>250211</v>
      </c>
      <c r="B913" t="s">
        <v>178</v>
      </c>
      <c r="C913" t="s">
        <v>972</v>
      </c>
      <c r="D913" t="s">
        <v>973</v>
      </c>
      <c r="E913">
        <v>45698</v>
      </c>
    </row>
    <row r="914" spans="1:5">
      <c r="A914">
        <v>250212</v>
      </c>
      <c r="B914" t="s">
        <v>178</v>
      </c>
      <c r="C914" t="s">
        <v>970</v>
      </c>
      <c r="D914" t="s">
        <v>971</v>
      </c>
      <c r="E914">
        <v>45698</v>
      </c>
    </row>
    <row r="915" spans="1:5">
      <c r="A915">
        <v>250205</v>
      </c>
      <c r="B915" t="s">
        <v>1183</v>
      </c>
      <c r="C915" t="s">
        <v>927</v>
      </c>
      <c r="D915" t="s">
        <v>928</v>
      </c>
      <c r="E915">
        <v>45698</v>
      </c>
    </row>
    <row r="916" spans="1:5">
      <c r="A916">
        <v>250206</v>
      </c>
      <c r="B916" t="s">
        <v>1106</v>
      </c>
      <c r="C916" t="s">
        <v>929</v>
      </c>
      <c r="D916" t="s">
        <v>930</v>
      </c>
      <c r="E916">
        <v>45698</v>
      </c>
    </row>
    <row r="917" spans="1:5">
      <c r="A917">
        <v>250202</v>
      </c>
      <c r="B917" t="s">
        <v>1130</v>
      </c>
      <c r="C917" t="s">
        <v>939</v>
      </c>
      <c r="D917" t="s">
        <v>940</v>
      </c>
      <c r="E917">
        <v>45698</v>
      </c>
    </row>
    <row r="918" spans="1:5">
      <c r="A918">
        <v>250203</v>
      </c>
      <c r="B918" t="s">
        <v>1130</v>
      </c>
      <c r="C918" t="s">
        <v>943</v>
      </c>
      <c r="D918" t="s">
        <v>944</v>
      </c>
      <c r="E918">
        <v>45698</v>
      </c>
    </row>
    <row r="919" spans="1:5">
      <c r="A919">
        <v>250204</v>
      </c>
      <c r="B919" t="s">
        <v>1130</v>
      </c>
      <c r="C919" t="s">
        <v>945</v>
      </c>
      <c r="D919" t="s">
        <v>946</v>
      </c>
      <c r="E919">
        <v>45698</v>
      </c>
    </row>
    <row r="920" spans="1:5">
      <c r="A920">
        <v>250116</v>
      </c>
      <c r="B920" t="s">
        <v>1705</v>
      </c>
      <c r="C920" t="s">
        <v>921</v>
      </c>
      <c r="D920" t="s">
        <v>922</v>
      </c>
      <c r="E920">
        <v>45678</v>
      </c>
    </row>
    <row r="921" spans="1:5">
      <c r="A921">
        <v>250115</v>
      </c>
      <c r="B921" t="s">
        <v>1705</v>
      </c>
      <c r="C921" t="s">
        <v>919</v>
      </c>
      <c r="D921" t="s">
        <v>920</v>
      </c>
      <c r="E921">
        <v>45678</v>
      </c>
    </row>
    <row r="922" spans="1:5">
      <c r="A922">
        <v>250215</v>
      </c>
      <c r="B922" t="s">
        <v>1130</v>
      </c>
      <c r="C922" t="s">
        <v>953</v>
      </c>
      <c r="D922" t="s">
        <v>954</v>
      </c>
      <c r="E922">
        <v>45700</v>
      </c>
    </row>
    <row r="923" spans="1:5">
      <c r="A923">
        <v>250216</v>
      </c>
      <c r="B923" t="s">
        <v>1130</v>
      </c>
      <c r="C923" t="s">
        <v>950</v>
      </c>
      <c r="D923" t="s">
        <v>951</v>
      </c>
      <c r="E923">
        <v>45700</v>
      </c>
    </row>
    <row r="924" spans="1:5">
      <c r="A924">
        <v>250217</v>
      </c>
      <c r="B924" t="s">
        <v>1130</v>
      </c>
      <c r="C924" t="s">
        <v>941</v>
      </c>
      <c r="D924" t="s">
        <v>942</v>
      </c>
      <c r="E924">
        <v>45700</v>
      </c>
    </row>
    <row r="925" spans="1:5">
      <c r="A925">
        <v>250218</v>
      </c>
      <c r="B925" t="s">
        <v>1130</v>
      </c>
      <c r="C925" t="s">
        <v>948</v>
      </c>
      <c r="D925" t="s">
        <v>949</v>
      </c>
      <c r="E925">
        <v>45700</v>
      </c>
    </row>
    <row r="926" spans="1:5">
      <c r="A926">
        <v>250219</v>
      </c>
      <c r="B926" t="s">
        <v>1130</v>
      </c>
      <c r="C926" t="s">
        <v>955</v>
      </c>
      <c r="D926" t="s">
        <v>956</v>
      </c>
      <c r="E926">
        <v>45700</v>
      </c>
    </row>
    <row r="927" spans="1:5">
      <c r="A927">
        <v>250220</v>
      </c>
      <c r="B927" t="s">
        <v>1705</v>
      </c>
      <c r="C927" t="s">
        <v>2255</v>
      </c>
      <c r="D927" t="s">
        <v>2256</v>
      </c>
      <c r="E927">
        <v>45701</v>
      </c>
    </row>
    <row r="928" spans="1:5">
      <c r="A928">
        <v>250221</v>
      </c>
      <c r="B928" t="s">
        <v>1705</v>
      </c>
      <c r="C928" t="s">
        <v>2257</v>
      </c>
      <c r="D928" t="s">
        <v>960</v>
      </c>
      <c r="E928">
        <v>45701</v>
      </c>
    </row>
    <row r="929" spans="1:5">
      <c r="A929">
        <v>230603</v>
      </c>
      <c r="B929" t="s">
        <v>1192</v>
      </c>
      <c r="C929" t="s">
        <v>305</v>
      </c>
      <c r="D929" t="s">
        <v>306</v>
      </c>
      <c r="E929">
        <v>45705</v>
      </c>
    </row>
    <row r="930" spans="1:5">
      <c r="A930">
        <v>211011</v>
      </c>
      <c r="B930" t="s">
        <v>1106</v>
      </c>
      <c r="C930" t="s">
        <v>476</v>
      </c>
      <c r="D930" t="s">
        <v>1443</v>
      </c>
      <c r="E930">
        <v>45705</v>
      </c>
    </row>
    <row r="931" spans="1:5">
      <c r="A931">
        <v>230704</v>
      </c>
      <c r="B931" t="s">
        <v>1705</v>
      </c>
      <c r="C931" t="s">
        <v>323</v>
      </c>
      <c r="D931" t="s">
        <v>324</v>
      </c>
      <c r="E931">
        <v>45112</v>
      </c>
    </row>
    <row r="932" spans="1:5">
      <c r="A932">
        <v>210416</v>
      </c>
      <c r="B932" t="s">
        <v>1130</v>
      </c>
      <c r="C932" t="s">
        <v>1258</v>
      </c>
      <c r="D932" t="s">
        <v>1259</v>
      </c>
      <c r="E932">
        <v>45707</v>
      </c>
    </row>
    <row r="933" spans="1:5">
      <c r="A933">
        <v>250223</v>
      </c>
      <c r="B933" t="s">
        <v>1103</v>
      </c>
      <c r="C933" t="s">
        <v>931</v>
      </c>
      <c r="D933" t="s">
        <v>932</v>
      </c>
      <c r="E933">
        <v>45707</v>
      </c>
    </row>
    <row r="934" spans="1:5">
      <c r="A934">
        <v>250224</v>
      </c>
      <c r="B934" t="s">
        <v>1103</v>
      </c>
      <c r="C934" t="s">
        <v>933</v>
      </c>
      <c r="D934" t="s">
        <v>934</v>
      </c>
      <c r="E934">
        <v>45707</v>
      </c>
    </row>
    <row r="935" spans="1:5">
      <c r="A935">
        <v>250225</v>
      </c>
      <c r="B935" t="s">
        <v>178</v>
      </c>
      <c r="C935" t="s">
        <v>978</v>
      </c>
      <c r="D935" t="s">
        <v>979</v>
      </c>
      <c r="E935">
        <v>45709</v>
      </c>
    </row>
    <row r="936" spans="1:5">
      <c r="A936">
        <v>210305</v>
      </c>
      <c r="B936" t="s">
        <v>1192</v>
      </c>
      <c r="C936" t="s">
        <v>875</v>
      </c>
      <c r="D936" t="s">
        <v>876</v>
      </c>
      <c r="E936">
        <v>45663</v>
      </c>
    </row>
    <row r="937" spans="1:5">
      <c r="A937">
        <v>250102</v>
      </c>
      <c r="B937" t="s">
        <v>1192</v>
      </c>
      <c r="C937" t="s">
        <v>1516</v>
      </c>
      <c r="D937" t="s">
        <v>1517</v>
      </c>
      <c r="E937">
        <v>45665</v>
      </c>
    </row>
    <row r="938" spans="1:5">
      <c r="A938">
        <v>250213</v>
      </c>
      <c r="B938" t="s">
        <v>1705</v>
      </c>
      <c r="C938" t="s">
        <v>2253</v>
      </c>
      <c r="D938" t="s">
        <v>2254</v>
      </c>
      <c r="E938">
        <v>45698</v>
      </c>
    </row>
    <row r="939" spans="1:5">
      <c r="A939">
        <v>210301</v>
      </c>
      <c r="B939" t="s">
        <v>1116</v>
      </c>
      <c r="C939" t="s">
        <v>1195</v>
      </c>
      <c r="D939" t="s">
        <v>1196</v>
      </c>
      <c r="E939">
        <v>45719</v>
      </c>
    </row>
    <row r="940" spans="1:5">
      <c r="A940">
        <v>210108</v>
      </c>
      <c r="B940" t="s">
        <v>1116</v>
      </c>
      <c r="C940" t="s">
        <v>1149</v>
      </c>
      <c r="D940" t="s">
        <v>1150</v>
      </c>
      <c r="E940">
        <v>45721</v>
      </c>
    </row>
    <row r="941" spans="1:5">
      <c r="A941">
        <v>250301</v>
      </c>
      <c r="B941" t="s">
        <v>178</v>
      </c>
      <c r="C941" t="s">
        <v>2258</v>
      </c>
      <c r="D941" t="s">
        <v>621</v>
      </c>
      <c r="E941">
        <v>45726</v>
      </c>
    </row>
    <row r="942" spans="1:5">
      <c r="A942">
        <v>250302</v>
      </c>
      <c r="B942" t="s">
        <v>178</v>
      </c>
      <c r="C942" t="s">
        <v>2259</v>
      </c>
      <c r="D942" t="s">
        <v>2260</v>
      </c>
      <c r="E942">
        <v>45726</v>
      </c>
    </row>
    <row r="943" spans="1:5">
      <c r="A943">
        <v>250303</v>
      </c>
      <c r="B943" t="s">
        <v>264</v>
      </c>
      <c r="C943" t="s">
        <v>986</v>
      </c>
      <c r="D943" t="s">
        <v>987</v>
      </c>
      <c r="E943">
        <v>45733</v>
      </c>
    </row>
    <row r="944" spans="1:5">
      <c r="A944">
        <v>210404</v>
      </c>
      <c r="B944" t="s">
        <v>1192</v>
      </c>
      <c r="C944" t="s">
        <v>240</v>
      </c>
      <c r="D944" t="s">
        <v>241</v>
      </c>
      <c r="E944">
        <v>45726</v>
      </c>
    </row>
    <row r="945" spans="1:5">
      <c r="A945">
        <v>250305</v>
      </c>
      <c r="B945" t="s">
        <v>1192</v>
      </c>
      <c r="C945" t="s">
        <v>2263</v>
      </c>
      <c r="D945" t="s">
        <v>2264</v>
      </c>
      <c r="E945">
        <v>45735</v>
      </c>
    </row>
    <row r="946" spans="1:5">
      <c r="A946">
        <v>250306</v>
      </c>
      <c r="B946" t="s">
        <v>1192</v>
      </c>
      <c r="C946" t="s">
        <v>999</v>
      </c>
      <c r="D946" t="s">
        <v>1000</v>
      </c>
      <c r="E946">
        <v>45735</v>
      </c>
    </row>
    <row r="947" spans="1:5">
      <c r="A947">
        <v>250310</v>
      </c>
      <c r="B947" t="s">
        <v>1183</v>
      </c>
      <c r="C947" t="s">
        <v>2265</v>
      </c>
      <c r="D947" t="s">
        <v>2266</v>
      </c>
      <c r="E947">
        <v>45736</v>
      </c>
    </row>
    <row r="948" spans="1:5">
      <c r="A948">
        <v>250307</v>
      </c>
      <c r="B948" t="s">
        <v>1130</v>
      </c>
      <c r="C948" t="s">
        <v>994</v>
      </c>
      <c r="D948" t="s">
        <v>995</v>
      </c>
      <c r="E948">
        <v>45736</v>
      </c>
    </row>
    <row r="949" spans="1:5">
      <c r="A949">
        <v>250308</v>
      </c>
      <c r="B949" t="s">
        <v>1130</v>
      </c>
      <c r="C949" t="s">
        <v>990</v>
      </c>
      <c r="D949" t="s">
        <v>991</v>
      </c>
      <c r="E949">
        <v>45736</v>
      </c>
    </row>
    <row r="950" spans="1:5">
      <c r="A950">
        <v>250309</v>
      </c>
      <c r="B950" t="s">
        <v>1130</v>
      </c>
      <c r="C950" t="s">
        <v>2267</v>
      </c>
      <c r="D950" t="s">
        <v>992</v>
      </c>
      <c r="E950">
        <v>45736</v>
      </c>
    </row>
    <row r="951" spans="1:5">
      <c r="A951">
        <v>250304</v>
      </c>
      <c r="B951" t="s">
        <v>1192</v>
      </c>
      <c r="C951" t="s">
        <v>2261</v>
      </c>
      <c r="D951" t="s">
        <v>2262</v>
      </c>
      <c r="E951">
        <v>45735</v>
      </c>
    </row>
    <row r="952" spans="1:5">
      <c r="A952">
        <v>250404</v>
      </c>
      <c r="B952" t="s">
        <v>1106</v>
      </c>
      <c r="C952" t="s">
        <v>1027</v>
      </c>
      <c r="D952" t="s">
        <v>1028</v>
      </c>
      <c r="E952">
        <v>45748</v>
      </c>
    </row>
    <row r="953" spans="1:5">
      <c r="A953">
        <v>250405</v>
      </c>
      <c r="B953" t="s">
        <v>1106</v>
      </c>
      <c r="C953" t="s">
        <v>2268</v>
      </c>
      <c r="D953" t="s">
        <v>2269</v>
      </c>
      <c r="E953">
        <v>45748</v>
      </c>
    </row>
    <row r="954" spans="1:5">
      <c r="A954">
        <v>250401</v>
      </c>
      <c r="B954" t="s">
        <v>1198</v>
      </c>
      <c r="C954" t="s">
        <v>2270</v>
      </c>
      <c r="D954" t="s">
        <v>2271</v>
      </c>
      <c r="E954">
        <v>45748</v>
      </c>
    </row>
    <row r="955" spans="1:5">
      <c r="A955">
        <v>250403</v>
      </c>
      <c r="B955" t="s">
        <v>1192</v>
      </c>
      <c r="C955" t="s">
        <v>2272</v>
      </c>
      <c r="D955" t="s">
        <v>2273</v>
      </c>
      <c r="E955">
        <v>45748</v>
      </c>
    </row>
    <row r="956" spans="1:5">
      <c r="A956">
        <v>201202</v>
      </c>
      <c r="B956" t="s">
        <v>1116</v>
      </c>
      <c r="C956" t="s">
        <v>1117</v>
      </c>
      <c r="D956" t="s">
        <v>1118</v>
      </c>
      <c r="E956">
        <v>45748</v>
      </c>
    </row>
    <row r="957" spans="1:5">
      <c r="A957">
        <v>250406</v>
      </c>
      <c r="B957" t="s">
        <v>1130</v>
      </c>
      <c r="C957" t="s">
        <v>2274</v>
      </c>
      <c r="D957" t="s">
        <v>2275</v>
      </c>
      <c r="E957">
        <v>45749</v>
      </c>
    </row>
    <row r="958" spans="1:5">
      <c r="A958">
        <v>250407</v>
      </c>
      <c r="B958" t="s">
        <v>178</v>
      </c>
      <c r="C958" t="s">
        <v>1033</v>
      </c>
      <c r="D958" t="s">
        <v>1034</v>
      </c>
      <c r="E958">
        <v>45755</v>
      </c>
    </row>
    <row r="959" spans="1:5">
      <c r="A959">
        <v>250408</v>
      </c>
      <c r="B959" t="s">
        <v>1593</v>
      </c>
      <c r="C959" t="s">
        <v>2276</v>
      </c>
      <c r="D959" t="s">
        <v>2277</v>
      </c>
      <c r="E959">
        <v>45758</v>
      </c>
    </row>
    <row r="960" spans="1:5">
      <c r="A960">
        <v>250402</v>
      </c>
      <c r="B960" t="s">
        <v>1192</v>
      </c>
      <c r="C960" t="s">
        <v>1057</v>
      </c>
      <c r="D960" t="s">
        <v>1058</v>
      </c>
      <c r="E960">
        <v>45748</v>
      </c>
    </row>
    <row r="961" spans="1:5">
      <c r="A961">
        <v>250410</v>
      </c>
      <c r="B961" t="s">
        <v>1773</v>
      </c>
      <c r="C961" t="s">
        <v>1037</v>
      </c>
      <c r="D961" t="s">
        <v>1038</v>
      </c>
      <c r="E961">
        <v>45762</v>
      </c>
    </row>
    <row r="962" spans="1:5">
      <c r="A962">
        <v>210911</v>
      </c>
      <c r="B962" t="s">
        <v>1106</v>
      </c>
      <c r="C962" t="s">
        <v>164</v>
      </c>
      <c r="D962" t="s">
        <v>165</v>
      </c>
      <c r="E962">
        <v>45768</v>
      </c>
    </row>
    <row r="963" spans="1:5">
      <c r="A963">
        <v>250411</v>
      </c>
      <c r="B963" t="s">
        <v>211</v>
      </c>
      <c r="C963" t="s">
        <v>2279</v>
      </c>
      <c r="D963" t="s">
        <v>2280</v>
      </c>
      <c r="E963">
        <v>45769</v>
      </c>
    </row>
    <row r="964" spans="1:5">
      <c r="A964">
        <v>250501</v>
      </c>
      <c r="B964" t="s">
        <v>178</v>
      </c>
      <c r="C964" t="s">
        <v>1035</v>
      </c>
      <c r="D964" t="s">
        <v>2281</v>
      </c>
      <c r="E964">
        <v>45782</v>
      </c>
    </row>
    <row r="965" spans="1:5">
      <c r="A965">
        <v>250409</v>
      </c>
      <c r="B965" t="s">
        <v>206</v>
      </c>
      <c r="C965" t="s">
        <v>2278</v>
      </c>
      <c r="D965" t="s">
        <v>1030</v>
      </c>
      <c r="E965">
        <v>45759</v>
      </c>
    </row>
    <row r="966" spans="1:5">
      <c r="A966">
        <v>220125</v>
      </c>
      <c r="B966" t="s">
        <v>1116</v>
      </c>
      <c r="C966" t="s">
        <v>1055</v>
      </c>
      <c r="D966" t="s">
        <v>1056</v>
      </c>
      <c r="E966">
        <v>45783</v>
      </c>
    </row>
    <row r="967" spans="1:5">
      <c r="A967">
        <v>250505</v>
      </c>
      <c r="B967" t="s">
        <v>206</v>
      </c>
      <c r="C967" t="s">
        <v>1048</v>
      </c>
      <c r="D967" t="s">
        <v>1049</v>
      </c>
      <c r="E967">
        <v>45783</v>
      </c>
    </row>
    <row r="968" spans="1:5">
      <c r="A968">
        <v>250504</v>
      </c>
      <c r="B968" t="s">
        <v>206</v>
      </c>
      <c r="C968" t="s">
        <v>1046</v>
      </c>
      <c r="D968" t="s">
        <v>1047</v>
      </c>
      <c r="E968">
        <v>45783</v>
      </c>
    </row>
    <row r="969" spans="1:5">
      <c r="A969">
        <v>250502</v>
      </c>
      <c r="B969" t="s">
        <v>1116</v>
      </c>
      <c r="C969" t="s">
        <v>1051</v>
      </c>
      <c r="D969" t="s">
        <v>1052</v>
      </c>
      <c r="E969">
        <v>45783</v>
      </c>
    </row>
    <row r="970" spans="1:5">
      <c r="A970">
        <v>231112</v>
      </c>
      <c r="B970" t="s">
        <v>1192</v>
      </c>
      <c r="C970" t="s">
        <v>462</v>
      </c>
      <c r="D970" t="s">
        <v>463</v>
      </c>
      <c r="E970">
        <v>45783</v>
      </c>
    </row>
    <row r="971" spans="1:5">
      <c r="A971">
        <v>220209</v>
      </c>
      <c r="B971" t="s">
        <v>1103</v>
      </c>
      <c r="C971" t="s">
        <v>33</v>
      </c>
      <c r="D971" t="s">
        <v>34</v>
      </c>
      <c r="E971">
        <v>45789</v>
      </c>
    </row>
    <row r="972" spans="1:5">
      <c r="A972">
        <v>250506</v>
      </c>
      <c r="B972" t="s">
        <v>76</v>
      </c>
      <c r="C972" t="s">
        <v>2282</v>
      </c>
      <c r="D972" t="s">
        <v>2283</v>
      </c>
      <c r="E972">
        <v>45789</v>
      </c>
    </row>
    <row r="973" spans="1:5">
      <c r="A973">
        <v>250507</v>
      </c>
      <c r="B973" t="s">
        <v>76</v>
      </c>
      <c r="C973" t="s">
        <v>2284</v>
      </c>
      <c r="D973" t="s">
        <v>2285</v>
      </c>
      <c r="E973">
        <v>45789</v>
      </c>
    </row>
    <row r="974" spans="1:5">
      <c r="A974">
        <v>250503</v>
      </c>
      <c r="B974" t="s">
        <v>1192</v>
      </c>
      <c r="C974" t="s">
        <v>1053</v>
      </c>
      <c r="D974" t="s">
        <v>1054</v>
      </c>
      <c r="E974">
        <v>45783</v>
      </c>
    </row>
    <row r="975" spans="1:5">
      <c r="A975">
        <v>221009</v>
      </c>
      <c r="B975" t="s">
        <v>50</v>
      </c>
      <c r="C975" t="s">
        <v>162</v>
      </c>
      <c r="D975" t="s">
        <v>163</v>
      </c>
      <c r="E975">
        <v>45799</v>
      </c>
    </row>
    <row r="976" spans="1:5">
      <c r="A976">
        <v>250508</v>
      </c>
      <c r="B976" t="s">
        <v>211</v>
      </c>
      <c r="C976" t="s">
        <v>620</v>
      </c>
      <c r="D976" t="s">
        <v>621</v>
      </c>
      <c r="E976">
        <v>45804</v>
      </c>
    </row>
    <row r="977" spans="1:5">
      <c r="A977">
        <v>250601</v>
      </c>
      <c r="B977" t="s">
        <v>76</v>
      </c>
      <c r="C977" t="s">
        <v>1066</v>
      </c>
      <c r="D977" t="s">
        <v>1067</v>
      </c>
      <c r="E977">
        <v>45810</v>
      </c>
    </row>
    <row r="978" spans="1:5">
      <c r="A978">
        <v>250602</v>
      </c>
      <c r="B978" t="s">
        <v>76</v>
      </c>
      <c r="C978" t="s">
        <v>1068</v>
      </c>
      <c r="D978" t="s">
        <v>1069</v>
      </c>
      <c r="E978">
        <v>45810</v>
      </c>
    </row>
    <row r="979" spans="1:5">
      <c r="A979">
        <v>221001</v>
      </c>
      <c r="B979" t="s">
        <v>212</v>
      </c>
      <c r="C979" t="s">
        <v>511</v>
      </c>
      <c r="D979" t="s">
        <v>512</v>
      </c>
      <c r="E979">
        <v>45810</v>
      </c>
    </row>
    <row r="980" spans="1:5">
      <c r="A980">
        <v>250603</v>
      </c>
      <c r="B980" t="s">
        <v>1103</v>
      </c>
      <c r="C980" t="s">
        <v>2286</v>
      </c>
      <c r="D980" t="s">
        <v>2287</v>
      </c>
      <c r="E980">
        <v>45812</v>
      </c>
    </row>
    <row r="981" spans="1:5">
      <c r="A981">
        <v>250604</v>
      </c>
      <c r="B981" t="s">
        <v>1103</v>
      </c>
      <c r="C981" t="s">
        <v>2288</v>
      </c>
      <c r="D981" t="s">
        <v>2289</v>
      </c>
      <c r="E981">
        <v>45812</v>
      </c>
    </row>
    <row r="982" spans="1:5">
      <c r="A982">
        <v>250605</v>
      </c>
      <c r="B982" t="s">
        <v>1130</v>
      </c>
      <c r="C982" t="s">
        <v>1062</v>
      </c>
      <c r="D982" t="s">
        <v>1063</v>
      </c>
      <c r="E982">
        <v>45817</v>
      </c>
    </row>
    <row r="983" spans="1:5">
      <c r="A983">
        <v>250606</v>
      </c>
      <c r="B983" t="s">
        <v>1106</v>
      </c>
      <c r="C983" t="s">
        <v>2290</v>
      </c>
      <c r="D983" t="s">
        <v>2291</v>
      </c>
      <c r="E983">
        <v>45810</v>
      </c>
    </row>
    <row r="984" spans="1:5">
      <c r="A984">
        <v>250607</v>
      </c>
      <c r="B984" t="s">
        <v>1130</v>
      </c>
      <c r="C984" t="s">
        <v>1060</v>
      </c>
      <c r="D984" t="s">
        <v>1061</v>
      </c>
      <c r="E984">
        <v>45828</v>
      </c>
    </row>
    <row r="985" spans="1:5">
      <c r="A985">
        <v>210812</v>
      </c>
      <c r="B985" t="s">
        <v>211</v>
      </c>
      <c r="C985" t="s">
        <v>1381</v>
      </c>
      <c r="D985" t="s">
        <v>1382</v>
      </c>
      <c r="E985">
        <v>45826</v>
      </c>
    </row>
    <row r="986" spans="1:5">
      <c r="A986">
        <v>250608</v>
      </c>
      <c r="B986" t="s">
        <v>1103</v>
      </c>
      <c r="C986" t="s">
        <v>2424</v>
      </c>
      <c r="D986" t="s">
        <v>2425</v>
      </c>
      <c r="E986">
        <v>45838</v>
      </c>
    </row>
    <row r="987" spans="1:5">
      <c r="A987">
        <v>240709</v>
      </c>
      <c r="B987" t="s">
        <v>50</v>
      </c>
      <c r="C987" t="s">
        <v>541</v>
      </c>
      <c r="D987" t="s">
        <v>542</v>
      </c>
      <c r="E987">
        <v>45839</v>
      </c>
    </row>
    <row r="988" spans="1:5">
      <c r="A988">
        <v>231003</v>
      </c>
      <c r="B988" t="s">
        <v>211</v>
      </c>
      <c r="C988" t="s">
        <v>1071</v>
      </c>
      <c r="D988" t="s">
        <v>1072</v>
      </c>
      <c r="E988">
        <v>45839</v>
      </c>
    </row>
    <row r="989" spans="1:5">
      <c r="A989">
        <v>250701</v>
      </c>
      <c r="B989" t="s">
        <v>211</v>
      </c>
      <c r="C989" t="s">
        <v>2535</v>
      </c>
      <c r="D989" t="s">
        <v>2536</v>
      </c>
      <c r="E989">
        <v>45839</v>
      </c>
    </row>
    <row r="990" spans="1:5">
      <c r="A990">
        <v>250702</v>
      </c>
      <c r="B990" t="s">
        <v>1773</v>
      </c>
      <c r="C990" t="s">
        <v>2537</v>
      </c>
      <c r="D990" t="s">
        <v>2538</v>
      </c>
      <c r="E990">
        <v>45840</v>
      </c>
    </row>
    <row r="991" spans="1:5">
      <c r="A991">
        <v>210610</v>
      </c>
      <c r="B991" t="s">
        <v>1106</v>
      </c>
      <c r="C991" t="s">
        <v>219</v>
      </c>
      <c r="D991" t="s">
        <v>220</v>
      </c>
      <c r="E991">
        <v>45845</v>
      </c>
    </row>
    <row r="992" spans="1:5">
      <c r="A992">
        <v>250703</v>
      </c>
      <c r="B992" t="s">
        <v>1106</v>
      </c>
      <c r="C992" t="s">
        <v>2539</v>
      </c>
      <c r="D992" t="s">
        <v>2540</v>
      </c>
      <c r="E992">
        <v>45845</v>
      </c>
    </row>
    <row r="993" spans="1:5">
      <c r="A993">
        <v>250214</v>
      </c>
      <c r="B993" t="s">
        <v>1705</v>
      </c>
      <c r="C993" t="s">
        <v>958</v>
      </c>
      <c r="D993" t="s">
        <v>959</v>
      </c>
      <c r="E993">
        <v>45698</v>
      </c>
    </row>
    <row r="994" spans="1:5">
      <c r="A994">
        <v>220802</v>
      </c>
      <c r="B994" t="s">
        <v>239</v>
      </c>
      <c r="C994" t="s">
        <v>53</v>
      </c>
      <c r="D994" t="s">
        <v>54</v>
      </c>
      <c r="E994">
        <v>45796</v>
      </c>
    </row>
    <row r="995" spans="1:5">
      <c r="A995">
        <v>250705</v>
      </c>
      <c r="B995" t="s">
        <v>1079</v>
      </c>
      <c r="C995" t="s">
        <v>2541</v>
      </c>
      <c r="D995" t="s">
        <v>2542</v>
      </c>
      <c r="E995">
        <v>45859</v>
      </c>
    </row>
    <row r="996" spans="1:5">
      <c r="A996">
        <v>250222</v>
      </c>
      <c r="B996" t="s">
        <v>1705</v>
      </c>
      <c r="C996" t="s">
        <v>961</v>
      </c>
      <c r="D996" t="s">
        <v>962</v>
      </c>
      <c r="E996">
        <v>45705</v>
      </c>
    </row>
    <row r="997" spans="1:5">
      <c r="A997">
        <v>250707</v>
      </c>
      <c r="B997" t="s">
        <v>1705</v>
      </c>
      <c r="C997" t="s">
        <v>432</v>
      </c>
      <c r="D997" t="s">
        <v>433</v>
      </c>
      <c r="E997">
        <v>45860</v>
      </c>
    </row>
    <row r="998" spans="1:5">
      <c r="A998">
        <v>250708</v>
      </c>
      <c r="B998" t="s">
        <v>1130</v>
      </c>
      <c r="C998" t="s">
        <v>2543</v>
      </c>
      <c r="D998" t="s">
        <v>2544</v>
      </c>
      <c r="E998">
        <v>45861</v>
      </c>
    </row>
    <row r="999" spans="1:5">
      <c r="A999">
        <v>211217</v>
      </c>
      <c r="B999" t="s">
        <v>211</v>
      </c>
      <c r="C999" t="s">
        <v>1539</v>
      </c>
      <c r="D999" t="s">
        <v>1540</v>
      </c>
      <c r="E999">
        <v>45862</v>
      </c>
    </row>
    <row r="1000" spans="1:5">
      <c r="A1000">
        <v>240405</v>
      </c>
      <c r="B1000" t="s">
        <v>211</v>
      </c>
      <c r="C1000" t="s">
        <v>2128</v>
      </c>
      <c r="D1000" t="s">
        <v>2129</v>
      </c>
      <c r="E1000">
        <v>45867</v>
      </c>
    </row>
    <row r="1001" spans="1:5">
      <c r="A1001">
        <v>240909</v>
      </c>
      <c r="B1001" t="s">
        <v>211</v>
      </c>
      <c r="C1001" t="s">
        <v>570</v>
      </c>
      <c r="D1001" t="s">
        <v>571</v>
      </c>
      <c r="E1001">
        <v>45867</v>
      </c>
    </row>
    <row r="1002" spans="1:5">
      <c r="A1002">
        <v>250709</v>
      </c>
      <c r="B1002" t="s">
        <v>178</v>
      </c>
      <c r="C1002" t="s">
        <v>2553</v>
      </c>
      <c r="D1002" t="s">
        <v>2554</v>
      </c>
      <c r="E1002">
        <v>45867</v>
      </c>
    </row>
    <row r="1003" spans="1:5">
      <c r="A1003">
        <v>250801</v>
      </c>
      <c r="B1003" t="s">
        <v>1593</v>
      </c>
      <c r="C1003" t="s">
        <v>2555</v>
      </c>
      <c r="D1003" t="s">
        <v>2556</v>
      </c>
      <c r="E1003">
        <v>45870</v>
      </c>
    </row>
    <row r="1004" spans="1:5">
      <c r="A1004">
        <v>230701</v>
      </c>
      <c r="B1004" t="s">
        <v>212</v>
      </c>
      <c r="C1004" t="s">
        <v>307</v>
      </c>
      <c r="D1004" t="s">
        <v>308</v>
      </c>
      <c r="E1004">
        <v>45870</v>
      </c>
    </row>
    <row r="1005" spans="1:5">
      <c r="A1005">
        <v>220211</v>
      </c>
      <c r="B1005" t="s">
        <v>1593</v>
      </c>
      <c r="C1005" t="s">
        <v>1549</v>
      </c>
      <c r="D1005" t="s">
        <v>1550</v>
      </c>
      <c r="E1005">
        <v>45873</v>
      </c>
    </row>
    <row r="1006" spans="1:5">
      <c r="A1006">
        <v>250802</v>
      </c>
      <c r="B1006" t="s">
        <v>1130</v>
      </c>
      <c r="C1006" t="s">
        <v>2557</v>
      </c>
      <c r="D1006" t="s">
        <v>2558</v>
      </c>
      <c r="E1006">
        <v>45873</v>
      </c>
    </row>
    <row r="1007" spans="1:5">
      <c r="A1007">
        <v>250803</v>
      </c>
      <c r="B1007" t="s">
        <v>1130</v>
      </c>
      <c r="C1007" t="s">
        <v>2559</v>
      </c>
      <c r="D1007" t="s">
        <v>2560</v>
      </c>
      <c r="E1007">
        <v>45873</v>
      </c>
    </row>
    <row r="1008" spans="1:5">
      <c r="A1008">
        <v>250804</v>
      </c>
      <c r="B1008" t="s">
        <v>1130</v>
      </c>
      <c r="C1008" t="s">
        <v>2561</v>
      </c>
      <c r="D1008" t="s">
        <v>2562</v>
      </c>
      <c r="E1008">
        <v>45873</v>
      </c>
    </row>
    <row r="1009" spans="1:5">
      <c r="A1009">
        <v>210501</v>
      </c>
      <c r="B1009" t="s">
        <v>178</v>
      </c>
      <c r="C1009" t="s">
        <v>1281</v>
      </c>
      <c r="D1009" t="s">
        <v>356</v>
      </c>
      <c r="E1009">
        <v>45887</v>
      </c>
    </row>
    <row r="1010" spans="1:5">
      <c r="A1010">
        <v>210110</v>
      </c>
      <c r="B1010" t="s">
        <v>1106</v>
      </c>
      <c r="C1010" t="s">
        <v>474</v>
      </c>
      <c r="D1010" t="s">
        <v>475</v>
      </c>
      <c r="E1010">
        <v>45887</v>
      </c>
    </row>
    <row r="1011" spans="1:5">
      <c r="A1011">
        <v>240810</v>
      </c>
      <c r="B1011" t="s">
        <v>1116</v>
      </c>
      <c r="C1011" t="s">
        <v>359</v>
      </c>
      <c r="D1011" t="s">
        <v>360</v>
      </c>
      <c r="E1011">
        <v>45510</v>
      </c>
    </row>
    <row r="1012" spans="1:5">
      <c r="A1012">
        <v>250704</v>
      </c>
      <c r="B1012" t="s">
        <v>1192</v>
      </c>
      <c r="C1012" t="s">
        <v>2549</v>
      </c>
      <c r="D1012" t="s">
        <v>2550</v>
      </c>
      <c r="E1012">
        <v>45859</v>
      </c>
    </row>
    <row r="1013" spans="1:5">
      <c r="A1013">
        <v>220501</v>
      </c>
      <c r="B1013" t="s">
        <v>1875</v>
      </c>
      <c r="C1013" t="s">
        <v>1703</v>
      </c>
      <c r="D1013" t="s">
        <v>1704</v>
      </c>
      <c r="E1013">
        <v>45846</v>
      </c>
    </row>
    <row r="1014" spans="1:5">
      <c r="A1014">
        <v>250706</v>
      </c>
      <c r="B1014" t="s">
        <v>1705</v>
      </c>
      <c r="C1014" t="s">
        <v>2551</v>
      </c>
      <c r="D1014" t="s">
        <v>2552</v>
      </c>
      <c r="E1014">
        <v>45860</v>
      </c>
    </row>
    <row r="1015" spans="1:5">
      <c r="A1015">
        <v>250808</v>
      </c>
      <c r="B1015" t="s">
        <v>1096</v>
      </c>
      <c r="C1015" t="s">
        <v>2571</v>
      </c>
      <c r="D1015" t="s">
        <v>2572</v>
      </c>
      <c r="E1015">
        <v>45890</v>
      </c>
    </row>
    <row r="1016" spans="1:5">
      <c r="A1016">
        <v>250806</v>
      </c>
      <c r="B1016" t="s">
        <v>1705</v>
      </c>
      <c r="C1016" t="s">
        <v>2567</v>
      </c>
      <c r="D1016" t="s">
        <v>2568</v>
      </c>
      <c r="E1016">
        <v>45887</v>
      </c>
    </row>
    <row r="1017" spans="1:5">
      <c r="A1017">
        <v>250807</v>
      </c>
      <c r="B1017" t="s">
        <v>1705</v>
      </c>
      <c r="C1017" t="s">
        <v>2569</v>
      </c>
      <c r="D1017" t="s">
        <v>2570</v>
      </c>
      <c r="E1017">
        <v>45890</v>
      </c>
    </row>
    <row r="1018" spans="1:5">
      <c r="A1018">
        <v>250809</v>
      </c>
      <c r="B1018" t="s">
        <v>211</v>
      </c>
      <c r="C1018" t="s">
        <v>2563</v>
      </c>
      <c r="D1018" t="s">
        <v>2564</v>
      </c>
      <c r="E1018">
        <v>45896</v>
      </c>
    </row>
    <row r="1019" spans="1:5">
      <c r="A1019">
        <v>220121</v>
      </c>
      <c r="B1019" t="s">
        <v>1103</v>
      </c>
      <c r="C1019" t="s">
        <v>103</v>
      </c>
      <c r="D1019" t="s">
        <v>104</v>
      </c>
      <c r="E1019">
        <v>45901</v>
      </c>
    </row>
    <row r="1020" spans="1:5">
      <c r="A1020">
        <v>220317</v>
      </c>
      <c r="B1020" t="s">
        <v>178</v>
      </c>
      <c r="C1020" t="s">
        <v>35</v>
      </c>
      <c r="D1020" t="s">
        <v>959</v>
      </c>
      <c r="E1020">
        <v>45901</v>
      </c>
    </row>
    <row r="1021" spans="1:5">
      <c r="A1021">
        <v>250901</v>
      </c>
      <c r="B1021" t="s">
        <v>211</v>
      </c>
      <c r="C1021" t="s">
        <v>2573</v>
      </c>
      <c r="D1021" t="s">
        <v>2574</v>
      </c>
      <c r="E1021">
        <v>45902</v>
      </c>
    </row>
    <row r="1022" spans="1:5">
      <c r="A1022">
        <v>250902</v>
      </c>
      <c r="B1022" t="s">
        <v>2596</v>
      </c>
      <c r="C1022" t="s">
        <v>2582</v>
      </c>
      <c r="D1022" t="s">
        <v>2583</v>
      </c>
      <c r="E1022">
        <v>45908</v>
      </c>
    </row>
    <row r="1023" spans="1:5">
      <c r="A1023">
        <v>250903</v>
      </c>
      <c r="B1023" t="s">
        <v>1079</v>
      </c>
      <c r="C1023" t="s">
        <v>2586</v>
      </c>
      <c r="D1023" t="s">
        <v>2587</v>
      </c>
      <c r="E1023">
        <v>45915</v>
      </c>
    </row>
    <row r="1024" spans="1:5">
      <c r="A1024">
        <v>250904</v>
      </c>
      <c r="B1024" t="s">
        <v>1183</v>
      </c>
      <c r="C1024" t="s">
        <v>2588</v>
      </c>
      <c r="D1024" t="s">
        <v>2589</v>
      </c>
      <c r="E1024">
        <v>45916</v>
      </c>
    </row>
    <row r="1025" spans="1:5">
      <c r="A1025">
        <v>250905</v>
      </c>
      <c r="B1025" t="s">
        <v>1130</v>
      </c>
      <c r="C1025" t="s">
        <v>2590</v>
      </c>
      <c r="D1025" t="s">
        <v>2591</v>
      </c>
      <c r="E1025">
        <v>45923</v>
      </c>
    </row>
    <row r="1026" spans="1:5">
      <c r="A1026">
        <v>250906</v>
      </c>
      <c r="B1026" t="s">
        <v>1130</v>
      </c>
      <c r="C1026" t="s">
        <v>2592</v>
      </c>
      <c r="D1026" t="s">
        <v>2593</v>
      </c>
      <c r="E1026">
        <v>45923</v>
      </c>
    </row>
    <row r="1027" spans="1:5">
      <c r="A1027">
        <v>251001</v>
      </c>
      <c r="B1027" t="s">
        <v>1705</v>
      </c>
      <c r="C1027" t="s">
        <v>2597</v>
      </c>
      <c r="D1027" t="s">
        <v>2598</v>
      </c>
      <c r="E1027">
        <v>45931</v>
      </c>
    </row>
    <row r="1028" spans="1:5">
      <c r="A1028">
        <v>251002</v>
      </c>
      <c r="B1028" t="s">
        <v>1356</v>
      </c>
      <c r="C1028" t="s">
        <v>2599</v>
      </c>
      <c r="D1028" t="s">
        <v>2600</v>
      </c>
      <c r="E1028">
        <v>45937</v>
      </c>
    </row>
    <row r="1029" spans="1:5">
      <c r="A1029">
        <v>251003</v>
      </c>
      <c r="B1029" t="s">
        <v>2601</v>
      </c>
      <c r="C1029" t="s">
        <v>2602</v>
      </c>
      <c r="D1029" t="s">
        <v>2603</v>
      </c>
      <c r="E1029">
        <v>45937</v>
      </c>
    </row>
    <row r="1030" spans="1:5">
      <c r="A1030">
        <v>241201</v>
      </c>
      <c r="B1030" t="s">
        <v>1705</v>
      </c>
      <c r="C1030" t="s">
        <v>2231</v>
      </c>
      <c r="D1030" t="s">
        <v>2232</v>
      </c>
      <c r="E1030">
        <v>45943</v>
      </c>
    </row>
    <row r="1031" spans="1:5">
      <c r="A1031">
        <v>251004</v>
      </c>
      <c r="B1031" t="s">
        <v>264</v>
      </c>
      <c r="C1031" t="s">
        <v>2604</v>
      </c>
      <c r="D1031" t="s">
        <v>2605</v>
      </c>
      <c r="E1031">
        <v>45943</v>
      </c>
    </row>
    <row r="1032" spans="1:5">
      <c r="A1032">
        <v>251005</v>
      </c>
      <c r="B1032" t="s">
        <v>178</v>
      </c>
      <c r="C1032" t="s">
        <v>2606</v>
      </c>
      <c r="D1032" t="s">
        <v>2607</v>
      </c>
      <c r="E1032">
        <v>45943</v>
      </c>
    </row>
    <row r="1033" spans="1:5">
      <c r="A1033">
        <v>251006</v>
      </c>
      <c r="B1033" t="s">
        <v>178</v>
      </c>
      <c r="C1033" t="s">
        <v>2608</v>
      </c>
      <c r="D1033" t="s">
        <v>2609</v>
      </c>
      <c r="E1033">
        <v>45943</v>
      </c>
    </row>
    <row r="1034" spans="1:5">
      <c r="A1034">
        <v>251007</v>
      </c>
      <c r="B1034" t="s">
        <v>2601</v>
      </c>
      <c r="C1034" t="s">
        <v>2610</v>
      </c>
      <c r="D1034" t="s">
        <v>2611</v>
      </c>
      <c r="E1034">
        <v>45944</v>
      </c>
    </row>
    <row r="1035" spans="1:5">
      <c r="A1035">
        <v>251008</v>
      </c>
      <c r="B1035" t="s">
        <v>1079</v>
      </c>
      <c r="C1035" t="s">
        <v>2612</v>
      </c>
      <c r="D1035" t="s">
        <v>2613</v>
      </c>
      <c r="E1035">
        <v>45945</v>
      </c>
    </row>
    <row r="1036" spans="1:5">
      <c r="A1036">
        <v>251009</v>
      </c>
      <c r="B1036" t="s">
        <v>1875</v>
      </c>
      <c r="C1036" t="s">
        <v>481</v>
      </c>
      <c r="D1036" t="s">
        <v>2614</v>
      </c>
      <c r="E1036">
        <v>45951</v>
      </c>
    </row>
    <row r="1037" spans="1:5">
      <c r="A1037">
        <v>251010</v>
      </c>
      <c r="B1037" t="s">
        <v>1130</v>
      </c>
      <c r="C1037" t="s">
        <v>2615</v>
      </c>
      <c r="D1037" t="s">
        <v>2616</v>
      </c>
      <c r="E1037">
        <v>45951</v>
      </c>
    </row>
    <row r="1038" spans="1:5">
      <c r="A1038">
        <v>250805</v>
      </c>
      <c r="B1038" t="s">
        <v>206</v>
      </c>
      <c r="C1038" t="s">
        <v>2565</v>
      </c>
      <c r="D1038" t="s">
        <v>2566</v>
      </c>
      <c r="E1038">
        <v>45887</v>
      </c>
    </row>
    <row r="1039" spans="1:5">
      <c r="A1039">
        <v>251011</v>
      </c>
      <c r="B1039" t="s">
        <v>1875</v>
      </c>
      <c r="C1039" t="s">
        <v>2617</v>
      </c>
      <c r="D1039" t="s">
        <v>2618</v>
      </c>
      <c r="E1039">
        <v>45957</v>
      </c>
    </row>
    <row r="1040" spans="1:5">
      <c r="A1040">
        <v>251101</v>
      </c>
      <c r="B1040" t="s">
        <v>1079</v>
      </c>
      <c r="C1040" t="s">
        <v>2619</v>
      </c>
      <c r="D1040" t="s">
        <v>2620</v>
      </c>
      <c r="E1040">
        <v>45964</v>
      </c>
    </row>
    <row r="1041" spans="1:5">
      <c r="A1041">
        <v>251102</v>
      </c>
      <c r="B1041" t="s">
        <v>1079</v>
      </c>
      <c r="C1041" t="s">
        <v>2621</v>
      </c>
      <c r="D1041" t="s">
        <v>2622</v>
      </c>
      <c r="E1041">
        <v>45964</v>
      </c>
    </row>
    <row r="1042" spans="1:5">
      <c r="A1042">
        <v>251103</v>
      </c>
      <c r="B1042" t="s">
        <v>1106</v>
      </c>
      <c r="C1042" t="s">
        <v>2627</v>
      </c>
      <c r="D1042" t="s">
        <v>2628</v>
      </c>
      <c r="E1042">
        <v>45964</v>
      </c>
    </row>
    <row r="1043" spans="1:5">
      <c r="A1043">
        <v>251104</v>
      </c>
      <c r="B1043" t="s">
        <v>239</v>
      </c>
      <c r="C1043" t="s">
        <v>2629</v>
      </c>
      <c r="D1043" t="s">
        <v>2630</v>
      </c>
      <c r="E1043">
        <v>45964</v>
      </c>
    </row>
    <row r="1044" spans="1:5">
      <c r="A1044">
        <v>230402</v>
      </c>
      <c r="B1044" t="s">
        <v>239</v>
      </c>
      <c r="C1044" t="s">
        <v>1400</v>
      </c>
      <c r="D1044" t="s">
        <v>1944</v>
      </c>
      <c r="E1044">
        <v>45887</v>
      </c>
    </row>
    <row r="1045" spans="1:5">
      <c r="A1045">
        <v>251105</v>
      </c>
      <c r="B1045" t="s">
        <v>1130</v>
      </c>
      <c r="C1045" t="s">
        <v>2631</v>
      </c>
      <c r="D1045" t="s">
        <v>2632</v>
      </c>
      <c r="E1045">
        <v>45973</v>
      </c>
    </row>
    <row r="1046" spans="1:5">
      <c r="A1046">
        <v>251106</v>
      </c>
      <c r="B1046" t="s">
        <v>1130</v>
      </c>
      <c r="C1046" t="s">
        <v>2633</v>
      </c>
      <c r="D1046" t="s">
        <v>2634</v>
      </c>
      <c r="E1046">
        <v>45973</v>
      </c>
    </row>
    <row r="1047" spans="1:5">
      <c r="A1047">
        <v>251107</v>
      </c>
      <c r="B1047" t="s">
        <v>1130</v>
      </c>
      <c r="C1047" t="s">
        <v>2635</v>
      </c>
      <c r="D1047" t="s">
        <v>2636</v>
      </c>
      <c r="E1047">
        <v>45973</v>
      </c>
    </row>
    <row r="1048" spans="1:5">
      <c r="A1048">
        <v>251108</v>
      </c>
      <c r="B1048" t="s">
        <v>178</v>
      </c>
      <c r="C1048" t="s">
        <v>2637</v>
      </c>
      <c r="D1048" t="s">
        <v>2638</v>
      </c>
      <c r="E1048">
        <v>45973</v>
      </c>
    </row>
    <row r="1049" spans="1:5">
      <c r="A1049">
        <v>251109</v>
      </c>
      <c r="B1049" t="s">
        <v>178</v>
      </c>
      <c r="C1049" t="s">
        <v>2639</v>
      </c>
      <c r="D1049" t="s">
        <v>2640</v>
      </c>
      <c r="E1049">
        <v>45973</v>
      </c>
    </row>
    <row r="1050" spans="1:5">
      <c r="A1050">
        <v>211201</v>
      </c>
      <c r="B1050" t="s">
        <v>1183</v>
      </c>
      <c r="C1050" t="s">
        <v>1508</v>
      </c>
      <c r="D1050" t="s">
        <v>1509</v>
      </c>
      <c r="E1050">
        <v>45978</v>
      </c>
    </row>
    <row r="1051" spans="1:5">
      <c r="A1051">
        <v>251110</v>
      </c>
      <c r="B1051" t="s">
        <v>2601</v>
      </c>
      <c r="C1051" t="s">
        <v>2641</v>
      </c>
      <c r="D1051" t="s">
        <v>2642</v>
      </c>
      <c r="E1051">
        <v>45979</v>
      </c>
    </row>
    <row r="1052" spans="1:5">
      <c r="A1052">
        <v>251201</v>
      </c>
      <c r="B1052" t="s">
        <v>1705</v>
      </c>
      <c r="C1052" t="s">
        <v>2663</v>
      </c>
      <c r="D1052" t="s">
        <v>2664</v>
      </c>
      <c r="E1052">
        <v>45993</v>
      </c>
    </row>
    <row r="1053" spans="1:5">
      <c r="A1053">
        <v>221002</v>
      </c>
      <c r="B1053" t="s">
        <v>212</v>
      </c>
      <c r="C1053" t="s">
        <v>1828</v>
      </c>
      <c r="D1053" t="s">
        <v>1829</v>
      </c>
      <c r="E1053">
        <v>45999</v>
      </c>
    </row>
    <row r="1054" spans="1:5">
      <c r="A1054">
        <v>251202</v>
      </c>
      <c r="B1054" t="s">
        <v>1103</v>
      </c>
      <c r="C1054" t="s">
        <v>2625</v>
      </c>
      <c r="D1054" t="s">
        <v>2626</v>
      </c>
      <c r="E1054">
        <v>46000</v>
      </c>
    </row>
    <row r="1055" spans="1:5">
      <c r="A1055">
        <v>251203</v>
      </c>
      <c r="B1055" t="s">
        <v>76</v>
      </c>
      <c r="C1055" t="s">
        <v>2678</v>
      </c>
      <c r="D1055" t="s">
        <v>2679</v>
      </c>
      <c r="E1055">
        <v>46006</v>
      </c>
    </row>
    <row r="1056" spans="1:5">
      <c r="A1056">
        <v>251204</v>
      </c>
      <c r="B1056" t="s">
        <v>76</v>
      </c>
      <c r="C1056" t="s">
        <v>2680</v>
      </c>
      <c r="D1056" t="s">
        <v>2681</v>
      </c>
      <c r="E1056">
        <v>46006</v>
      </c>
    </row>
    <row r="1057" spans="1:5">
      <c r="A1057">
        <v>251205</v>
      </c>
      <c r="B1057" t="s">
        <v>76</v>
      </c>
      <c r="C1057" t="s">
        <v>2682</v>
      </c>
      <c r="D1057" t="s">
        <v>2683</v>
      </c>
      <c r="E1057">
        <v>46006</v>
      </c>
    </row>
    <row r="1058" spans="1:5">
      <c r="A1058">
        <v>251206</v>
      </c>
      <c r="B1058" t="s">
        <v>1103</v>
      </c>
      <c r="C1058" t="s">
        <v>2666</v>
      </c>
      <c r="D1058" t="s">
        <v>2667</v>
      </c>
      <c r="E1058">
        <v>46008</v>
      </c>
    </row>
    <row r="1059" spans="1:5">
      <c r="A1059">
        <v>251207</v>
      </c>
      <c r="B1059" t="s">
        <v>178</v>
      </c>
      <c r="C1059" t="s">
        <v>2669</v>
      </c>
      <c r="D1059" t="s">
        <v>2670</v>
      </c>
      <c r="E1059">
        <v>46009</v>
      </c>
    </row>
    <row r="1060" spans="1:5">
      <c r="A1060">
        <v>251208</v>
      </c>
      <c r="B1060" t="s">
        <v>178</v>
      </c>
      <c r="C1060" t="s">
        <v>2671</v>
      </c>
      <c r="D1060" t="s">
        <v>2672</v>
      </c>
      <c r="E1060">
        <v>46009</v>
      </c>
    </row>
    <row r="1061" spans="1:5">
      <c r="A1061">
        <v>251209</v>
      </c>
      <c r="B1061" t="s">
        <v>178</v>
      </c>
      <c r="C1061" t="s">
        <v>2673</v>
      </c>
      <c r="D1061" t="s">
        <v>2674</v>
      </c>
      <c r="E1061">
        <v>46009</v>
      </c>
    </row>
    <row r="1062" spans="1:5">
      <c r="A1062">
        <v>251210</v>
      </c>
      <c r="B1062" t="s">
        <v>178</v>
      </c>
      <c r="C1062" t="s">
        <v>2675</v>
      </c>
      <c r="D1062" t="s">
        <v>2676</v>
      </c>
      <c r="E1062">
        <v>46009</v>
      </c>
    </row>
    <row r="1063" spans="1:5">
      <c r="A1063">
        <v>251211</v>
      </c>
      <c r="B1063" t="s">
        <v>1103</v>
      </c>
      <c r="C1063" t="s">
        <v>2685</v>
      </c>
      <c r="D1063" t="s">
        <v>2686</v>
      </c>
      <c r="E1063">
        <v>46013</v>
      </c>
    </row>
    <row r="1064" spans="1:5">
      <c r="A1064">
        <v>251212</v>
      </c>
      <c r="B1064" t="s">
        <v>1192</v>
      </c>
      <c r="C1064" t="s">
        <v>1473</v>
      </c>
      <c r="D1064" t="s">
        <v>1474</v>
      </c>
      <c r="E1064">
        <v>46013</v>
      </c>
    </row>
    <row r="1065" spans="1:5">
      <c r="B1065" t="s">
        <v>1192</v>
      </c>
      <c r="C1065" t="s">
        <v>2693</v>
      </c>
      <c r="D1065" t="s">
        <v>2694</v>
      </c>
      <c r="E1065">
        <v>46028</v>
      </c>
    </row>
    <row r="1066" spans="1:5">
      <c r="B1066" t="s">
        <v>2601</v>
      </c>
      <c r="C1066" t="s">
        <v>2695</v>
      </c>
      <c r="D1066" t="s">
        <v>2696</v>
      </c>
      <c r="E1066">
        <v>46034</v>
      </c>
    </row>
  </sheetData>
  <phoneticPr fontId="2"/>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6B63E-D65B-41DF-B1EF-BD4618DB188A}">
  <sheetPr codeName="Sheet8"/>
  <dimension ref="A1:E1243"/>
  <sheetViews>
    <sheetView topLeftCell="A1205" workbookViewId="0">
      <selection activeCell="C1223" sqref="C1223"/>
    </sheetView>
  </sheetViews>
  <sheetFormatPr defaultColWidth="9" defaultRowHeight="18.75"/>
  <cols>
    <col min="1" max="1" width="9.375" bestFit="1" customWidth="1"/>
    <col min="2" max="2" width="24" bestFit="1" customWidth="1"/>
    <col min="3" max="3" width="40.875" bestFit="1" customWidth="1"/>
    <col min="4" max="4" width="44.25" bestFit="1" customWidth="1"/>
    <col min="5" max="5" width="15.625" style="490" bestFit="1" customWidth="1"/>
  </cols>
  <sheetData>
    <row r="1" spans="1:5">
      <c r="A1" t="s">
        <v>1075</v>
      </c>
      <c r="B1" t="s">
        <v>1076</v>
      </c>
      <c r="C1" t="s">
        <v>1077</v>
      </c>
      <c r="D1" t="s">
        <v>1078</v>
      </c>
      <c r="E1" s="490" t="s">
        <v>2697</v>
      </c>
    </row>
    <row r="2" spans="1:5">
      <c r="A2">
        <v>1</v>
      </c>
      <c r="B2" t="s">
        <v>2292</v>
      </c>
      <c r="C2" t="s">
        <v>2293</v>
      </c>
      <c r="D2" t="s">
        <v>2294</v>
      </c>
      <c r="E2" s="490">
        <v>43637</v>
      </c>
    </row>
    <row r="3" spans="1:5">
      <c r="A3">
        <v>2</v>
      </c>
      <c r="B3" t="s">
        <v>2292</v>
      </c>
      <c r="C3" t="s">
        <v>1225</v>
      </c>
      <c r="D3" t="s">
        <v>2295</v>
      </c>
      <c r="E3" s="490">
        <v>43862</v>
      </c>
    </row>
    <row r="4" spans="1:5">
      <c r="A4">
        <v>3</v>
      </c>
      <c r="B4" t="s">
        <v>2292</v>
      </c>
      <c r="C4" t="s">
        <v>2296</v>
      </c>
      <c r="D4" t="s">
        <v>2297</v>
      </c>
      <c r="E4" s="490">
        <v>44044</v>
      </c>
    </row>
    <row r="5" spans="1:5">
      <c r="A5">
        <v>200805</v>
      </c>
      <c r="B5" t="s">
        <v>1079</v>
      </c>
      <c r="C5" t="s">
        <v>1080</v>
      </c>
      <c r="D5" t="s">
        <v>1081</v>
      </c>
      <c r="E5" s="490">
        <v>44061</v>
      </c>
    </row>
    <row r="6" spans="1:5">
      <c r="A6">
        <v>200801</v>
      </c>
      <c r="B6" t="s">
        <v>1079</v>
      </c>
      <c r="C6" t="s">
        <v>1082</v>
      </c>
      <c r="D6" t="s">
        <v>1083</v>
      </c>
      <c r="E6" s="490">
        <v>44064</v>
      </c>
    </row>
    <row r="7" spans="1:5">
      <c r="A7">
        <v>200802</v>
      </c>
      <c r="B7" t="s">
        <v>1079</v>
      </c>
      <c r="C7" t="s">
        <v>1084</v>
      </c>
      <c r="D7" t="s">
        <v>1085</v>
      </c>
      <c r="E7" s="490">
        <v>44064</v>
      </c>
    </row>
    <row r="8" spans="1:5">
      <c r="A8">
        <v>200803</v>
      </c>
      <c r="B8" t="s">
        <v>239</v>
      </c>
      <c r="C8" t="s">
        <v>1086</v>
      </c>
      <c r="D8" t="s">
        <v>1087</v>
      </c>
      <c r="E8" s="490">
        <v>44064</v>
      </c>
    </row>
    <row r="9" spans="1:5">
      <c r="A9">
        <v>200804</v>
      </c>
      <c r="B9" t="s">
        <v>1079</v>
      </c>
      <c r="C9" t="s">
        <v>1088</v>
      </c>
      <c r="D9" t="s">
        <v>1089</v>
      </c>
      <c r="E9" s="490">
        <v>44064</v>
      </c>
    </row>
    <row r="10" spans="1:5">
      <c r="A10">
        <v>200806</v>
      </c>
      <c r="B10" t="s">
        <v>1079</v>
      </c>
      <c r="C10" t="s">
        <v>1090</v>
      </c>
      <c r="D10" t="s">
        <v>1091</v>
      </c>
      <c r="E10" s="490">
        <v>44064</v>
      </c>
    </row>
    <row r="11" spans="1:5">
      <c r="A11">
        <v>200901</v>
      </c>
      <c r="B11" t="s">
        <v>1079</v>
      </c>
      <c r="C11" t="s">
        <v>1092</v>
      </c>
      <c r="D11" t="s">
        <v>1093</v>
      </c>
      <c r="E11" s="490">
        <v>44083</v>
      </c>
    </row>
    <row r="12" spans="1:5">
      <c r="A12">
        <v>200902</v>
      </c>
      <c r="B12" t="s">
        <v>1079</v>
      </c>
      <c r="C12" t="s">
        <v>1094</v>
      </c>
      <c r="D12" t="s">
        <v>1095</v>
      </c>
      <c r="E12" s="490">
        <v>44095</v>
      </c>
    </row>
    <row r="13" spans="1:5">
      <c r="A13">
        <v>4</v>
      </c>
      <c r="B13" t="s">
        <v>428</v>
      </c>
      <c r="C13" t="s">
        <v>2298</v>
      </c>
      <c r="D13" t="s">
        <v>2299</v>
      </c>
      <c r="E13" s="490">
        <v>44125</v>
      </c>
    </row>
    <row r="14" spans="1:5">
      <c r="A14">
        <v>201001</v>
      </c>
      <c r="B14" t="s">
        <v>1096</v>
      </c>
      <c r="C14" t="s">
        <v>1097</v>
      </c>
      <c r="D14" t="s">
        <v>1098</v>
      </c>
      <c r="E14" s="490">
        <v>44130</v>
      </c>
    </row>
    <row r="15" spans="1:5">
      <c r="A15">
        <v>201002</v>
      </c>
      <c r="B15" t="s">
        <v>1099</v>
      </c>
      <c r="C15" t="s">
        <v>1100</v>
      </c>
      <c r="D15" t="s">
        <v>1101</v>
      </c>
      <c r="E15" s="490">
        <v>44130</v>
      </c>
    </row>
    <row r="16" spans="1:5">
      <c r="A16">
        <v>201003</v>
      </c>
      <c r="B16" t="s">
        <v>1099</v>
      </c>
      <c r="C16" t="s">
        <v>1102</v>
      </c>
      <c r="D16" t="s">
        <v>1102</v>
      </c>
      <c r="E16" s="490">
        <v>44130</v>
      </c>
    </row>
    <row r="17" spans="1:5">
      <c r="A17">
        <v>201101</v>
      </c>
      <c r="B17" t="s">
        <v>1103</v>
      </c>
      <c r="C17" t="s">
        <v>1104</v>
      </c>
      <c r="D17" t="s">
        <v>1105</v>
      </c>
      <c r="E17" s="490">
        <v>44144</v>
      </c>
    </row>
    <row r="18" spans="1:5">
      <c r="A18">
        <v>201102</v>
      </c>
      <c r="B18" t="s">
        <v>1106</v>
      </c>
      <c r="C18" t="s">
        <v>1107</v>
      </c>
      <c r="D18" t="s">
        <v>1107</v>
      </c>
      <c r="E18" s="490">
        <v>44146</v>
      </c>
    </row>
    <row r="19" spans="1:5">
      <c r="A19">
        <v>201103</v>
      </c>
      <c r="B19" t="s">
        <v>1106</v>
      </c>
      <c r="C19" t="s">
        <v>1108</v>
      </c>
      <c r="D19" t="s">
        <v>1109</v>
      </c>
      <c r="E19" s="490">
        <v>44151</v>
      </c>
    </row>
    <row r="20" spans="1:5">
      <c r="A20">
        <v>201104</v>
      </c>
      <c r="B20" t="s">
        <v>264</v>
      </c>
      <c r="C20" t="s">
        <v>1110</v>
      </c>
      <c r="D20" t="s">
        <v>1111</v>
      </c>
      <c r="E20" s="490">
        <v>44153</v>
      </c>
    </row>
    <row r="21" spans="1:5">
      <c r="A21">
        <v>201105</v>
      </c>
      <c r="B21" t="s">
        <v>264</v>
      </c>
      <c r="C21" t="s">
        <v>1112</v>
      </c>
      <c r="D21" t="s">
        <v>1113</v>
      </c>
      <c r="E21" s="490">
        <v>44154</v>
      </c>
    </row>
    <row r="22" spans="1:5">
      <c r="A22">
        <v>201106</v>
      </c>
      <c r="B22" t="s">
        <v>1106</v>
      </c>
      <c r="C22" t="s">
        <v>172</v>
      </c>
      <c r="D22" t="s">
        <v>173</v>
      </c>
      <c r="E22" s="490">
        <v>44159</v>
      </c>
    </row>
    <row r="23" spans="1:5">
      <c r="A23">
        <v>201201</v>
      </c>
      <c r="B23" t="s">
        <v>264</v>
      </c>
      <c r="C23" t="s">
        <v>1114</v>
      </c>
      <c r="D23" t="s">
        <v>1115</v>
      </c>
      <c r="E23" s="490">
        <v>44166</v>
      </c>
    </row>
    <row r="24" spans="1:5">
      <c r="A24">
        <v>201202</v>
      </c>
      <c r="B24" t="s">
        <v>1116</v>
      </c>
      <c r="C24" t="s">
        <v>1117</v>
      </c>
      <c r="D24" t="s">
        <v>1118</v>
      </c>
      <c r="E24" s="490">
        <v>44166</v>
      </c>
    </row>
    <row r="25" spans="1:5">
      <c r="A25">
        <v>201203</v>
      </c>
      <c r="B25" t="s">
        <v>1099</v>
      </c>
      <c r="C25" t="s">
        <v>1119</v>
      </c>
      <c r="D25" t="s">
        <v>1119</v>
      </c>
      <c r="E25" s="490">
        <v>44166</v>
      </c>
    </row>
    <row r="26" spans="1:5">
      <c r="A26">
        <v>201204</v>
      </c>
      <c r="B26" t="s">
        <v>264</v>
      </c>
      <c r="C26" t="s">
        <v>1120</v>
      </c>
      <c r="D26" t="s">
        <v>1121</v>
      </c>
      <c r="E26" s="490">
        <v>44166</v>
      </c>
    </row>
    <row r="27" spans="1:5">
      <c r="A27">
        <v>5</v>
      </c>
      <c r="B27" t="s">
        <v>2292</v>
      </c>
      <c r="C27" t="s">
        <v>2300</v>
      </c>
      <c r="D27" t="s">
        <v>2301</v>
      </c>
      <c r="E27" s="490">
        <v>44166</v>
      </c>
    </row>
    <row r="28" spans="1:5">
      <c r="A28">
        <v>201205</v>
      </c>
      <c r="B28" t="s">
        <v>1106</v>
      </c>
      <c r="C28" t="s">
        <v>1122</v>
      </c>
      <c r="D28" t="s">
        <v>1123</v>
      </c>
      <c r="E28" s="490">
        <v>44167</v>
      </c>
    </row>
    <row r="29" spans="1:5">
      <c r="A29">
        <v>201209</v>
      </c>
      <c r="B29" t="s">
        <v>264</v>
      </c>
      <c r="C29" t="s">
        <v>1124</v>
      </c>
      <c r="D29" t="s">
        <v>1125</v>
      </c>
      <c r="E29" s="490">
        <v>44175</v>
      </c>
    </row>
    <row r="30" spans="1:5">
      <c r="A30">
        <v>201210</v>
      </c>
      <c r="B30" t="s">
        <v>1103</v>
      </c>
      <c r="C30" t="s">
        <v>1126</v>
      </c>
      <c r="D30" t="s">
        <v>1127</v>
      </c>
      <c r="E30" s="490">
        <v>44179</v>
      </c>
    </row>
    <row r="31" spans="1:5">
      <c r="A31">
        <v>201206</v>
      </c>
      <c r="B31" t="s">
        <v>1106</v>
      </c>
      <c r="C31" t="s">
        <v>1128</v>
      </c>
      <c r="D31" t="s">
        <v>1129</v>
      </c>
      <c r="E31" s="490">
        <v>44187</v>
      </c>
    </row>
    <row r="32" spans="1:5">
      <c r="A32">
        <v>201207</v>
      </c>
      <c r="B32" t="s">
        <v>1130</v>
      </c>
      <c r="C32" t="s">
        <v>1131</v>
      </c>
      <c r="D32" t="s">
        <v>1132</v>
      </c>
      <c r="E32" s="490">
        <v>44189</v>
      </c>
    </row>
    <row r="33" spans="1:5">
      <c r="A33">
        <v>201208</v>
      </c>
      <c r="B33" t="s">
        <v>1130</v>
      </c>
      <c r="C33" t="s">
        <v>1133</v>
      </c>
      <c r="D33" t="s">
        <v>1134</v>
      </c>
      <c r="E33" s="490">
        <v>44189</v>
      </c>
    </row>
    <row r="34" spans="1:5">
      <c r="A34">
        <v>6</v>
      </c>
      <c r="B34" t="s">
        <v>2292</v>
      </c>
      <c r="C34" t="s">
        <v>2302</v>
      </c>
      <c r="D34" t="s">
        <v>2303</v>
      </c>
      <c r="E34" s="490">
        <v>44197</v>
      </c>
    </row>
    <row r="35" spans="1:5">
      <c r="A35">
        <v>210101</v>
      </c>
      <c r="B35" t="s">
        <v>1103</v>
      </c>
      <c r="C35" t="s">
        <v>1135</v>
      </c>
      <c r="D35" t="s">
        <v>1136</v>
      </c>
      <c r="E35" s="490">
        <v>44201</v>
      </c>
    </row>
    <row r="36" spans="1:5">
      <c r="A36">
        <v>210102</v>
      </c>
      <c r="B36" t="s">
        <v>1103</v>
      </c>
      <c r="C36" t="s">
        <v>1137</v>
      </c>
      <c r="D36" t="s">
        <v>1138</v>
      </c>
      <c r="E36" s="490">
        <v>44201</v>
      </c>
    </row>
    <row r="37" spans="1:5">
      <c r="A37">
        <v>210103</v>
      </c>
      <c r="B37" t="s">
        <v>178</v>
      </c>
      <c r="C37" t="s">
        <v>1139</v>
      </c>
      <c r="D37" t="s">
        <v>1140</v>
      </c>
      <c r="E37" s="490">
        <v>44201</v>
      </c>
    </row>
    <row r="38" spans="1:5">
      <c r="A38">
        <v>210104</v>
      </c>
      <c r="B38" t="s">
        <v>1106</v>
      </c>
      <c r="C38" t="s">
        <v>1141</v>
      </c>
      <c r="D38" t="s">
        <v>1142</v>
      </c>
      <c r="E38" s="490">
        <v>44201</v>
      </c>
    </row>
    <row r="39" spans="1:5">
      <c r="A39">
        <v>210105</v>
      </c>
      <c r="B39" t="s">
        <v>264</v>
      </c>
      <c r="C39" t="s">
        <v>1143</v>
      </c>
      <c r="D39" t="s">
        <v>1144</v>
      </c>
      <c r="E39" s="490">
        <v>44202</v>
      </c>
    </row>
    <row r="40" spans="1:5">
      <c r="A40">
        <v>210106</v>
      </c>
      <c r="B40" t="s">
        <v>239</v>
      </c>
      <c r="C40" t="s">
        <v>1145</v>
      </c>
      <c r="D40" t="s">
        <v>1146</v>
      </c>
      <c r="E40" s="490">
        <v>44202</v>
      </c>
    </row>
    <row r="41" spans="1:5">
      <c r="A41">
        <v>210107</v>
      </c>
      <c r="B41" t="s">
        <v>1116</v>
      </c>
      <c r="C41" t="s">
        <v>1147</v>
      </c>
      <c r="D41" t="s">
        <v>1148</v>
      </c>
      <c r="E41" s="490">
        <v>44202</v>
      </c>
    </row>
    <row r="42" spans="1:5">
      <c r="A42">
        <v>210108</v>
      </c>
      <c r="B42" t="s">
        <v>1116</v>
      </c>
      <c r="C42" t="s">
        <v>1149</v>
      </c>
      <c r="D42" t="s">
        <v>1150</v>
      </c>
      <c r="E42" s="490">
        <v>44202</v>
      </c>
    </row>
    <row r="43" spans="1:5">
      <c r="A43">
        <v>210109</v>
      </c>
      <c r="B43" t="s">
        <v>1116</v>
      </c>
      <c r="C43" t="s">
        <v>1151</v>
      </c>
      <c r="D43" t="s">
        <v>1152</v>
      </c>
      <c r="E43" s="490">
        <v>44202</v>
      </c>
    </row>
    <row r="44" spans="1:5">
      <c r="A44">
        <v>210110</v>
      </c>
      <c r="B44" t="s">
        <v>1106</v>
      </c>
      <c r="C44" t="s">
        <v>474</v>
      </c>
      <c r="D44" t="s">
        <v>475</v>
      </c>
      <c r="E44" s="490">
        <v>44204</v>
      </c>
    </row>
    <row r="45" spans="1:5">
      <c r="A45">
        <v>210111</v>
      </c>
      <c r="B45" t="s">
        <v>1130</v>
      </c>
      <c r="C45" t="s">
        <v>1153</v>
      </c>
      <c r="D45" t="s">
        <v>1154</v>
      </c>
      <c r="E45" s="490">
        <v>44207</v>
      </c>
    </row>
    <row r="46" spans="1:5">
      <c r="A46">
        <v>210113</v>
      </c>
      <c r="B46" t="s">
        <v>1130</v>
      </c>
      <c r="C46" t="s">
        <v>1155</v>
      </c>
      <c r="D46" t="s">
        <v>1156</v>
      </c>
      <c r="E46" s="490">
        <v>44207</v>
      </c>
    </row>
    <row r="47" spans="1:5">
      <c r="A47">
        <v>210114</v>
      </c>
      <c r="B47" t="s">
        <v>1130</v>
      </c>
      <c r="C47" t="s">
        <v>1157</v>
      </c>
      <c r="D47" t="s">
        <v>1158</v>
      </c>
      <c r="E47" s="490">
        <v>44207</v>
      </c>
    </row>
    <row r="48" spans="1:5">
      <c r="A48">
        <v>210115</v>
      </c>
      <c r="B48" t="s">
        <v>1130</v>
      </c>
      <c r="C48" t="s">
        <v>1159</v>
      </c>
      <c r="D48" t="s">
        <v>1160</v>
      </c>
      <c r="E48" s="490">
        <v>44207</v>
      </c>
    </row>
    <row r="49" spans="1:5">
      <c r="A49">
        <v>210112</v>
      </c>
      <c r="B49" t="s">
        <v>1130</v>
      </c>
      <c r="C49" t="s">
        <v>1161</v>
      </c>
      <c r="D49" t="s">
        <v>1162</v>
      </c>
      <c r="E49" s="490">
        <v>44207</v>
      </c>
    </row>
    <row r="50" spans="1:5">
      <c r="A50">
        <v>210116</v>
      </c>
      <c r="B50" t="s">
        <v>264</v>
      </c>
      <c r="C50" t="s">
        <v>1163</v>
      </c>
      <c r="D50" t="s">
        <v>1164</v>
      </c>
      <c r="E50" s="490">
        <v>44214</v>
      </c>
    </row>
    <row r="51" spans="1:5">
      <c r="A51">
        <v>210117</v>
      </c>
      <c r="B51" t="s">
        <v>178</v>
      </c>
      <c r="C51" t="s">
        <v>1165</v>
      </c>
      <c r="D51" t="s">
        <v>1166</v>
      </c>
      <c r="E51" s="490">
        <v>44221</v>
      </c>
    </row>
    <row r="52" spans="1:5">
      <c r="A52">
        <v>210118</v>
      </c>
      <c r="B52" t="s">
        <v>178</v>
      </c>
      <c r="C52" t="s">
        <v>1167</v>
      </c>
      <c r="D52" t="s">
        <v>1168</v>
      </c>
      <c r="E52" s="490">
        <v>44221</v>
      </c>
    </row>
    <row r="53" spans="1:5">
      <c r="A53">
        <v>210119</v>
      </c>
      <c r="B53" t="s">
        <v>50</v>
      </c>
      <c r="C53" t="s">
        <v>1169</v>
      </c>
      <c r="D53" t="s">
        <v>1170</v>
      </c>
      <c r="E53" s="490">
        <v>44221</v>
      </c>
    </row>
    <row r="54" spans="1:5">
      <c r="A54">
        <v>210120</v>
      </c>
      <c r="B54" t="s">
        <v>178</v>
      </c>
      <c r="C54" t="s">
        <v>1171</v>
      </c>
      <c r="D54" t="s">
        <v>1172</v>
      </c>
      <c r="E54" s="490">
        <v>44221</v>
      </c>
    </row>
    <row r="55" spans="1:5">
      <c r="A55">
        <v>210121</v>
      </c>
      <c r="B55" t="s">
        <v>1103</v>
      </c>
      <c r="C55" t="s">
        <v>1173</v>
      </c>
      <c r="D55" t="s">
        <v>1174</v>
      </c>
      <c r="E55" s="490">
        <v>44222</v>
      </c>
    </row>
    <row r="56" spans="1:5">
      <c r="A56">
        <v>210201</v>
      </c>
      <c r="B56" t="s">
        <v>1106</v>
      </c>
      <c r="C56" t="s">
        <v>1175</v>
      </c>
      <c r="D56" t="s">
        <v>1176</v>
      </c>
      <c r="E56" s="490">
        <v>44228</v>
      </c>
    </row>
    <row r="57" spans="1:5">
      <c r="A57">
        <v>210202</v>
      </c>
      <c r="B57" t="s">
        <v>1106</v>
      </c>
      <c r="C57" t="s">
        <v>1177</v>
      </c>
      <c r="D57" t="s">
        <v>1178</v>
      </c>
      <c r="E57" s="490">
        <v>44228</v>
      </c>
    </row>
    <row r="58" spans="1:5">
      <c r="A58">
        <v>210203</v>
      </c>
      <c r="B58" t="s">
        <v>1103</v>
      </c>
      <c r="C58" t="s">
        <v>1179</v>
      </c>
      <c r="D58" t="s">
        <v>1180</v>
      </c>
      <c r="E58" s="490">
        <v>44229</v>
      </c>
    </row>
    <row r="59" spans="1:5">
      <c r="A59">
        <v>210204</v>
      </c>
      <c r="B59" t="s">
        <v>1099</v>
      </c>
      <c r="C59" t="s">
        <v>1181</v>
      </c>
      <c r="D59" t="s">
        <v>1182</v>
      </c>
      <c r="E59" s="490">
        <v>44229</v>
      </c>
    </row>
    <row r="60" spans="1:5">
      <c r="A60">
        <v>210206</v>
      </c>
      <c r="B60" t="s">
        <v>1183</v>
      </c>
      <c r="C60" t="s">
        <v>1184</v>
      </c>
      <c r="D60" t="s">
        <v>1185</v>
      </c>
      <c r="E60" s="490">
        <v>44235</v>
      </c>
    </row>
    <row r="61" spans="1:5">
      <c r="A61">
        <v>210205</v>
      </c>
      <c r="B61" t="s">
        <v>1106</v>
      </c>
      <c r="C61" t="s">
        <v>287</v>
      </c>
      <c r="D61" t="s">
        <v>288</v>
      </c>
      <c r="E61" s="490">
        <v>44235</v>
      </c>
    </row>
    <row r="62" spans="1:5">
      <c r="A62">
        <v>210211</v>
      </c>
      <c r="B62" t="s">
        <v>1106</v>
      </c>
      <c r="C62" t="s">
        <v>1186</v>
      </c>
      <c r="D62" t="s">
        <v>1187</v>
      </c>
      <c r="E62" s="490">
        <v>44236</v>
      </c>
    </row>
    <row r="63" spans="1:5">
      <c r="A63">
        <v>210207</v>
      </c>
      <c r="B63" t="s">
        <v>1130</v>
      </c>
      <c r="C63" t="s">
        <v>1188</v>
      </c>
      <c r="D63" t="s">
        <v>1189</v>
      </c>
      <c r="E63" s="490">
        <v>44242</v>
      </c>
    </row>
    <row r="64" spans="1:5">
      <c r="A64">
        <v>210208</v>
      </c>
      <c r="B64" t="s">
        <v>1103</v>
      </c>
      <c r="C64" t="s">
        <v>1190</v>
      </c>
      <c r="D64" t="s">
        <v>1191</v>
      </c>
      <c r="E64" s="490">
        <v>44243</v>
      </c>
    </row>
    <row r="65" spans="1:5">
      <c r="A65">
        <v>210210</v>
      </c>
      <c r="B65" t="s">
        <v>1192</v>
      </c>
      <c r="C65" t="s">
        <v>1193</v>
      </c>
      <c r="D65" t="s">
        <v>1194</v>
      </c>
      <c r="E65" s="490">
        <v>44251</v>
      </c>
    </row>
    <row r="66" spans="1:5">
      <c r="A66">
        <v>210301</v>
      </c>
      <c r="B66" t="s">
        <v>239</v>
      </c>
      <c r="C66" t="s">
        <v>1195</v>
      </c>
      <c r="D66" t="s">
        <v>1196</v>
      </c>
      <c r="E66" s="490">
        <v>44256</v>
      </c>
    </row>
    <row r="67" spans="1:5">
      <c r="A67">
        <v>7</v>
      </c>
      <c r="B67" t="s">
        <v>2292</v>
      </c>
      <c r="C67" t="s">
        <v>2304</v>
      </c>
      <c r="D67" t="s">
        <v>2305</v>
      </c>
      <c r="E67" s="490">
        <v>44256</v>
      </c>
    </row>
    <row r="68" spans="1:5">
      <c r="A68">
        <v>210303</v>
      </c>
      <c r="B68" t="s">
        <v>1197</v>
      </c>
      <c r="C68" t="s">
        <v>30</v>
      </c>
      <c r="D68" t="s">
        <v>31</v>
      </c>
      <c r="E68" s="490">
        <v>44258</v>
      </c>
    </row>
    <row r="69" spans="1:5">
      <c r="A69">
        <v>210304</v>
      </c>
      <c r="B69" t="s">
        <v>1198</v>
      </c>
      <c r="C69" t="s">
        <v>1199</v>
      </c>
      <c r="D69" t="s">
        <v>1200</v>
      </c>
      <c r="E69" s="490">
        <v>44258</v>
      </c>
    </row>
    <row r="70" spans="1:5">
      <c r="A70">
        <v>210305</v>
      </c>
      <c r="B70" t="s">
        <v>1192</v>
      </c>
      <c r="C70" t="s">
        <v>875</v>
      </c>
      <c r="D70" t="s">
        <v>876</v>
      </c>
      <c r="E70" s="490">
        <v>44258</v>
      </c>
    </row>
    <row r="71" spans="1:5">
      <c r="A71">
        <v>210302</v>
      </c>
      <c r="B71" t="s">
        <v>1130</v>
      </c>
      <c r="C71" t="s">
        <v>1201</v>
      </c>
      <c r="D71" t="s">
        <v>1202</v>
      </c>
      <c r="E71" s="490">
        <v>44259</v>
      </c>
    </row>
    <row r="72" spans="1:5">
      <c r="A72">
        <v>210306</v>
      </c>
      <c r="B72" t="s">
        <v>178</v>
      </c>
      <c r="C72" t="s">
        <v>1203</v>
      </c>
      <c r="D72" t="s">
        <v>1204</v>
      </c>
      <c r="E72" s="490">
        <v>44263</v>
      </c>
    </row>
    <row r="73" spans="1:5">
      <c r="A73">
        <v>210307</v>
      </c>
      <c r="B73" t="s">
        <v>178</v>
      </c>
      <c r="C73" t="s">
        <v>1205</v>
      </c>
      <c r="D73" t="s">
        <v>1206</v>
      </c>
      <c r="E73" s="490">
        <v>44263</v>
      </c>
    </row>
    <row r="74" spans="1:5">
      <c r="A74">
        <v>210308</v>
      </c>
      <c r="B74" t="s">
        <v>178</v>
      </c>
      <c r="C74" t="s">
        <v>1207</v>
      </c>
      <c r="D74" t="s">
        <v>1208</v>
      </c>
      <c r="E74" s="490">
        <v>44263</v>
      </c>
    </row>
    <row r="75" spans="1:5">
      <c r="A75">
        <v>210309</v>
      </c>
      <c r="B75" t="s">
        <v>178</v>
      </c>
      <c r="C75" t="s">
        <v>1209</v>
      </c>
      <c r="D75" t="s">
        <v>1210</v>
      </c>
      <c r="E75" s="490">
        <v>44263</v>
      </c>
    </row>
    <row r="76" spans="1:5">
      <c r="A76">
        <v>210310</v>
      </c>
      <c r="B76" t="s">
        <v>178</v>
      </c>
      <c r="C76" t="s">
        <v>1211</v>
      </c>
      <c r="D76" t="s">
        <v>1212</v>
      </c>
      <c r="E76" s="490">
        <v>44263</v>
      </c>
    </row>
    <row r="77" spans="1:5">
      <c r="A77">
        <v>210311</v>
      </c>
      <c r="B77" t="s">
        <v>1106</v>
      </c>
      <c r="C77" t="s">
        <v>1213</v>
      </c>
      <c r="D77" t="s">
        <v>1214</v>
      </c>
      <c r="E77" s="490">
        <v>44264</v>
      </c>
    </row>
    <row r="78" spans="1:5">
      <c r="A78">
        <v>210312</v>
      </c>
      <c r="B78" t="s">
        <v>1197</v>
      </c>
      <c r="C78" t="s">
        <v>1215</v>
      </c>
      <c r="D78" t="s">
        <v>1216</v>
      </c>
      <c r="E78" s="490">
        <v>44272</v>
      </c>
    </row>
    <row r="79" spans="1:5">
      <c r="A79">
        <v>210313</v>
      </c>
      <c r="B79" t="s">
        <v>1197</v>
      </c>
      <c r="C79" t="s">
        <v>1217</v>
      </c>
      <c r="D79" t="s">
        <v>1218</v>
      </c>
      <c r="E79" s="490">
        <v>44272</v>
      </c>
    </row>
    <row r="80" spans="1:5">
      <c r="A80">
        <v>210314</v>
      </c>
      <c r="B80" t="s">
        <v>1183</v>
      </c>
      <c r="C80" t="s">
        <v>1219</v>
      </c>
      <c r="D80" t="s">
        <v>1220</v>
      </c>
      <c r="E80" s="490">
        <v>44274</v>
      </c>
    </row>
    <row r="81" spans="1:5">
      <c r="A81">
        <v>210315</v>
      </c>
      <c r="B81" t="s">
        <v>1197</v>
      </c>
      <c r="C81" t="s">
        <v>99</v>
      </c>
      <c r="D81" t="s">
        <v>100</v>
      </c>
      <c r="E81" s="490">
        <v>44277</v>
      </c>
    </row>
    <row r="82" spans="1:5">
      <c r="A82">
        <v>210316</v>
      </c>
      <c r="B82" t="s">
        <v>1183</v>
      </c>
      <c r="C82" t="s">
        <v>1221</v>
      </c>
      <c r="D82" t="s">
        <v>1222</v>
      </c>
      <c r="E82" s="490">
        <v>44277</v>
      </c>
    </row>
    <row r="83" spans="1:5">
      <c r="A83">
        <v>210317</v>
      </c>
      <c r="B83" t="s">
        <v>1079</v>
      </c>
      <c r="C83" t="s">
        <v>1223</v>
      </c>
      <c r="D83" t="s">
        <v>1224</v>
      </c>
      <c r="E83" s="490">
        <v>44277</v>
      </c>
    </row>
    <row r="84" spans="1:5">
      <c r="A84">
        <v>210318</v>
      </c>
      <c r="B84" t="s">
        <v>1130</v>
      </c>
      <c r="C84" t="s">
        <v>1225</v>
      </c>
      <c r="D84" t="s">
        <v>1226</v>
      </c>
      <c r="E84" s="490">
        <v>44279</v>
      </c>
    </row>
    <row r="85" spans="1:5">
      <c r="A85">
        <v>210319</v>
      </c>
      <c r="B85" t="s">
        <v>76</v>
      </c>
      <c r="C85" t="s">
        <v>1227</v>
      </c>
      <c r="D85" t="s">
        <v>1228</v>
      </c>
      <c r="E85" s="490">
        <v>44286</v>
      </c>
    </row>
    <row r="86" spans="1:5">
      <c r="A86">
        <v>210401</v>
      </c>
      <c r="B86" t="s">
        <v>206</v>
      </c>
      <c r="C86" t="s">
        <v>1229</v>
      </c>
      <c r="D86" t="s">
        <v>1230</v>
      </c>
      <c r="E86" s="490">
        <v>44287</v>
      </c>
    </row>
    <row r="87" spans="1:5">
      <c r="A87">
        <v>210402</v>
      </c>
      <c r="B87" t="s">
        <v>206</v>
      </c>
      <c r="C87" t="s">
        <v>1231</v>
      </c>
      <c r="D87" t="s">
        <v>1232</v>
      </c>
      <c r="E87" s="490">
        <v>44287</v>
      </c>
    </row>
    <row r="88" spans="1:5">
      <c r="A88">
        <v>210403</v>
      </c>
      <c r="B88" t="s">
        <v>1116</v>
      </c>
      <c r="C88" t="s">
        <v>1233</v>
      </c>
      <c r="D88" t="s">
        <v>1234</v>
      </c>
      <c r="E88" s="490">
        <v>44287</v>
      </c>
    </row>
    <row r="89" spans="1:5">
      <c r="A89">
        <v>210404</v>
      </c>
      <c r="B89" t="s">
        <v>239</v>
      </c>
      <c r="C89" t="s">
        <v>240</v>
      </c>
      <c r="D89" t="s">
        <v>241</v>
      </c>
      <c r="E89" s="490">
        <v>44291</v>
      </c>
    </row>
    <row r="90" spans="1:5">
      <c r="A90">
        <v>210407</v>
      </c>
      <c r="B90" t="s">
        <v>1130</v>
      </c>
      <c r="C90" t="s">
        <v>1237</v>
      </c>
      <c r="D90" t="s">
        <v>1238</v>
      </c>
      <c r="E90" s="490">
        <v>44291</v>
      </c>
    </row>
    <row r="91" spans="1:5">
      <c r="A91">
        <v>210408</v>
      </c>
      <c r="B91" t="s">
        <v>1130</v>
      </c>
      <c r="C91" t="s">
        <v>1239</v>
      </c>
      <c r="D91" t="s">
        <v>1240</v>
      </c>
      <c r="E91" s="490">
        <v>44291</v>
      </c>
    </row>
    <row r="92" spans="1:5">
      <c r="A92">
        <v>210409</v>
      </c>
      <c r="B92" t="s">
        <v>1198</v>
      </c>
      <c r="C92" t="s">
        <v>1241</v>
      </c>
      <c r="D92" t="s">
        <v>1242</v>
      </c>
      <c r="E92" s="490">
        <v>44291</v>
      </c>
    </row>
    <row r="93" spans="1:5">
      <c r="A93">
        <v>210406</v>
      </c>
      <c r="B93" t="s">
        <v>1130</v>
      </c>
      <c r="C93" t="s">
        <v>1243</v>
      </c>
      <c r="D93" t="s">
        <v>1244</v>
      </c>
      <c r="E93" s="490">
        <v>44291</v>
      </c>
    </row>
    <row r="94" spans="1:5">
      <c r="A94">
        <v>210405</v>
      </c>
      <c r="B94" t="s">
        <v>239</v>
      </c>
      <c r="C94" t="s">
        <v>1235</v>
      </c>
      <c r="D94" t="s">
        <v>1236</v>
      </c>
      <c r="E94" s="490">
        <v>44291</v>
      </c>
    </row>
    <row r="95" spans="1:5">
      <c r="A95">
        <v>210410</v>
      </c>
      <c r="B95" t="s">
        <v>1103</v>
      </c>
      <c r="C95" t="s">
        <v>1245</v>
      </c>
      <c r="D95" t="s">
        <v>1246</v>
      </c>
      <c r="E95" s="490">
        <v>44295</v>
      </c>
    </row>
    <row r="96" spans="1:5">
      <c r="A96">
        <v>210411</v>
      </c>
      <c r="B96" t="s">
        <v>178</v>
      </c>
      <c r="C96" t="s">
        <v>1247</v>
      </c>
      <c r="D96" t="s">
        <v>1248</v>
      </c>
      <c r="E96" s="490">
        <v>44298</v>
      </c>
    </row>
    <row r="97" spans="1:5">
      <c r="A97">
        <v>210412</v>
      </c>
      <c r="B97" t="s">
        <v>239</v>
      </c>
      <c r="C97" t="s">
        <v>1249</v>
      </c>
      <c r="D97" t="s">
        <v>1250</v>
      </c>
      <c r="E97" s="490">
        <v>44298</v>
      </c>
    </row>
    <row r="98" spans="1:5">
      <c r="A98">
        <v>210413</v>
      </c>
      <c r="B98" t="s">
        <v>1130</v>
      </c>
      <c r="C98" t="s">
        <v>1251</v>
      </c>
      <c r="D98" t="s">
        <v>1252</v>
      </c>
      <c r="E98" s="490">
        <v>44299</v>
      </c>
    </row>
    <row r="99" spans="1:5">
      <c r="A99">
        <v>210414</v>
      </c>
      <c r="B99" t="s">
        <v>1130</v>
      </c>
      <c r="C99" t="s">
        <v>1253</v>
      </c>
      <c r="D99" t="s">
        <v>1254</v>
      </c>
      <c r="E99" s="490">
        <v>44299</v>
      </c>
    </row>
    <row r="100" spans="1:5">
      <c r="A100">
        <v>210415</v>
      </c>
      <c r="B100" t="s">
        <v>1255</v>
      </c>
      <c r="C100" t="s">
        <v>1256</v>
      </c>
      <c r="D100" t="s">
        <v>1257</v>
      </c>
      <c r="E100" s="490">
        <v>44301</v>
      </c>
    </row>
    <row r="101" spans="1:5">
      <c r="A101">
        <v>210416</v>
      </c>
      <c r="B101" t="s">
        <v>1130</v>
      </c>
      <c r="C101" t="s">
        <v>1258</v>
      </c>
      <c r="D101" t="s">
        <v>1259</v>
      </c>
      <c r="E101" s="490">
        <v>44305</v>
      </c>
    </row>
    <row r="102" spans="1:5">
      <c r="A102">
        <v>210417</v>
      </c>
      <c r="B102" t="s">
        <v>1197</v>
      </c>
      <c r="C102" t="s">
        <v>1260</v>
      </c>
      <c r="D102" t="s">
        <v>1261</v>
      </c>
      <c r="E102" s="490">
        <v>44306</v>
      </c>
    </row>
    <row r="103" spans="1:5">
      <c r="A103">
        <v>210418</v>
      </c>
      <c r="B103" t="s">
        <v>1262</v>
      </c>
      <c r="C103" t="s">
        <v>1263</v>
      </c>
      <c r="D103" t="s">
        <v>1264</v>
      </c>
      <c r="E103" s="490">
        <v>44307</v>
      </c>
    </row>
    <row r="104" spans="1:5">
      <c r="A104">
        <v>210419</v>
      </c>
      <c r="B104" t="s">
        <v>1265</v>
      </c>
      <c r="C104" t="s">
        <v>1266</v>
      </c>
      <c r="D104" t="s">
        <v>1267</v>
      </c>
      <c r="E104" s="490">
        <v>44308</v>
      </c>
    </row>
    <row r="105" spans="1:5">
      <c r="A105">
        <v>210420</v>
      </c>
      <c r="B105" t="s">
        <v>1262</v>
      </c>
      <c r="C105" t="s">
        <v>1268</v>
      </c>
      <c r="D105" t="s">
        <v>1269</v>
      </c>
      <c r="E105" s="490">
        <v>44312</v>
      </c>
    </row>
    <row r="106" spans="1:5">
      <c r="A106">
        <v>210421</v>
      </c>
      <c r="B106" t="s">
        <v>76</v>
      </c>
      <c r="C106" t="s">
        <v>1270</v>
      </c>
      <c r="D106" t="s">
        <v>1271</v>
      </c>
      <c r="E106" s="490">
        <v>44312</v>
      </c>
    </row>
    <row r="107" spans="1:5">
      <c r="A107">
        <v>210422</v>
      </c>
      <c r="B107" t="s">
        <v>264</v>
      </c>
      <c r="C107" t="s">
        <v>1272</v>
      </c>
      <c r="D107" t="s">
        <v>1273</v>
      </c>
      <c r="E107" s="490">
        <v>44312</v>
      </c>
    </row>
    <row r="108" spans="1:5">
      <c r="A108">
        <v>210423</v>
      </c>
      <c r="B108" t="s">
        <v>1255</v>
      </c>
      <c r="C108" t="s">
        <v>1274</v>
      </c>
      <c r="D108" t="s">
        <v>1275</v>
      </c>
      <c r="E108" s="490">
        <v>44313</v>
      </c>
    </row>
    <row r="109" spans="1:5">
      <c r="A109">
        <v>210424</v>
      </c>
      <c r="B109" t="s">
        <v>1255</v>
      </c>
      <c r="C109" t="s">
        <v>209</v>
      </c>
      <c r="D109" t="s">
        <v>1276</v>
      </c>
      <c r="E109" s="490">
        <v>44313</v>
      </c>
    </row>
    <row r="110" spans="1:5">
      <c r="A110">
        <v>210425</v>
      </c>
      <c r="B110" t="s">
        <v>1079</v>
      </c>
      <c r="C110" t="s">
        <v>1277</v>
      </c>
      <c r="D110" t="s">
        <v>1278</v>
      </c>
      <c r="E110" s="490">
        <v>44313</v>
      </c>
    </row>
    <row r="111" spans="1:5">
      <c r="A111">
        <v>210426</v>
      </c>
      <c r="B111" t="s">
        <v>1079</v>
      </c>
      <c r="C111" t="s">
        <v>1279</v>
      </c>
      <c r="D111" t="s">
        <v>1280</v>
      </c>
      <c r="E111" s="490">
        <v>44313</v>
      </c>
    </row>
    <row r="112" spans="1:5">
      <c r="A112">
        <v>210501</v>
      </c>
      <c r="B112" t="s">
        <v>178</v>
      </c>
      <c r="C112" t="s">
        <v>1281</v>
      </c>
      <c r="D112" t="s">
        <v>356</v>
      </c>
      <c r="E112" s="490">
        <v>44326</v>
      </c>
    </row>
    <row r="113" spans="1:5">
      <c r="A113">
        <v>210502</v>
      </c>
      <c r="B113" t="s">
        <v>178</v>
      </c>
      <c r="C113" t="s">
        <v>1282</v>
      </c>
      <c r="D113" t="s">
        <v>1283</v>
      </c>
      <c r="E113" s="490">
        <v>44326</v>
      </c>
    </row>
    <row r="114" spans="1:5">
      <c r="A114">
        <v>210503</v>
      </c>
      <c r="B114" t="s">
        <v>1106</v>
      </c>
      <c r="C114" t="s">
        <v>1284</v>
      </c>
      <c r="D114" t="s">
        <v>1285</v>
      </c>
      <c r="E114" s="490">
        <v>44326</v>
      </c>
    </row>
    <row r="115" spans="1:5">
      <c r="A115">
        <v>210504</v>
      </c>
      <c r="B115" t="s">
        <v>1106</v>
      </c>
      <c r="C115" t="s">
        <v>1286</v>
      </c>
      <c r="D115" t="s">
        <v>1287</v>
      </c>
      <c r="E115" s="490">
        <v>44326</v>
      </c>
    </row>
    <row r="116" spans="1:5">
      <c r="A116">
        <v>11</v>
      </c>
      <c r="B116" t="s">
        <v>2292</v>
      </c>
      <c r="C116" t="s">
        <v>2306</v>
      </c>
      <c r="D116" t="s">
        <v>2307</v>
      </c>
      <c r="E116" s="490">
        <v>44326</v>
      </c>
    </row>
    <row r="117" spans="1:5">
      <c r="A117">
        <v>9</v>
      </c>
      <c r="B117" t="s">
        <v>2292</v>
      </c>
      <c r="C117" t="s">
        <v>77</v>
      </c>
      <c r="D117" t="s">
        <v>78</v>
      </c>
      <c r="E117" s="490">
        <v>44326</v>
      </c>
    </row>
    <row r="118" spans="1:5">
      <c r="A118">
        <v>10</v>
      </c>
      <c r="B118" t="s">
        <v>2292</v>
      </c>
      <c r="C118" t="s">
        <v>2308</v>
      </c>
      <c r="D118" t="s">
        <v>2309</v>
      </c>
      <c r="E118" s="490">
        <v>44326</v>
      </c>
    </row>
    <row r="119" spans="1:5">
      <c r="A119">
        <v>210505</v>
      </c>
      <c r="B119" t="s">
        <v>76</v>
      </c>
      <c r="C119" t="s">
        <v>1288</v>
      </c>
      <c r="D119" t="s">
        <v>1289</v>
      </c>
      <c r="E119" s="490">
        <v>44327</v>
      </c>
    </row>
    <row r="120" spans="1:5">
      <c r="A120">
        <v>210506</v>
      </c>
      <c r="B120" t="s">
        <v>76</v>
      </c>
      <c r="C120" t="s">
        <v>1290</v>
      </c>
      <c r="D120" t="s">
        <v>1291</v>
      </c>
      <c r="E120" s="490">
        <v>44327</v>
      </c>
    </row>
    <row r="121" spans="1:5">
      <c r="A121">
        <v>210507</v>
      </c>
      <c r="B121" t="s">
        <v>76</v>
      </c>
      <c r="C121" t="s">
        <v>115</v>
      </c>
      <c r="D121" t="s">
        <v>1292</v>
      </c>
      <c r="E121" s="490">
        <v>44337</v>
      </c>
    </row>
    <row r="122" spans="1:5">
      <c r="A122">
        <v>210508</v>
      </c>
      <c r="B122" t="s">
        <v>76</v>
      </c>
      <c r="C122" t="s">
        <v>1293</v>
      </c>
      <c r="D122" t="s">
        <v>1294</v>
      </c>
      <c r="E122" s="490">
        <v>44337</v>
      </c>
    </row>
    <row r="123" spans="1:5">
      <c r="A123">
        <v>210509</v>
      </c>
      <c r="B123" t="s">
        <v>1255</v>
      </c>
      <c r="C123" t="s">
        <v>1295</v>
      </c>
      <c r="D123" t="s">
        <v>1296</v>
      </c>
      <c r="E123" s="490">
        <v>44340</v>
      </c>
    </row>
    <row r="124" spans="1:5">
      <c r="A124">
        <v>210510</v>
      </c>
      <c r="B124" t="s">
        <v>1183</v>
      </c>
      <c r="C124" t="s">
        <v>1297</v>
      </c>
      <c r="D124" t="s">
        <v>1298</v>
      </c>
      <c r="E124" s="490">
        <v>44341</v>
      </c>
    </row>
    <row r="125" spans="1:5">
      <c r="A125">
        <v>210511</v>
      </c>
      <c r="B125" t="s">
        <v>1103</v>
      </c>
      <c r="C125" t="s">
        <v>1299</v>
      </c>
      <c r="D125" t="s">
        <v>1300</v>
      </c>
      <c r="E125" s="490">
        <v>44347</v>
      </c>
    </row>
    <row r="126" spans="1:5">
      <c r="A126">
        <v>210602</v>
      </c>
      <c r="B126" t="s">
        <v>178</v>
      </c>
      <c r="C126" t="s">
        <v>179</v>
      </c>
      <c r="D126" t="s">
        <v>180</v>
      </c>
      <c r="E126" s="490">
        <v>44348</v>
      </c>
    </row>
    <row r="127" spans="1:5">
      <c r="A127">
        <v>210600</v>
      </c>
      <c r="B127" t="s">
        <v>1255</v>
      </c>
      <c r="C127" t="s">
        <v>1301</v>
      </c>
      <c r="D127" t="s">
        <v>1302</v>
      </c>
      <c r="E127" s="490">
        <v>44348</v>
      </c>
    </row>
    <row r="128" spans="1:5">
      <c r="A128">
        <v>210601</v>
      </c>
      <c r="B128" t="s">
        <v>178</v>
      </c>
      <c r="C128" t="s">
        <v>1303</v>
      </c>
      <c r="D128" t="s">
        <v>1304</v>
      </c>
      <c r="E128" s="490">
        <v>44348</v>
      </c>
    </row>
    <row r="129" spans="1:5">
      <c r="A129">
        <v>210618</v>
      </c>
      <c r="B129" t="s">
        <v>1255</v>
      </c>
      <c r="C129" t="s">
        <v>1305</v>
      </c>
      <c r="D129" t="s">
        <v>1306</v>
      </c>
      <c r="E129" s="490">
        <v>44348</v>
      </c>
    </row>
    <row r="130" spans="1:5">
      <c r="A130">
        <v>211031</v>
      </c>
      <c r="B130" t="s">
        <v>1255</v>
      </c>
      <c r="C130" t="s">
        <v>1307</v>
      </c>
      <c r="D130" t="s">
        <v>1308</v>
      </c>
      <c r="E130" s="490">
        <v>44348</v>
      </c>
    </row>
    <row r="131" spans="1:5">
      <c r="A131">
        <v>210603</v>
      </c>
      <c r="B131" t="s">
        <v>1197</v>
      </c>
      <c r="C131" t="s">
        <v>1309</v>
      </c>
      <c r="D131" t="s">
        <v>1310</v>
      </c>
      <c r="E131" s="490">
        <v>44350</v>
      </c>
    </row>
    <row r="132" spans="1:5">
      <c r="A132">
        <v>210604</v>
      </c>
      <c r="B132" t="s">
        <v>1262</v>
      </c>
      <c r="C132" t="s">
        <v>1311</v>
      </c>
      <c r="D132" t="s">
        <v>1312</v>
      </c>
      <c r="E132" s="490">
        <v>44354</v>
      </c>
    </row>
    <row r="133" spans="1:5">
      <c r="A133">
        <v>210605</v>
      </c>
      <c r="B133" t="s">
        <v>1130</v>
      </c>
      <c r="C133" t="s">
        <v>1313</v>
      </c>
      <c r="D133" t="s">
        <v>1314</v>
      </c>
      <c r="E133" s="490">
        <v>44355</v>
      </c>
    </row>
    <row r="134" spans="1:5">
      <c r="A134">
        <v>210606</v>
      </c>
      <c r="B134" t="s">
        <v>1130</v>
      </c>
      <c r="C134" t="s">
        <v>1315</v>
      </c>
      <c r="D134" t="s">
        <v>1316</v>
      </c>
      <c r="E134" s="490">
        <v>44355</v>
      </c>
    </row>
    <row r="135" spans="1:5">
      <c r="A135">
        <v>210607</v>
      </c>
      <c r="B135" t="s">
        <v>178</v>
      </c>
      <c r="C135" t="s">
        <v>1317</v>
      </c>
      <c r="D135" t="s">
        <v>1318</v>
      </c>
      <c r="E135" s="490">
        <v>44357</v>
      </c>
    </row>
    <row r="136" spans="1:5">
      <c r="A136">
        <v>210608</v>
      </c>
      <c r="B136" t="s">
        <v>206</v>
      </c>
      <c r="C136" t="s">
        <v>1319</v>
      </c>
      <c r="D136" t="s">
        <v>1320</v>
      </c>
      <c r="E136" s="490">
        <v>44361</v>
      </c>
    </row>
    <row r="137" spans="1:5">
      <c r="A137">
        <v>210609</v>
      </c>
      <c r="B137" t="s">
        <v>1130</v>
      </c>
      <c r="C137" t="s">
        <v>1321</v>
      </c>
      <c r="D137" t="s">
        <v>1174</v>
      </c>
      <c r="E137" s="490">
        <v>44362</v>
      </c>
    </row>
    <row r="138" spans="1:5">
      <c r="A138">
        <v>210610</v>
      </c>
      <c r="B138" t="s">
        <v>1106</v>
      </c>
      <c r="C138" t="s">
        <v>219</v>
      </c>
      <c r="D138" t="s">
        <v>220</v>
      </c>
      <c r="E138" s="490">
        <v>44363</v>
      </c>
    </row>
    <row r="139" spans="1:5">
      <c r="A139">
        <v>210611</v>
      </c>
      <c r="B139" t="s">
        <v>1106</v>
      </c>
      <c r="C139" t="s">
        <v>1322</v>
      </c>
      <c r="D139" t="s">
        <v>1323</v>
      </c>
      <c r="E139" s="490">
        <v>44363</v>
      </c>
    </row>
    <row r="140" spans="1:5">
      <c r="A140">
        <v>210612</v>
      </c>
      <c r="B140" t="s">
        <v>1262</v>
      </c>
      <c r="C140" t="s">
        <v>1324</v>
      </c>
      <c r="D140" t="s">
        <v>1325</v>
      </c>
      <c r="E140" s="490">
        <v>44368</v>
      </c>
    </row>
    <row r="141" spans="1:5">
      <c r="A141">
        <v>210613</v>
      </c>
      <c r="B141" t="s">
        <v>1103</v>
      </c>
      <c r="C141" t="s">
        <v>1326</v>
      </c>
      <c r="D141" t="s">
        <v>1327</v>
      </c>
      <c r="E141" s="490">
        <v>44368</v>
      </c>
    </row>
    <row r="142" spans="1:5">
      <c r="A142">
        <v>210614</v>
      </c>
      <c r="B142" t="s">
        <v>1103</v>
      </c>
      <c r="C142" t="s">
        <v>1328</v>
      </c>
      <c r="D142" t="s">
        <v>1329</v>
      </c>
      <c r="E142" s="490">
        <v>44368</v>
      </c>
    </row>
    <row r="143" spans="1:5">
      <c r="A143">
        <v>210615</v>
      </c>
      <c r="B143" t="s">
        <v>1255</v>
      </c>
      <c r="C143" t="s">
        <v>1330</v>
      </c>
      <c r="D143" t="s">
        <v>1331</v>
      </c>
      <c r="E143" s="490">
        <v>44369</v>
      </c>
    </row>
    <row r="144" spans="1:5">
      <c r="A144">
        <v>210616</v>
      </c>
      <c r="B144" t="s">
        <v>178</v>
      </c>
      <c r="C144" t="s">
        <v>1332</v>
      </c>
      <c r="D144" t="s">
        <v>1333</v>
      </c>
      <c r="E144" s="490">
        <v>44371</v>
      </c>
    </row>
    <row r="145" spans="1:5">
      <c r="A145">
        <v>210701</v>
      </c>
      <c r="B145" t="s">
        <v>1262</v>
      </c>
      <c r="C145" t="s">
        <v>1334</v>
      </c>
      <c r="D145" t="s">
        <v>1335</v>
      </c>
      <c r="E145" s="490">
        <v>44378</v>
      </c>
    </row>
    <row r="146" spans="1:5">
      <c r="A146">
        <v>210702</v>
      </c>
      <c r="B146" t="s">
        <v>1103</v>
      </c>
      <c r="C146" t="s">
        <v>1336</v>
      </c>
      <c r="D146" t="s">
        <v>1337</v>
      </c>
      <c r="E146" s="490">
        <v>44382</v>
      </c>
    </row>
    <row r="147" spans="1:5">
      <c r="A147">
        <v>210703</v>
      </c>
      <c r="B147" t="s">
        <v>1262</v>
      </c>
      <c r="C147" t="s">
        <v>1338</v>
      </c>
      <c r="D147" t="s">
        <v>1339</v>
      </c>
      <c r="E147" s="490">
        <v>44384</v>
      </c>
    </row>
    <row r="148" spans="1:5">
      <c r="A148">
        <v>210704</v>
      </c>
      <c r="B148" t="s">
        <v>1255</v>
      </c>
      <c r="C148" t="s">
        <v>1340</v>
      </c>
      <c r="D148" t="s">
        <v>1341</v>
      </c>
      <c r="E148" s="490">
        <v>44384</v>
      </c>
    </row>
    <row r="149" spans="1:5">
      <c r="A149">
        <v>210705</v>
      </c>
      <c r="B149" t="s">
        <v>1255</v>
      </c>
      <c r="C149" t="s">
        <v>1342</v>
      </c>
      <c r="D149" t="s">
        <v>1343</v>
      </c>
      <c r="E149" s="490">
        <v>44384</v>
      </c>
    </row>
    <row r="150" spans="1:5">
      <c r="A150">
        <v>210706</v>
      </c>
      <c r="B150" t="s">
        <v>178</v>
      </c>
      <c r="C150" t="s">
        <v>1344</v>
      </c>
      <c r="D150" t="s">
        <v>1345</v>
      </c>
      <c r="E150" s="490">
        <v>44385</v>
      </c>
    </row>
    <row r="151" spans="1:5">
      <c r="A151">
        <v>210707</v>
      </c>
      <c r="B151" t="s">
        <v>76</v>
      </c>
      <c r="C151" t="s">
        <v>1346</v>
      </c>
      <c r="D151" t="s">
        <v>1347</v>
      </c>
      <c r="E151" s="490">
        <v>44391</v>
      </c>
    </row>
    <row r="152" spans="1:5">
      <c r="A152">
        <v>210708</v>
      </c>
      <c r="B152" t="s">
        <v>178</v>
      </c>
      <c r="C152" t="s">
        <v>1348</v>
      </c>
      <c r="D152" t="s">
        <v>1349</v>
      </c>
      <c r="E152" s="490">
        <v>44392</v>
      </c>
    </row>
    <row r="153" spans="1:5">
      <c r="A153">
        <v>210709</v>
      </c>
      <c r="B153" t="s">
        <v>1262</v>
      </c>
      <c r="C153" t="s">
        <v>1350</v>
      </c>
      <c r="D153" t="s">
        <v>1351</v>
      </c>
      <c r="E153" s="490">
        <v>44393</v>
      </c>
    </row>
    <row r="154" spans="1:5">
      <c r="A154">
        <v>210710</v>
      </c>
      <c r="B154" t="s">
        <v>239</v>
      </c>
      <c r="C154" t="s">
        <v>1352</v>
      </c>
      <c r="D154" t="s">
        <v>1353</v>
      </c>
      <c r="E154" s="490">
        <v>44396</v>
      </c>
    </row>
    <row r="155" spans="1:5">
      <c r="A155">
        <v>210711</v>
      </c>
      <c r="B155" t="s">
        <v>1106</v>
      </c>
      <c r="C155" t="s">
        <v>1354</v>
      </c>
      <c r="D155" t="s">
        <v>1355</v>
      </c>
      <c r="E155" s="490">
        <v>44396</v>
      </c>
    </row>
    <row r="156" spans="1:5">
      <c r="A156">
        <v>210712</v>
      </c>
      <c r="B156" t="s">
        <v>1356</v>
      </c>
      <c r="C156" t="s">
        <v>1357</v>
      </c>
      <c r="D156" t="s">
        <v>1358</v>
      </c>
      <c r="E156" s="490">
        <v>44397</v>
      </c>
    </row>
    <row r="157" spans="1:5">
      <c r="A157">
        <v>210713</v>
      </c>
      <c r="B157" t="s">
        <v>1130</v>
      </c>
      <c r="C157" t="s">
        <v>1359</v>
      </c>
      <c r="D157" t="s">
        <v>1360</v>
      </c>
      <c r="E157" s="490">
        <v>44403</v>
      </c>
    </row>
    <row r="158" spans="1:5">
      <c r="A158">
        <v>211116</v>
      </c>
      <c r="B158" t="s">
        <v>178</v>
      </c>
      <c r="C158" t="s">
        <v>1361</v>
      </c>
      <c r="D158" t="s">
        <v>1362</v>
      </c>
      <c r="E158" s="490">
        <v>44409</v>
      </c>
    </row>
    <row r="159" spans="1:5">
      <c r="A159" t="s">
        <v>2700</v>
      </c>
      <c r="B159" t="s">
        <v>124</v>
      </c>
      <c r="C159" t="s">
        <v>2321</v>
      </c>
      <c r="D159" t="s">
        <v>2322</v>
      </c>
      <c r="E159" s="490">
        <v>44409</v>
      </c>
    </row>
    <row r="160" spans="1:5">
      <c r="A160" t="s">
        <v>2701</v>
      </c>
      <c r="B160" t="s">
        <v>124</v>
      </c>
      <c r="C160" t="s">
        <v>2323</v>
      </c>
      <c r="D160" t="s">
        <v>2324</v>
      </c>
      <c r="E160" s="490">
        <v>44409</v>
      </c>
    </row>
    <row r="161" spans="1:5">
      <c r="A161" t="s">
        <v>2702</v>
      </c>
      <c r="B161" t="s">
        <v>124</v>
      </c>
      <c r="C161" t="s">
        <v>2325</v>
      </c>
      <c r="D161" t="s">
        <v>2326</v>
      </c>
      <c r="E161" s="490">
        <v>44409</v>
      </c>
    </row>
    <row r="162" spans="1:5">
      <c r="A162" t="s">
        <v>2703</v>
      </c>
      <c r="B162" t="s">
        <v>124</v>
      </c>
      <c r="C162" t="s">
        <v>2327</v>
      </c>
      <c r="D162" t="s">
        <v>2328</v>
      </c>
      <c r="E162" s="490">
        <v>44409</v>
      </c>
    </row>
    <row r="163" spans="1:5">
      <c r="A163" t="s">
        <v>2704</v>
      </c>
      <c r="B163" t="s">
        <v>124</v>
      </c>
      <c r="C163" t="s">
        <v>2329</v>
      </c>
      <c r="D163" t="s">
        <v>2330</v>
      </c>
      <c r="E163" s="490">
        <v>44409</v>
      </c>
    </row>
    <row r="164" spans="1:5">
      <c r="A164" t="s">
        <v>2705</v>
      </c>
      <c r="B164" t="s">
        <v>124</v>
      </c>
      <c r="C164" t="s">
        <v>2331</v>
      </c>
      <c r="D164" t="s">
        <v>2332</v>
      </c>
      <c r="E164" s="490">
        <v>44409</v>
      </c>
    </row>
    <row r="165" spans="1:5">
      <c r="A165" t="s">
        <v>2706</v>
      </c>
      <c r="B165" t="s">
        <v>124</v>
      </c>
      <c r="C165" t="s">
        <v>2333</v>
      </c>
      <c r="D165" t="s">
        <v>2334</v>
      </c>
      <c r="E165" s="490">
        <v>44409</v>
      </c>
    </row>
    <row r="166" spans="1:5">
      <c r="A166" t="s">
        <v>2707</v>
      </c>
      <c r="B166" t="s">
        <v>124</v>
      </c>
      <c r="C166" t="s">
        <v>2335</v>
      </c>
      <c r="D166" t="s">
        <v>2336</v>
      </c>
      <c r="E166" s="490">
        <v>44409</v>
      </c>
    </row>
    <row r="167" spans="1:5">
      <c r="A167" t="s">
        <v>2708</v>
      </c>
      <c r="B167" t="s">
        <v>124</v>
      </c>
      <c r="C167" t="s">
        <v>2337</v>
      </c>
      <c r="D167" t="s">
        <v>2338</v>
      </c>
      <c r="E167" s="490">
        <v>44409</v>
      </c>
    </row>
    <row r="168" spans="1:5">
      <c r="A168" t="s">
        <v>2709</v>
      </c>
      <c r="B168" t="s">
        <v>124</v>
      </c>
      <c r="C168" t="s">
        <v>2339</v>
      </c>
      <c r="D168" t="s">
        <v>2340</v>
      </c>
      <c r="E168" s="490">
        <v>44409</v>
      </c>
    </row>
    <row r="169" spans="1:5">
      <c r="A169" t="s">
        <v>2710</v>
      </c>
      <c r="B169" t="s">
        <v>124</v>
      </c>
      <c r="C169" t="s">
        <v>2341</v>
      </c>
      <c r="D169" t="s">
        <v>2342</v>
      </c>
      <c r="E169" s="490">
        <v>44409</v>
      </c>
    </row>
    <row r="170" spans="1:5">
      <c r="A170" t="s">
        <v>2711</v>
      </c>
      <c r="B170" t="s">
        <v>124</v>
      </c>
      <c r="C170" t="s">
        <v>2343</v>
      </c>
      <c r="D170" t="s">
        <v>2344</v>
      </c>
      <c r="E170" s="490">
        <v>44409</v>
      </c>
    </row>
    <row r="171" spans="1:5">
      <c r="A171" t="s">
        <v>2712</v>
      </c>
      <c r="B171" t="s">
        <v>124</v>
      </c>
      <c r="C171" t="s">
        <v>2345</v>
      </c>
      <c r="D171" t="s">
        <v>2346</v>
      </c>
      <c r="E171" s="490">
        <v>44409</v>
      </c>
    </row>
    <row r="172" spans="1:5">
      <c r="A172" t="s">
        <v>2714</v>
      </c>
      <c r="B172" t="s">
        <v>124</v>
      </c>
      <c r="C172" t="s">
        <v>2349</v>
      </c>
      <c r="D172" t="s">
        <v>2350</v>
      </c>
      <c r="E172" s="490">
        <v>44409</v>
      </c>
    </row>
    <row r="173" spans="1:5">
      <c r="A173" t="s">
        <v>2715</v>
      </c>
      <c r="B173" t="s">
        <v>124</v>
      </c>
      <c r="C173" t="s">
        <v>2351</v>
      </c>
      <c r="D173" t="s">
        <v>2352</v>
      </c>
      <c r="E173" s="490">
        <v>44409</v>
      </c>
    </row>
    <row r="174" spans="1:5">
      <c r="A174" t="s">
        <v>2716</v>
      </c>
      <c r="B174" t="s">
        <v>124</v>
      </c>
      <c r="C174" t="s">
        <v>2353</v>
      </c>
      <c r="D174" t="s">
        <v>2354</v>
      </c>
      <c r="E174" s="490">
        <v>44409</v>
      </c>
    </row>
    <row r="175" spans="1:5">
      <c r="A175" t="s">
        <v>2717</v>
      </c>
      <c r="B175" t="s">
        <v>124</v>
      </c>
      <c r="C175" t="s">
        <v>2355</v>
      </c>
      <c r="D175" t="s">
        <v>2356</v>
      </c>
      <c r="E175" s="490">
        <v>44409</v>
      </c>
    </row>
    <row r="176" spans="1:5">
      <c r="A176" t="s">
        <v>2718</v>
      </c>
      <c r="B176" t="s">
        <v>124</v>
      </c>
      <c r="C176" t="s">
        <v>2357</v>
      </c>
      <c r="D176" t="s">
        <v>2358</v>
      </c>
      <c r="E176" s="490">
        <v>44409</v>
      </c>
    </row>
    <row r="177" spans="1:5">
      <c r="A177" t="s">
        <v>2719</v>
      </c>
      <c r="B177" t="s">
        <v>124</v>
      </c>
      <c r="C177" t="s">
        <v>2359</v>
      </c>
      <c r="D177" t="s">
        <v>2360</v>
      </c>
      <c r="E177" s="490">
        <v>44409</v>
      </c>
    </row>
    <row r="178" spans="1:5">
      <c r="A178" t="s">
        <v>2720</v>
      </c>
      <c r="B178" t="s">
        <v>2361</v>
      </c>
      <c r="C178" t="s">
        <v>2362</v>
      </c>
      <c r="D178" t="s">
        <v>2363</v>
      </c>
      <c r="E178" s="490">
        <v>44409</v>
      </c>
    </row>
    <row r="179" spans="1:5">
      <c r="A179" t="s">
        <v>2721</v>
      </c>
      <c r="B179" t="s">
        <v>2361</v>
      </c>
      <c r="C179" t="s">
        <v>2364</v>
      </c>
      <c r="D179" t="s">
        <v>2365</v>
      </c>
      <c r="E179" s="490">
        <v>44409</v>
      </c>
    </row>
    <row r="180" spans="1:5">
      <c r="A180" t="s">
        <v>2722</v>
      </c>
      <c r="B180" t="s">
        <v>2361</v>
      </c>
      <c r="C180" t="s">
        <v>2366</v>
      </c>
      <c r="D180" t="s">
        <v>2367</v>
      </c>
      <c r="E180" s="490">
        <v>44409</v>
      </c>
    </row>
    <row r="181" spans="1:5">
      <c r="A181" t="s">
        <v>2723</v>
      </c>
      <c r="B181" t="s">
        <v>2368</v>
      </c>
      <c r="C181" t="s">
        <v>2369</v>
      </c>
      <c r="D181" t="s">
        <v>2370</v>
      </c>
      <c r="E181" s="490">
        <v>44409</v>
      </c>
    </row>
    <row r="182" spans="1:5">
      <c r="A182" t="s">
        <v>2724</v>
      </c>
      <c r="B182" t="s">
        <v>2368</v>
      </c>
      <c r="C182" t="s">
        <v>2371</v>
      </c>
      <c r="D182" t="s">
        <v>2372</v>
      </c>
      <c r="E182" s="490">
        <v>44409</v>
      </c>
    </row>
    <row r="183" spans="1:5">
      <c r="A183" t="s">
        <v>2725</v>
      </c>
      <c r="B183" t="s">
        <v>2368</v>
      </c>
      <c r="C183" t="s">
        <v>2373</v>
      </c>
      <c r="D183" t="s">
        <v>2374</v>
      </c>
      <c r="E183" s="490">
        <v>44409</v>
      </c>
    </row>
    <row r="184" spans="1:5">
      <c r="A184" t="s">
        <v>2726</v>
      </c>
      <c r="B184" t="s">
        <v>2368</v>
      </c>
      <c r="C184" t="s">
        <v>2375</v>
      </c>
      <c r="D184" t="s">
        <v>2376</v>
      </c>
      <c r="E184" s="490">
        <v>44409</v>
      </c>
    </row>
    <row r="185" spans="1:5">
      <c r="A185" t="s">
        <v>2727</v>
      </c>
      <c r="B185" t="s">
        <v>2368</v>
      </c>
      <c r="C185" t="s">
        <v>2377</v>
      </c>
      <c r="D185" t="s">
        <v>2378</v>
      </c>
      <c r="E185" s="490">
        <v>44409</v>
      </c>
    </row>
    <row r="186" spans="1:5">
      <c r="A186" t="s">
        <v>2728</v>
      </c>
      <c r="B186" t="s">
        <v>2368</v>
      </c>
      <c r="C186" t="s">
        <v>2379</v>
      </c>
      <c r="D186" t="s">
        <v>2380</v>
      </c>
      <c r="E186" s="490">
        <v>44409</v>
      </c>
    </row>
    <row r="187" spans="1:5">
      <c r="A187" t="s">
        <v>2729</v>
      </c>
      <c r="B187" t="s">
        <v>2368</v>
      </c>
      <c r="C187" t="s">
        <v>2381</v>
      </c>
      <c r="D187" t="s">
        <v>2382</v>
      </c>
      <c r="E187" s="490">
        <v>44409</v>
      </c>
    </row>
    <row r="188" spans="1:5">
      <c r="A188" t="s">
        <v>2730</v>
      </c>
      <c r="B188" t="s">
        <v>2368</v>
      </c>
      <c r="C188" t="s">
        <v>2383</v>
      </c>
      <c r="D188" t="s">
        <v>2384</v>
      </c>
      <c r="E188" s="490">
        <v>44409</v>
      </c>
    </row>
    <row r="189" spans="1:5">
      <c r="A189" t="s">
        <v>2731</v>
      </c>
      <c r="B189" t="s">
        <v>2368</v>
      </c>
      <c r="C189" t="s">
        <v>2385</v>
      </c>
      <c r="D189" t="s">
        <v>2386</v>
      </c>
      <c r="E189" s="490">
        <v>44409</v>
      </c>
    </row>
    <row r="190" spans="1:5">
      <c r="A190" t="s">
        <v>2732</v>
      </c>
      <c r="B190" t="s">
        <v>2387</v>
      </c>
      <c r="C190" t="s">
        <v>2388</v>
      </c>
      <c r="D190" t="s">
        <v>2389</v>
      </c>
      <c r="E190" s="490">
        <v>44409</v>
      </c>
    </row>
    <row r="191" spans="1:5">
      <c r="A191" t="s">
        <v>2733</v>
      </c>
      <c r="B191" t="s">
        <v>501</v>
      </c>
      <c r="C191" t="s">
        <v>2390</v>
      </c>
      <c r="D191" t="s">
        <v>2391</v>
      </c>
      <c r="E191" s="490">
        <v>44409</v>
      </c>
    </row>
    <row r="192" spans="1:5">
      <c r="A192" t="s">
        <v>2734</v>
      </c>
      <c r="B192" t="s">
        <v>501</v>
      </c>
      <c r="C192" t="s">
        <v>2392</v>
      </c>
      <c r="D192" t="s">
        <v>2393</v>
      </c>
      <c r="E192" s="490">
        <v>44409</v>
      </c>
    </row>
    <row r="193" spans="1:5">
      <c r="A193" t="s">
        <v>2735</v>
      </c>
      <c r="B193" t="s">
        <v>92</v>
      </c>
      <c r="C193" t="s">
        <v>2394</v>
      </c>
      <c r="D193" t="s">
        <v>2395</v>
      </c>
      <c r="E193" s="490">
        <v>44409</v>
      </c>
    </row>
    <row r="194" spans="1:5">
      <c r="A194" t="s">
        <v>2736</v>
      </c>
      <c r="B194" t="s">
        <v>501</v>
      </c>
      <c r="C194" t="s">
        <v>2396</v>
      </c>
      <c r="D194" t="s">
        <v>2397</v>
      </c>
      <c r="E194" s="490">
        <v>44409</v>
      </c>
    </row>
    <row r="195" spans="1:5">
      <c r="A195" t="s">
        <v>2737</v>
      </c>
      <c r="B195" t="s">
        <v>501</v>
      </c>
      <c r="C195" t="s">
        <v>2319</v>
      </c>
      <c r="D195" t="s">
        <v>2320</v>
      </c>
      <c r="E195" s="490">
        <v>44409</v>
      </c>
    </row>
    <row r="196" spans="1:5">
      <c r="A196" t="s">
        <v>2738</v>
      </c>
      <c r="B196" t="s">
        <v>501</v>
      </c>
      <c r="C196" t="s">
        <v>2398</v>
      </c>
      <c r="D196" t="s">
        <v>1783</v>
      </c>
      <c r="E196" s="490">
        <v>44409</v>
      </c>
    </row>
    <row r="197" spans="1:5">
      <c r="A197" t="s">
        <v>2739</v>
      </c>
      <c r="B197" t="s">
        <v>501</v>
      </c>
      <c r="C197" t="s">
        <v>2399</v>
      </c>
      <c r="D197" t="s">
        <v>1808</v>
      </c>
      <c r="E197" s="490">
        <v>44409</v>
      </c>
    </row>
    <row r="198" spans="1:5">
      <c r="A198">
        <v>12</v>
      </c>
      <c r="B198" t="s">
        <v>2310</v>
      </c>
      <c r="C198" t="s">
        <v>2311</v>
      </c>
      <c r="D198" t="s">
        <v>2312</v>
      </c>
      <c r="E198" s="490">
        <v>44409</v>
      </c>
    </row>
    <row r="199" spans="1:5">
      <c r="A199">
        <v>13</v>
      </c>
      <c r="B199" t="s">
        <v>2310</v>
      </c>
      <c r="C199" t="s">
        <v>2313</v>
      </c>
      <c r="D199" t="s">
        <v>2314</v>
      </c>
      <c r="E199" s="490">
        <v>44409</v>
      </c>
    </row>
    <row r="200" spans="1:5">
      <c r="A200">
        <v>210801</v>
      </c>
      <c r="B200" t="s">
        <v>1197</v>
      </c>
      <c r="C200" t="s">
        <v>1363</v>
      </c>
      <c r="D200" t="s">
        <v>1364</v>
      </c>
      <c r="E200" s="490">
        <v>44418</v>
      </c>
    </row>
    <row r="201" spans="1:5">
      <c r="A201">
        <v>210802</v>
      </c>
      <c r="B201" t="s">
        <v>1198</v>
      </c>
      <c r="C201" t="s">
        <v>1365</v>
      </c>
      <c r="D201" t="s">
        <v>1366</v>
      </c>
      <c r="E201" s="490">
        <v>44418</v>
      </c>
    </row>
    <row r="202" spans="1:5">
      <c r="A202">
        <v>210803</v>
      </c>
      <c r="B202" t="s">
        <v>1197</v>
      </c>
      <c r="C202" t="s">
        <v>1367</v>
      </c>
      <c r="D202" t="s">
        <v>1368</v>
      </c>
      <c r="E202" s="490">
        <v>44424</v>
      </c>
    </row>
    <row r="203" spans="1:5">
      <c r="A203">
        <v>210804</v>
      </c>
      <c r="B203" t="s">
        <v>1197</v>
      </c>
      <c r="C203" t="s">
        <v>1369</v>
      </c>
      <c r="D203" t="s">
        <v>1370</v>
      </c>
      <c r="E203" s="490">
        <v>44424</v>
      </c>
    </row>
    <row r="204" spans="1:5">
      <c r="A204">
        <v>210805</v>
      </c>
      <c r="B204" t="s">
        <v>1198</v>
      </c>
      <c r="C204" t="s">
        <v>1371</v>
      </c>
      <c r="D204" t="s">
        <v>1372</v>
      </c>
      <c r="E204" s="490">
        <v>44424</v>
      </c>
    </row>
    <row r="205" spans="1:5">
      <c r="A205">
        <v>210806</v>
      </c>
      <c r="B205" t="s">
        <v>1197</v>
      </c>
      <c r="C205" t="s">
        <v>1373</v>
      </c>
      <c r="D205" t="s">
        <v>1374</v>
      </c>
      <c r="E205" s="490">
        <v>44424</v>
      </c>
    </row>
    <row r="206" spans="1:5">
      <c r="A206">
        <v>210809</v>
      </c>
      <c r="B206" t="s">
        <v>1130</v>
      </c>
      <c r="C206" t="s">
        <v>1375</v>
      </c>
      <c r="D206" t="s">
        <v>1376</v>
      </c>
      <c r="E206" s="490">
        <v>44424</v>
      </c>
    </row>
    <row r="207" spans="1:5">
      <c r="A207">
        <v>210810</v>
      </c>
      <c r="B207" t="s">
        <v>76</v>
      </c>
      <c r="C207" t="s">
        <v>1377</v>
      </c>
      <c r="D207" t="s">
        <v>1378</v>
      </c>
      <c r="E207" s="490">
        <v>44424</v>
      </c>
    </row>
    <row r="208" spans="1:5">
      <c r="A208">
        <v>210811</v>
      </c>
      <c r="B208" t="s">
        <v>76</v>
      </c>
      <c r="C208" t="s">
        <v>1379</v>
      </c>
      <c r="D208" t="s">
        <v>1380</v>
      </c>
      <c r="E208" s="490">
        <v>44424</v>
      </c>
    </row>
    <row r="209" spans="1:5">
      <c r="A209">
        <v>210812</v>
      </c>
      <c r="B209" t="s">
        <v>1197</v>
      </c>
      <c r="C209" t="s">
        <v>1381</v>
      </c>
      <c r="D209" t="s">
        <v>1382</v>
      </c>
      <c r="E209" s="490">
        <v>44424</v>
      </c>
    </row>
    <row r="210" spans="1:5">
      <c r="A210">
        <v>210813</v>
      </c>
      <c r="B210" t="s">
        <v>239</v>
      </c>
      <c r="C210" t="s">
        <v>82</v>
      </c>
      <c r="D210" t="s">
        <v>1383</v>
      </c>
      <c r="E210" s="490">
        <v>44426</v>
      </c>
    </row>
    <row r="211" spans="1:5">
      <c r="A211">
        <v>210815</v>
      </c>
      <c r="B211" t="s">
        <v>76</v>
      </c>
      <c r="C211" t="s">
        <v>1384</v>
      </c>
      <c r="D211" t="s">
        <v>1385</v>
      </c>
      <c r="E211" s="490">
        <v>44431</v>
      </c>
    </row>
    <row r="212" spans="1:5">
      <c r="A212">
        <v>210816</v>
      </c>
      <c r="B212" t="s">
        <v>178</v>
      </c>
      <c r="C212" t="s">
        <v>1386</v>
      </c>
      <c r="D212" t="s">
        <v>1387</v>
      </c>
      <c r="E212" s="490">
        <v>44431</v>
      </c>
    </row>
    <row r="213" spans="1:5">
      <c r="A213">
        <v>210817</v>
      </c>
      <c r="B213" t="s">
        <v>1183</v>
      </c>
      <c r="C213" t="s">
        <v>1388</v>
      </c>
      <c r="D213" t="s">
        <v>1389</v>
      </c>
      <c r="E213" s="490">
        <v>44431</v>
      </c>
    </row>
    <row r="214" spans="1:5">
      <c r="A214">
        <v>210818</v>
      </c>
      <c r="B214" t="s">
        <v>1262</v>
      </c>
      <c r="C214" t="s">
        <v>1390</v>
      </c>
      <c r="D214" t="s">
        <v>1391</v>
      </c>
      <c r="E214" s="490">
        <v>44431</v>
      </c>
    </row>
    <row r="215" spans="1:5">
      <c r="A215">
        <v>210819</v>
      </c>
      <c r="B215" t="s">
        <v>1197</v>
      </c>
      <c r="C215" t="s">
        <v>1392</v>
      </c>
      <c r="D215" t="s">
        <v>1393</v>
      </c>
      <c r="E215" s="490">
        <v>44434</v>
      </c>
    </row>
    <row r="216" spans="1:5">
      <c r="A216">
        <v>210820</v>
      </c>
      <c r="B216" t="s">
        <v>1197</v>
      </c>
      <c r="C216" t="s">
        <v>1394</v>
      </c>
      <c r="D216" t="s">
        <v>1395</v>
      </c>
      <c r="E216" s="490">
        <v>44434</v>
      </c>
    </row>
    <row r="217" spans="1:5">
      <c r="A217">
        <v>210821</v>
      </c>
      <c r="B217" t="s">
        <v>76</v>
      </c>
      <c r="C217" t="s">
        <v>1396</v>
      </c>
      <c r="D217" t="s">
        <v>1397</v>
      </c>
      <c r="E217" s="490">
        <v>44434</v>
      </c>
    </row>
    <row r="218" spans="1:5">
      <c r="A218" t="s">
        <v>2740</v>
      </c>
      <c r="B218" t="s">
        <v>2361</v>
      </c>
      <c r="C218" t="s">
        <v>1784</v>
      </c>
      <c r="D218" t="s">
        <v>1785</v>
      </c>
      <c r="E218" s="490">
        <v>44440</v>
      </c>
    </row>
    <row r="219" spans="1:5">
      <c r="A219">
        <v>210901</v>
      </c>
      <c r="B219" t="s">
        <v>1096</v>
      </c>
      <c r="C219" t="s">
        <v>1398</v>
      </c>
      <c r="D219" t="s">
        <v>1399</v>
      </c>
      <c r="E219" s="490">
        <v>44441</v>
      </c>
    </row>
    <row r="220" spans="1:5">
      <c r="A220">
        <v>210902</v>
      </c>
      <c r="B220" t="s">
        <v>1197</v>
      </c>
      <c r="C220" t="s">
        <v>1400</v>
      </c>
      <c r="D220" t="s">
        <v>1401</v>
      </c>
      <c r="E220" s="490">
        <v>44445</v>
      </c>
    </row>
    <row r="221" spans="1:5">
      <c r="A221">
        <v>210903</v>
      </c>
      <c r="B221" t="s">
        <v>1197</v>
      </c>
      <c r="C221" t="s">
        <v>1402</v>
      </c>
      <c r="D221" t="s">
        <v>1403</v>
      </c>
      <c r="E221" s="490">
        <v>44445</v>
      </c>
    </row>
    <row r="222" spans="1:5">
      <c r="A222">
        <v>210904</v>
      </c>
      <c r="B222" t="s">
        <v>1106</v>
      </c>
      <c r="C222" t="s">
        <v>1051</v>
      </c>
      <c r="D222" t="s">
        <v>1052</v>
      </c>
      <c r="E222" s="490">
        <v>44446</v>
      </c>
    </row>
    <row r="223" spans="1:5">
      <c r="A223">
        <v>210905</v>
      </c>
      <c r="B223" t="s">
        <v>239</v>
      </c>
      <c r="C223" t="s">
        <v>1404</v>
      </c>
      <c r="D223" t="s">
        <v>1405</v>
      </c>
      <c r="E223" s="490">
        <v>44455</v>
      </c>
    </row>
    <row r="224" spans="1:5">
      <c r="A224">
        <v>210906</v>
      </c>
      <c r="B224" t="s">
        <v>264</v>
      </c>
      <c r="C224" t="s">
        <v>32</v>
      </c>
      <c r="D224" t="s">
        <v>1406</v>
      </c>
      <c r="E224" s="490">
        <v>44455</v>
      </c>
    </row>
    <row r="225" spans="1:5">
      <c r="A225">
        <v>210907</v>
      </c>
      <c r="B225" t="s">
        <v>206</v>
      </c>
      <c r="C225" t="s">
        <v>1407</v>
      </c>
      <c r="D225" t="s">
        <v>1408</v>
      </c>
      <c r="E225" s="490">
        <v>44459</v>
      </c>
    </row>
    <row r="226" spans="1:5">
      <c r="A226">
        <v>210908</v>
      </c>
      <c r="B226" t="s">
        <v>50</v>
      </c>
      <c r="C226" t="s">
        <v>1409</v>
      </c>
      <c r="D226" t="s">
        <v>1410</v>
      </c>
      <c r="E226" s="490">
        <v>44459</v>
      </c>
    </row>
    <row r="227" spans="1:5">
      <c r="A227">
        <v>210909</v>
      </c>
      <c r="B227" t="s">
        <v>1197</v>
      </c>
      <c r="C227" t="s">
        <v>1411</v>
      </c>
      <c r="D227" t="s">
        <v>1412</v>
      </c>
      <c r="E227" s="490">
        <v>44460</v>
      </c>
    </row>
    <row r="228" spans="1:5">
      <c r="A228">
        <v>210916</v>
      </c>
      <c r="B228" t="s">
        <v>1106</v>
      </c>
      <c r="C228" t="s">
        <v>1413</v>
      </c>
      <c r="D228" t="s">
        <v>1414</v>
      </c>
      <c r="E228" s="490">
        <v>44460</v>
      </c>
    </row>
    <row r="229" spans="1:5">
      <c r="A229">
        <v>210910</v>
      </c>
      <c r="B229" t="s">
        <v>1106</v>
      </c>
      <c r="C229" t="s">
        <v>1415</v>
      </c>
      <c r="D229" t="s">
        <v>1416</v>
      </c>
      <c r="E229" s="490">
        <v>44460</v>
      </c>
    </row>
    <row r="230" spans="1:5">
      <c r="A230">
        <v>210911</v>
      </c>
      <c r="B230" t="s">
        <v>1106</v>
      </c>
      <c r="C230" t="s">
        <v>164</v>
      </c>
      <c r="D230" t="s">
        <v>165</v>
      </c>
      <c r="E230" s="490">
        <v>44466</v>
      </c>
    </row>
    <row r="231" spans="1:5">
      <c r="A231">
        <v>210912</v>
      </c>
      <c r="B231" t="s">
        <v>1130</v>
      </c>
      <c r="C231" t="s">
        <v>1417</v>
      </c>
      <c r="D231" t="s">
        <v>1418</v>
      </c>
      <c r="E231" s="490">
        <v>44466</v>
      </c>
    </row>
    <row r="232" spans="1:5">
      <c r="A232">
        <v>210913</v>
      </c>
      <c r="B232" t="s">
        <v>1099</v>
      </c>
      <c r="C232" t="s">
        <v>1419</v>
      </c>
      <c r="D232" t="s">
        <v>1420</v>
      </c>
      <c r="E232" s="490">
        <v>44466</v>
      </c>
    </row>
    <row r="233" spans="1:5">
      <c r="A233">
        <v>210915</v>
      </c>
      <c r="B233" t="s">
        <v>1130</v>
      </c>
      <c r="C233" t="s">
        <v>1068</v>
      </c>
      <c r="D233" t="s">
        <v>1069</v>
      </c>
      <c r="E233" s="490">
        <v>44466</v>
      </c>
    </row>
    <row r="234" spans="1:5">
      <c r="A234">
        <v>210914</v>
      </c>
      <c r="B234" t="s">
        <v>1106</v>
      </c>
      <c r="C234" t="s">
        <v>1421</v>
      </c>
      <c r="D234" t="s">
        <v>1422</v>
      </c>
      <c r="E234" s="490">
        <v>44469</v>
      </c>
    </row>
    <row r="235" spans="1:5">
      <c r="A235">
        <v>211003</v>
      </c>
      <c r="B235" t="s">
        <v>178</v>
      </c>
      <c r="C235" t="s">
        <v>1423</v>
      </c>
      <c r="D235" t="s">
        <v>1424</v>
      </c>
      <c r="E235" s="490">
        <v>44470</v>
      </c>
    </row>
    <row r="236" spans="1:5">
      <c r="A236">
        <v>211004</v>
      </c>
      <c r="B236" t="s">
        <v>178</v>
      </c>
      <c r="C236" t="s">
        <v>1425</v>
      </c>
      <c r="D236" t="s">
        <v>1426</v>
      </c>
      <c r="E236" s="490">
        <v>44470</v>
      </c>
    </row>
    <row r="237" spans="1:5">
      <c r="A237">
        <v>211006</v>
      </c>
      <c r="B237" t="s">
        <v>178</v>
      </c>
      <c r="C237" t="s">
        <v>1427</v>
      </c>
      <c r="D237" t="s">
        <v>1428</v>
      </c>
      <c r="E237" s="490">
        <v>44470</v>
      </c>
    </row>
    <row r="238" spans="1:5">
      <c r="A238">
        <v>211001</v>
      </c>
      <c r="B238" t="s">
        <v>178</v>
      </c>
      <c r="C238" t="s">
        <v>1429</v>
      </c>
      <c r="D238" t="s">
        <v>1430</v>
      </c>
      <c r="E238" s="490">
        <v>44470</v>
      </c>
    </row>
    <row r="239" spans="1:5">
      <c r="A239">
        <v>211002</v>
      </c>
      <c r="B239" t="s">
        <v>178</v>
      </c>
      <c r="C239" t="s">
        <v>1431</v>
      </c>
      <c r="D239" t="s">
        <v>1432</v>
      </c>
      <c r="E239" s="490">
        <v>44470</v>
      </c>
    </row>
    <row r="240" spans="1:5">
      <c r="A240">
        <v>211005</v>
      </c>
      <c r="B240" t="s">
        <v>178</v>
      </c>
      <c r="C240" t="s">
        <v>1433</v>
      </c>
      <c r="D240" t="s">
        <v>1434</v>
      </c>
      <c r="E240" s="490">
        <v>44470</v>
      </c>
    </row>
    <row r="241" spans="1:5">
      <c r="A241">
        <v>211007</v>
      </c>
      <c r="B241" t="s">
        <v>178</v>
      </c>
      <c r="C241" t="s">
        <v>1435</v>
      </c>
      <c r="D241" t="s">
        <v>1436</v>
      </c>
      <c r="E241" s="490">
        <v>44470</v>
      </c>
    </row>
    <row r="242" spans="1:5">
      <c r="A242" t="s">
        <v>2805</v>
      </c>
      <c r="B242" t="s">
        <v>2361</v>
      </c>
      <c r="C242" t="s">
        <v>1431</v>
      </c>
      <c r="D242" t="s">
        <v>1432</v>
      </c>
      <c r="E242" s="490">
        <v>44470</v>
      </c>
    </row>
    <row r="243" spans="1:5">
      <c r="A243">
        <v>211008</v>
      </c>
      <c r="B243" t="s">
        <v>1130</v>
      </c>
      <c r="C243" t="s">
        <v>1437</v>
      </c>
      <c r="D243" t="s">
        <v>1438</v>
      </c>
      <c r="E243" s="490">
        <v>44473</v>
      </c>
    </row>
    <row r="244" spans="1:5">
      <c r="A244">
        <v>211009</v>
      </c>
      <c r="B244" t="s">
        <v>1079</v>
      </c>
      <c r="C244" t="s">
        <v>1439</v>
      </c>
      <c r="D244" t="s">
        <v>1440</v>
      </c>
      <c r="E244" s="490">
        <v>44474</v>
      </c>
    </row>
    <row r="245" spans="1:5">
      <c r="A245">
        <v>211010</v>
      </c>
      <c r="B245" t="s">
        <v>1106</v>
      </c>
      <c r="C245" t="s">
        <v>1441</v>
      </c>
      <c r="D245" t="s">
        <v>1442</v>
      </c>
      <c r="E245" s="490">
        <v>44476</v>
      </c>
    </row>
    <row r="246" spans="1:5">
      <c r="A246">
        <v>211011</v>
      </c>
      <c r="B246" t="s">
        <v>1106</v>
      </c>
      <c r="C246" t="s">
        <v>476</v>
      </c>
      <c r="D246" t="s">
        <v>1443</v>
      </c>
      <c r="E246" s="490">
        <v>44477</v>
      </c>
    </row>
    <row r="247" spans="1:5">
      <c r="A247">
        <v>211012</v>
      </c>
      <c r="B247" t="s">
        <v>1192</v>
      </c>
      <c r="C247" t="s">
        <v>1444</v>
      </c>
      <c r="D247" t="s">
        <v>1445</v>
      </c>
      <c r="E247" s="490">
        <v>44480</v>
      </c>
    </row>
    <row r="248" spans="1:5">
      <c r="A248">
        <v>211013</v>
      </c>
      <c r="B248" t="s">
        <v>1262</v>
      </c>
      <c r="C248" t="s">
        <v>1446</v>
      </c>
      <c r="D248" t="s">
        <v>1447</v>
      </c>
      <c r="E248" s="490">
        <v>44480</v>
      </c>
    </row>
    <row r="249" spans="1:5">
      <c r="A249">
        <v>211014</v>
      </c>
      <c r="B249" t="s">
        <v>50</v>
      </c>
      <c r="C249" t="s">
        <v>1448</v>
      </c>
      <c r="D249" t="s">
        <v>1449</v>
      </c>
      <c r="E249" s="490">
        <v>44480</v>
      </c>
    </row>
    <row r="250" spans="1:5">
      <c r="A250">
        <v>211015</v>
      </c>
      <c r="B250" t="s">
        <v>50</v>
      </c>
      <c r="C250" t="s">
        <v>1450</v>
      </c>
      <c r="D250" t="s">
        <v>1451</v>
      </c>
      <c r="E250" s="490">
        <v>44480</v>
      </c>
    </row>
    <row r="251" spans="1:5">
      <c r="A251">
        <v>211016</v>
      </c>
      <c r="B251" t="s">
        <v>211</v>
      </c>
      <c r="C251" t="s">
        <v>1452</v>
      </c>
      <c r="D251" t="s">
        <v>1453</v>
      </c>
      <c r="E251" s="490">
        <v>44481</v>
      </c>
    </row>
    <row r="252" spans="1:5">
      <c r="A252">
        <v>211017</v>
      </c>
      <c r="B252" t="s">
        <v>211</v>
      </c>
      <c r="C252" t="s">
        <v>1454</v>
      </c>
      <c r="D252" t="s">
        <v>1455</v>
      </c>
      <c r="E252" s="490">
        <v>44481</v>
      </c>
    </row>
    <row r="253" spans="1:5">
      <c r="A253">
        <v>211018</v>
      </c>
      <c r="B253" t="s">
        <v>211</v>
      </c>
      <c r="C253" t="s">
        <v>1456</v>
      </c>
      <c r="D253" t="s">
        <v>1457</v>
      </c>
      <c r="E253" s="490">
        <v>44481</v>
      </c>
    </row>
    <row r="254" spans="1:5">
      <c r="A254">
        <v>211019</v>
      </c>
      <c r="B254" t="s">
        <v>264</v>
      </c>
      <c r="C254" t="s">
        <v>1458</v>
      </c>
      <c r="D254" t="s">
        <v>1459</v>
      </c>
      <c r="E254" s="490">
        <v>44482</v>
      </c>
    </row>
    <row r="255" spans="1:5">
      <c r="A255">
        <v>211020</v>
      </c>
      <c r="B255" t="s">
        <v>1106</v>
      </c>
      <c r="C255" t="s">
        <v>1460</v>
      </c>
      <c r="D255" t="s">
        <v>1461</v>
      </c>
      <c r="E255" s="490">
        <v>44487</v>
      </c>
    </row>
    <row r="256" spans="1:5">
      <c r="A256">
        <v>211021</v>
      </c>
      <c r="B256" t="s">
        <v>1106</v>
      </c>
      <c r="C256" t="s">
        <v>89</v>
      </c>
      <c r="D256" t="s">
        <v>1462</v>
      </c>
      <c r="E256" s="490">
        <v>44487</v>
      </c>
    </row>
    <row r="257" spans="1:5">
      <c r="A257">
        <v>211022</v>
      </c>
      <c r="B257" t="s">
        <v>211</v>
      </c>
      <c r="C257" t="s">
        <v>1463</v>
      </c>
      <c r="D257" t="s">
        <v>1464</v>
      </c>
      <c r="E257" s="490">
        <v>44487</v>
      </c>
    </row>
    <row r="258" spans="1:5">
      <c r="A258">
        <v>211023</v>
      </c>
      <c r="B258" t="s">
        <v>211</v>
      </c>
      <c r="C258" t="s">
        <v>1465</v>
      </c>
      <c r="D258" t="s">
        <v>1466</v>
      </c>
      <c r="E258" s="490">
        <v>44487</v>
      </c>
    </row>
    <row r="259" spans="1:5">
      <c r="A259">
        <v>211024</v>
      </c>
      <c r="B259" t="s">
        <v>211</v>
      </c>
      <c r="C259" t="s">
        <v>1467</v>
      </c>
      <c r="D259" t="s">
        <v>1468</v>
      </c>
      <c r="E259" s="490">
        <v>44487</v>
      </c>
    </row>
    <row r="260" spans="1:5">
      <c r="A260">
        <v>211025</v>
      </c>
      <c r="B260" t="s">
        <v>178</v>
      </c>
      <c r="C260" t="s">
        <v>1469</v>
      </c>
      <c r="D260" t="s">
        <v>1470</v>
      </c>
      <c r="E260" s="490">
        <v>44489</v>
      </c>
    </row>
    <row r="261" spans="1:5">
      <c r="A261">
        <v>211031</v>
      </c>
      <c r="B261" t="s">
        <v>50</v>
      </c>
      <c r="C261" t="s">
        <v>1307</v>
      </c>
      <c r="D261" t="s">
        <v>1308</v>
      </c>
      <c r="E261" s="490">
        <v>44492</v>
      </c>
    </row>
    <row r="262" spans="1:5">
      <c r="A262">
        <v>211026</v>
      </c>
      <c r="B262" t="s">
        <v>1262</v>
      </c>
      <c r="C262" t="s">
        <v>1471</v>
      </c>
      <c r="D262" t="s">
        <v>1472</v>
      </c>
      <c r="E262" s="490">
        <v>44494</v>
      </c>
    </row>
    <row r="263" spans="1:5">
      <c r="A263">
        <v>211027</v>
      </c>
      <c r="B263" t="s">
        <v>1198</v>
      </c>
      <c r="C263" t="s">
        <v>1473</v>
      </c>
      <c r="D263" t="s">
        <v>1474</v>
      </c>
      <c r="E263" s="490">
        <v>44494</v>
      </c>
    </row>
    <row r="264" spans="1:5">
      <c r="A264">
        <v>211028</v>
      </c>
      <c r="B264" t="s">
        <v>1106</v>
      </c>
      <c r="C264" t="s">
        <v>1475</v>
      </c>
      <c r="D264" t="s">
        <v>1476</v>
      </c>
      <c r="E264" s="490">
        <v>44496</v>
      </c>
    </row>
    <row r="265" spans="1:5">
      <c r="A265">
        <v>211029</v>
      </c>
      <c r="B265" t="s">
        <v>1106</v>
      </c>
      <c r="C265" t="s">
        <v>1477</v>
      </c>
      <c r="D265" t="s">
        <v>1478</v>
      </c>
      <c r="E265" s="490">
        <v>44496</v>
      </c>
    </row>
    <row r="266" spans="1:5">
      <c r="A266">
        <v>211030</v>
      </c>
      <c r="B266" t="s">
        <v>50</v>
      </c>
      <c r="C266" t="s">
        <v>1479</v>
      </c>
      <c r="D266" t="s">
        <v>1480</v>
      </c>
      <c r="E266" s="490">
        <v>44496</v>
      </c>
    </row>
    <row r="267" spans="1:5">
      <c r="A267">
        <v>211101</v>
      </c>
      <c r="B267" t="s">
        <v>1262</v>
      </c>
      <c r="C267" t="s">
        <v>1481</v>
      </c>
      <c r="D267" t="s">
        <v>1482</v>
      </c>
      <c r="E267" s="490">
        <v>44501</v>
      </c>
    </row>
    <row r="268" spans="1:5">
      <c r="A268">
        <v>211102</v>
      </c>
      <c r="B268" t="s">
        <v>1103</v>
      </c>
      <c r="C268" t="s">
        <v>1483</v>
      </c>
      <c r="D268" t="s">
        <v>1484</v>
      </c>
      <c r="E268" s="490">
        <v>44501</v>
      </c>
    </row>
    <row r="269" spans="1:5">
      <c r="A269">
        <v>211103</v>
      </c>
      <c r="B269" t="s">
        <v>178</v>
      </c>
      <c r="C269" t="s">
        <v>1485</v>
      </c>
      <c r="D269" t="s">
        <v>1486</v>
      </c>
      <c r="E269" s="490">
        <v>44501</v>
      </c>
    </row>
    <row r="270" spans="1:5">
      <c r="A270">
        <v>211104</v>
      </c>
      <c r="B270" t="s">
        <v>178</v>
      </c>
      <c r="C270" t="s">
        <v>1487</v>
      </c>
      <c r="D270" t="s">
        <v>1488</v>
      </c>
      <c r="E270" s="490">
        <v>44501</v>
      </c>
    </row>
    <row r="271" spans="1:5">
      <c r="A271">
        <v>211105</v>
      </c>
      <c r="B271" t="s">
        <v>1130</v>
      </c>
      <c r="C271" t="s">
        <v>1223</v>
      </c>
      <c r="D271" t="s">
        <v>1489</v>
      </c>
      <c r="E271" s="490">
        <v>44501</v>
      </c>
    </row>
    <row r="272" spans="1:5">
      <c r="A272">
        <v>15</v>
      </c>
      <c r="B272" t="s">
        <v>428</v>
      </c>
      <c r="C272" t="s">
        <v>429</v>
      </c>
      <c r="D272" t="s">
        <v>430</v>
      </c>
      <c r="E272" s="490">
        <v>44501</v>
      </c>
    </row>
    <row r="273" spans="1:5">
      <c r="A273">
        <v>211106</v>
      </c>
      <c r="B273" t="s">
        <v>1490</v>
      </c>
      <c r="C273" t="s">
        <v>1491</v>
      </c>
      <c r="D273" t="s">
        <v>1492</v>
      </c>
      <c r="E273" s="490">
        <v>44502</v>
      </c>
    </row>
    <row r="274" spans="1:5">
      <c r="A274">
        <v>211107</v>
      </c>
      <c r="B274" t="s">
        <v>1106</v>
      </c>
      <c r="C274" t="s">
        <v>1493</v>
      </c>
      <c r="D274" t="s">
        <v>1494</v>
      </c>
      <c r="E274" s="490">
        <v>44508</v>
      </c>
    </row>
    <row r="275" spans="1:5">
      <c r="A275">
        <v>211108</v>
      </c>
      <c r="B275" t="s">
        <v>1495</v>
      </c>
      <c r="C275" t="s">
        <v>1496</v>
      </c>
      <c r="D275" t="s">
        <v>1497</v>
      </c>
      <c r="E275" s="490">
        <v>44517</v>
      </c>
    </row>
    <row r="276" spans="1:5">
      <c r="A276">
        <v>211109</v>
      </c>
      <c r="B276" t="s">
        <v>50</v>
      </c>
      <c r="C276" t="s">
        <v>1498</v>
      </c>
      <c r="D276" t="s">
        <v>1499</v>
      </c>
      <c r="E276" s="490">
        <v>44522</v>
      </c>
    </row>
    <row r="277" spans="1:5">
      <c r="A277">
        <v>211110</v>
      </c>
      <c r="B277" t="s">
        <v>1130</v>
      </c>
      <c r="C277" t="s">
        <v>166</v>
      </c>
      <c r="D277" t="s">
        <v>167</v>
      </c>
      <c r="E277" s="490">
        <v>44523</v>
      </c>
    </row>
    <row r="278" spans="1:5">
      <c r="A278">
        <v>211111</v>
      </c>
      <c r="B278" t="s">
        <v>1130</v>
      </c>
      <c r="C278" t="s">
        <v>1500</v>
      </c>
      <c r="D278" t="s">
        <v>1501</v>
      </c>
      <c r="E278" s="490">
        <v>44523</v>
      </c>
    </row>
    <row r="279" spans="1:5">
      <c r="A279">
        <v>211112</v>
      </c>
      <c r="B279" t="s">
        <v>239</v>
      </c>
      <c r="C279" t="s">
        <v>1502</v>
      </c>
      <c r="D279" t="s">
        <v>569</v>
      </c>
      <c r="E279" s="490">
        <v>44523</v>
      </c>
    </row>
    <row r="280" spans="1:5">
      <c r="A280">
        <v>211113</v>
      </c>
      <c r="B280" t="s">
        <v>239</v>
      </c>
      <c r="C280" t="s">
        <v>1503</v>
      </c>
      <c r="D280" t="s">
        <v>1504</v>
      </c>
      <c r="E280" s="490">
        <v>44523</v>
      </c>
    </row>
    <row r="281" spans="1:5">
      <c r="A281">
        <v>211114</v>
      </c>
      <c r="B281" t="s">
        <v>178</v>
      </c>
      <c r="C281" t="s">
        <v>1340</v>
      </c>
      <c r="D281" t="s">
        <v>1505</v>
      </c>
      <c r="E281" s="490">
        <v>44524</v>
      </c>
    </row>
    <row r="282" spans="1:5">
      <c r="A282">
        <v>211115</v>
      </c>
      <c r="B282" t="s">
        <v>178</v>
      </c>
      <c r="C282" t="s">
        <v>1506</v>
      </c>
      <c r="D282" t="s">
        <v>1507</v>
      </c>
      <c r="E282" s="490">
        <v>44529</v>
      </c>
    </row>
    <row r="283" spans="1:5">
      <c r="A283">
        <v>211201</v>
      </c>
      <c r="B283" t="s">
        <v>1183</v>
      </c>
      <c r="C283" t="s">
        <v>1508</v>
      </c>
      <c r="D283" t="s">
        <v>1509</v>
      </c>
      <c r="E283" s="490">
        <v>44531</v>
      </c>
    </row>
    <row r="284" spans="1:5">
      <c r="A284" t="s">
        <v>2741</v>
      </c>
      <c r="B284" t="s">
        <v>124</v>
      </c>
      <c r="C284" t="s">
        <v>2400</v>
      </c>
      <c r="D284" t="s">
        <v>2401</v>
      </c>
      <c r="E284" s="490">
        <v>44531</v>
      </c>
    </row>
    <row r="285" spans="1:5">
      <c r="A285">
        <v>211202</v>
      </c>
      <c r="B285" t="s">
        <v>50</v>
      </c>
      <c r="C285" t="s">
        <v>1448</v>
      </c>
      <c r="D285" t="s">
        <v>1069</v>
      </c>
      <c r="E285" s="490">
        <v>44532</v>
      </c>
    </row>
    <row r="286" spans="1:5">
      <c r="A286">
        <v>211203</v>
      </c>
      <c r="B286" t="s">
        <v>178</v>
      </c>
      <c r="C286" t="s">
        <v>1510</v>
      </c>
      <c r="D286" t="s">
        <v>1511</v>
      </c>
      <c r="E286" s="490">
        <v>44532</v>
      </c>
    </row>
    <row r="287" spans="1:5">
      <c r="A287">
        <v>211204</v>
      </c>
      <c r="B287" t="s">
        <v>1130</v>
      </c>
      <c r="C287" t="s">
        <v>1512</v>
      </c>
      <c r="D287" t="s">
        <v>1513</v>
      </c>
      <c r="E287" s="490">
        <v>44536</v>
      </c>
    </row>
    <row r="288" spans="1:5">
      <c r="A288">
        <v>211205</v>
      </c>
      <c r="B288" t="s">
        <v>211</v>
      </c>
      <c r="C288" t="s">
        <v>1514</v>
      </c>
      <c r="D288" t="s">
        <v>1515</v>
      </c>
      <c r="E288" s="490">
        <v>44537</v>
      </c>
    </row>
    <row r="289" spans="1:5">
      <c r="A289">
        <v>211206</v>
      </c>
      <c r="B289" t="s">
        <v>76</v>
      </c>
      <c r="C289" t="s">
        <v>1516</v>
      </c>
      <c r="D289" t="s">
        <v>1517</v>
      </c>
      <c r="E289" s="490">
        <v>44543</v>
      </c>
    </row>
    <row r="290" spans="1:5">
      <c r="A290">
        <v>211207</v>
      </c>
      <c r="B290" t="s">
        <v>1518</v>
      </c>
      <c r="C290" t="s">
        <v>1519</v>
      </c>
      <c r="D290" t="s">
        <v>1520</v>
      </c>
      <c r="E290" s="490">
        <v>44543</v>
      </c>
    </row>
    <row r="291" spans="1:5">
      <c r="A291">
        <v>211208</v>
      </c>
      <c r="B291" t="s">
        <v>239</v>
      </c>
      <c r="C291" t="s">
        <v>1521</v>
      </c>
      <c r="D291" t="s">
        <v>1522</v>
      </c>
      <c r="E291" s="490">
        <v>44543</v>
      </c>
    </row>
    <row r="292" spans="1:5">
      <c r="A292">
        <v>211209</v>
      </c>
      <c r="B292" t="s">
        <v>239</v>
      </c>
      <c r="C292" t="s">
        <v>1523</v>
      </c>
      <c r="D292" t="s">
        <v>1524</v>
      </c>
      <c r="E292" s="490">
        <v>44543</v>
      </c>
    </row>
    <row r="293" spans="1:5">
      <c r="A293">
        <v>211210</v>
      </c>
      <c r="B293" t="s">
        <v>1130</v>
      </c>
      <c r="C293" t="s">
        <v>1525</v>
      </c>
      <c r="D293" t="s">
        <v>1526</v>
      </c>
      <c r="E293" s="490">
        <v>44546</v>
      </c>
    </row>
    <row r="294" spans="1:5">
      <c r="A294" t="s">
        <v>2742</v>
      </c>
      <c r="B294" t="s">
        <v>124</v>
      </c>
      <c r="C294" t="s">
        <v>2402</v>
      </c>
      <c r="D294" t="s">
        <v>2403</v>
      </c>
      <c r="E294" s="490">
        <v>44546</v>
      </c>
    </row>
    <row r="295" spans="1:5">
      <c r="A295">
        <v>211211</v>
      </c>
      <c r="B295" t="s">
        <v>1116</v>
      </c>
      <c r="C295" t="s">
        <v>1527</v>
      </c>
      <c r="D295" t="s">
        <v>1528</v>
      </c>
      <c r="E295" s="490">
        <v>44550</v>
      </c>
    </row>
    <row r="296" spans="1:5">
      <c r="A296">
        <v>211212</v>
      </c>
      <c r="B296" t="s">
        <v>1116</v>
      </c>
      <c r="C296" t="s">
        <v>1529</v>
      </c>
      <c r="D296" t="s">
        <v>1530</v>
      </c>
      <c r="E296" s="490">
        <v>44550</v>
      </c>
    </row>
    <row r="297" spans="1:5">
      <c r="A297">
        <v>211213</v>
      </c>
      <c r="B297" t="s">
        <v>239</v>
      </c>
      <c r="C297" t="s">
        <v>1531</v>
      </c>
      <c r="D297" t="s">
        <v>1532</v>
      </c>
      <c r="E297" s="490">
        <v>44550</v>
      </c>
    </row>
    <row r="298" spans="1:5">
      <c r="A298">
        <v>211214</v>
      </c>
      <c r="B298" t="s">
        <v>1518</v>
      </c>
      <c r="C298" t="s">
        <v>1533</v>
      </c>
      <c r="D298" t="s">
        <v>1534</v>
      </c>
      <c r="E298" s="490">
        <v>44550</v>
      </c>
    </row>
    <row r="299" spans="1:5">
      <c r="A299">
        <v>211215</v>
      </c>
      <c r="B299" t="s">
        <v>178</v>
      </c>
      <c r="C299" t="s">
        <v>1535</v>
      </c>
      <c r="D299" t="s">
        <v>1536</v>
      </c>
      <c r="E299" s="490">
        <v>44551</v>
      </c>
    </row>
    <row r="300" spans="1:5">
      <c r="A300" t="s">
        <v>2743</v>
      </c>
      <c r="B300" t="s">
        <v>124</v>
      </c>
      <c r="C300" t="s">
        <v>1668</v>
      </c>
      <c r="D300" t="s">
        <v>1669</v>
      </c>
      <c r="E300" s="490">
        <v>44551</v>
      </c>
    </row>
    <row r="301" spans="1:5">
      <c r="A301">
        <v>210204</v>
      </c>
      <c r="B301" t="s">
        <v>1130</v>
      </c>
      <c r="C301" t="s">
        <v>1181</v>
      </c>
      <c r="D301" t="s">
        <v>1182</v>
      </c>
      <c r="E301" s="490">
        <v>44554</v>
      </c>
    </row>
    <row r="302" spans="1:5">
      <c r="A302">
        <v>211216</v>
      </c>
      <c r="B302" t="s">
        <v>1518</v>
      </c>
      <c r="C302" t="s">
        <v>1537</v>
      </c>
      <c r="D302" t="s">
        <v>1538</v>
      </c>
      <c r="E302" s="490">
        <v>44557</v>
      </c>
    </row>
    <row r="303" spans="1:5">
      <c r="A303">
        <v>211217</v>
      </c>
      <c r="B303" t="s">
        <v>178</v>
      </c>
      <c r="C303" t="s">
        <v>1539</v>
      </c>
      <c r="D303" t="s">
        <v>1540</v>
      </c>
      <c r="E303" s="490">
        <v>44557</v>
      </c>
    </row>
    <row r="304" spans="1:5">
      <c r="A304">
        <v>211218</v>
      </c>
      <c r="B304" t="s">
        <v>178</v>
      </c>
      <c r="C304" t="s">
        <v>1541</v>
      </c>
      <c r="D304" t="s">
        <v>1542</v>
      </c>
      <c r="E304" s="490">
        <v>44558</v>
      </c>
    </row>
    <row r="305" spans="1:5">
      <c r="A305">
        <v>220101</v>
      </c>
      <c r="B305" t="s">
        <v>211</v>
      </c>
      <c r="C305" t="s">
        <v>1543</v>
      </c>
      <c r="D305" t="s">
        <v>1544</v>
      </c>
      <c r="E305" s="490">
        <v>44566</v>
      </c>
    </row>
    <row r="306" spans="1:5">
      <c r="A306">
        <v>220102</v>
      </c>
      <c r="B306" t="s">
        <v>211</v>
      </c>
      <c r="C306" t="s">
        <v>1545</v>
      </c>
      <c r="D306" t="s">
        <v>1546</v>
      </c>
      <c r="E306" s="490">
        <v>44566</v>
      </c>
    </row>
    <row r="307" spans="1:5">
      <c r="A307">
        <v>220103</v>
      </c>
      <c r="B307" t="s">
        <v>50</v>
      </c>
      <c r="C307" t="s">
        <v>1547</v>
      </c>
      <c r="D307" t="s">
        <v>1548</v>
      </c>
      <c r="E307" s="490">
        <v>44566</v>
      </c>
    </row>
    <row r="308" spans="1:5">
      <c r="A308">
        <v>220104</v>
      </c>
      <c r="B308" t="s">
        <v>178</v>
      </c>
      <c r="C308" t="s">
        <v>1549</v>
      </c>
      <c r="D308" t="s">
        <v>1550</v>
      </c>
      <c r="E308" s="490">
        <v>44567</v>
      </c>
    </row>
    <row r="309" spans="1:5">
      <c r="A309">
        <v>220105</v>
      </c>
      <c r="B309" t="s">
        <v>1103</v>
      </c>
      <c r="C309" t="s">
        <v>1551</v>
      </c>
      <c r="D309" t="s">
        <v>1552</v>
      </c>
      <c r="E309" s="490">
        <v>44567</v>
      </c>
    </row>
    <row r="310" spans="1:5">
      <c r="A310">
        <v>220106</v>
      </c>
      <c r="B310" t="s">
        <v>1192</v>
      </c>
      <c r="C310" t="s">
        <v>1553</v>
      </c>
      <c r="D310" t="s">
        <v>1554</v>
      </c>
      <c r="E310" s="490">
        <v>44567</v>
      </c>
    </row>
    <row r="311" spans="1:5">
      <c r="A311">
        <v>220107</v>
      </c>
      <c r="B311" t="s">
        <v>239</v>
      </c>
      <c r="C311" t="s">
        <v>1555</v>
      </c>
      <c r="D311" t="s">
        <v>1556</v>
      </c>
      <c r="E311" s="490">
        <v>44567</v>
      </c>
    </row>
    <row r="312" spans="1:5">
      <c r="A312">
        <v>220109</v>
      </c>
      <c r="B312" t="s">
        <v>1079</v>
      </c>
      <c r="C312" t="s">
        <v>1557</v>
      </c>
      <c r="D312" t="s">
        <v>1558</v>
      </c>
      <c r="E312" s="490">
        <v>44569</v>
      </c>
    </row>
    <row r="313" spans="1:5">
      <c r="A313">
        <v>220108</v>
      </c>
      <c r="B313" t="s">
        <v>1116</v>
      </c>
      <c r="C313" t="s">
        <v>1559</v>
      </c>
      <c r="D313" t="s">
        <v>1560</v>
      </c>
      <c r="E313" s="490">
        <v>44571</v>
      </c>
    </row>
    <row r="314" spans="1:5">
      <c r="A314">
        <v>200801</v>
      </c>
      <c r="B314" t="s">
        <v>1197</v>
      </c>
      <c r="C314" t="s">
        <v>1082</v>
      </c>
      <c r="D314" t="s">
        <v>1083</v>
      </c>
      <c r="E314" s="490">
        <v>44573</v>
      </c>
    </row>
    <row r="315" spans="1:5">
      <c r="A315">
        <v>220110</v>
      </c>
      <c r="B315" t="s">
        <v>178</v>
      </c>
      <c r="C315" t="s">
        <v>1561</v>
      </c>
      <c r="D315" t="s">
        <v>1562</v>
      </c>
      <c r="E315" s="490">
        <v>44573</v>
      </c>
    </row>
    <row r="316" spans="1:5">
      <c r="A316">
        <v>220111</v>
      </c>
      <c r="B316" t="s">
        <v>178</v>
      </c>
      <c r="C316" t="s">
        <v>1563</v>
      </c>
      <c r="D316" t="s">
        <v>1564</v>
      </c>
      <c r="E316" s="490">
        <v>44573</v>
      </c>
    </row>
    <row r="317" spans="1:5">
      <c r="A317">
        <v>220112</v>
      </c>
      <c r="B317" t="s">
        <v>178</v>
      </c>
      <c r="C317" t="s">
        <v>1565</v>
      </c>
      <c r="D317" t="s">
        <v>1566</v>
      </c>
      <c r="E317" s="490">
        <v>44573</v>
      </c>
    </row>
    <row r="318" spans="1:5">
      <c r="A318" t="s">
        <v>2744</v>
      </c>
      <c r="B318" t="s">
        <v>124</v>
      </c>
      <c r="C318" t="s">
        <v>26</v>
      </c>
      <c r="D318" t="s">
        <v>27</v>
      </c>
      <c r="E318" s="490">
        <v>44573</v>
      </c>
    </row>
    <row r="319" spans="1:5">
      <c r="A319">
        <v>220113</v>
      </c>
      <c r="B319" t="s">
        <v>1130</v>
      </c>
      <c r="C319" t="s">
        <v>1567</v>
      </c>
      <c r="D319" t="s">
        <v>1568</v>
      </c>
      <c r="E319" s="490">
        <v>44575</v>
      </c>
    </row>
    <row r="320" spans="1:5">
      <c r="A320">
        <v>220114</v>
      </c>
      <c r="B320" t="s">
        <v>239</v>
      </c>
      <c r="C320" t="s">
        <v>1569</v>
      </c>
      <c r="D320" t="s">
        <v>1570</v>
      </c>
      <c r="E320" s="490">
        <v>44578</v>
      </c>
    </row>
    <row r="321" spans="1:5">
      <c r="A321">
        <v>220115</v>
      </c>
      <c r="B321" t="s">
        <v>239</v>
      </c>
      <c r="C321" t="s">
        <v>1571</v>
      </c>
      <c r="D321" t="s">
        <v>1572</v>
      </c>
      <c r="E321" s="490">
        <v>44578</v>
      </c>
    </row>
    <row r="322" spans="1:5">
      <c r="A322">
        <v>220117</v>
      </c>
      <c r="B322" t="s">
        <v>239</v>
      </c>
      <c r="C322" t="s">
        <v>1573</v>
      </c>
      <c r="D322" t="s">
        <v>1574</v>
      </c>
      <c r="E322" s="490">
        <v>44578</v>
      </c>
    </row>
    <row r="323" spans="1:5">
      <c r="A323">
        <v>220118</v>
      </c>
      <c r="B323" t="s">
        <v>1079</v>
      </c>
      <c r="C323" t="s">
        <v>1575</v>
      </c>
      <c r="D323" t="s">
        <v>1576</v>
      </c>
      <c r="E323" s="490">
        <v>44578</v>
      </c>
    </row>
    <row r="324" spans="1:5">
      <c r="A324">
        <v>220119</v>
      </c>
      <c r="B324" t="s">
        <v>264</v>
      </c>
      <c r="C324" t="s">
        <v>1577</v>
      </c>
      <c r="D324" t="s">
        <v>1578</v>
      </c>
      <c r="E324" s="490">
        <v>44578</v>
      </c>
    </row>
    <row r="325" spans="1:5">
      <c r="A325">
        <v>220120</v>
      </c>
      <c r="B325" t="s">
        <v>264</v>
      </c>
      <c r="C325" t="s">
        <v>1579</v>
      </c>
      <c r="D325" t="s">
        <v>1580</v>
      </c>
      <c r="E325" s="490">
        <v>44578</v>
      </c>
    </row>
    <row r="326" spans="1:5">
      <c r="A326">
        <v>220116</v>
      </c>
      <c r="B326" t="s">
        <v>1106</v>
      </c>
      <c r="C326" t="s">
        <v>1581</v>
      </c>
      <c r="D326" t="s">
        <v>1582</v>
      </c>
      <c r="E326" s="490">
        <v>44578</v>
      </c>
    </row>
    <row r="327" spans="1:5">
      <c r="A327">
        <v>220122</v>
      </c>
      <c r="B327" t="s">
        <v>211</v>
      </c>
      <c r="C327" t="s">
        <v>1583</v>
      </c>
      <c r="D327" t="s">
        <v>1584</v>
      </c>
      <c r="E327" s="490">
        <v>44579</v>
      </c>
    </row>
    <row r="328" spans="1:5">
      <c r="A328">
        <v>220123</v>
      </c>
      <c r="B328" t="s">
        <v>178</v>
      </c>
      <c r="C328" t="s">
        <v>1585</v>
      </c>
      <c r="D328" t="s">
        <v>1586</v>
      </c>
      <c r="E328" s="490">
        <v>44579</v>
      </c>
    </row>
    <row r="329" spans="1:5">
      <c r="A329">
        <v>220121</v>
      </c>
      <c r="B329" t="s">
        <v>1103</v>
      </c>
      <c r="C329" t="s">
        <v>103</v>
      </c>
      <c r="D329" t="s">
        <v>104</v>
      </c>
      <c r="E329" s="490">
        <v>44579</v>
      </c>
    </row>
    <row r="330" spans="1:5">
      <c r="A330">
        <v>220124</v>
      </c>
      <c r="B330" t="s">
        <v>50</v>
      </c>
      <c r="C330" t="s">
        <v>1587</v>
      </c>
      <c r="D330" t="s">
        <v>1588</v>
      </c>
      <c r="E330" s="490">
        <v>44581</v>
      </c>
    </row>
    <row r="331" spans="1:5">
      <c r="A331">
        <v>210105</v>
      </c>
      <c r="B331" t="s">
        <v>1103</v>
      </c>
      <c r="C331" t="s">
        <v>1143</v>
      </c>
      <c r="D331" t="s">
        <v>1144</v>
      </c>
      <c r="E331" s="490">
        <v>44585</v>
      </c>
    </row>
    <row r="332" spans="1:5">
      <c r="A332">
        <v>220125</v>
      </c>
      <c r="B332" t="s">
        <v>1116</v>
      </c>
      <c r="C332" t="s">
        <v>1055</v>
      </c>
      <c r="D332" t="s">
        <v>1056</v>
      </c>
      <c r="E332" s="490">
        <v>44585</v>
      </c>
    </row>
    <row r="333" spans="1:5">
      <c r="A333">
        <v>220126</v>
      </c>
      <c r="B333" t="s">
        <v>264</v>
      </c>
      <c r="C333" t="s">
        <v>1589</v>
      </c>
      <c r="D333" t="s">
        <v>1590</v>
      </c>
      <c r="E333" s="490">
        <v>44585</v>
      </c>
    </row>
    <row r="334" spans="1:5">
      <c r="A334">
        <v>220127</v>
      </c>
      <c r="B334" t="s">
        <v>264</v>
      </c>
      <c r="C334" t="s">
        <v>1591</v>
      </c>
      <c r="D334" t="s">
        <v>1592</v>
      </c>
      <c r="E334" s="490">
        <v>44585</v>
      </c>
    </row>
    <row r="335" spans="1:5">
      <c r="A335">
        <v>220128</v>
      </c>
      <c r="B335" t="s">
        <v>1593</v>
      </c>
      <c r="C335" t="s">
        <v>1594</v>
      </c>
      <c r="D335" t="s">
        <v>1595</v>
      </c>
      <c r="E335" s="490">
        <v>44585</v>
      </c>
    </row>
    <row r="336" spans="1:5">
      <c r="A336">
        <v>220129</v>
      </c>
      <c r="B336" t="s">
        <v>1197</v>
      </c>
      <c r="C336" t="s">
        <v>1596</v>
      </c>
      <c r="D336" t="s">
        <v>1597</v>
      </c>
      <c r="E336" s="490">
        <v>44585</v>
      </c>
    </row>
    <row r="337" spans="1:5">
      <c r="A337">
        <v>220130</v>
      </c>
      <c r="B337" t="s">
        <v>264</v>
      </c>
      <c r="C337" t="s">
        <v>30</v>
      </c>
      <c r="D337" t="s">
        <v>31</v>
      </c>
      <c r="E337" s="490">
        <v>44586</v>
      </c>
    </row>
    <row r="338" spans="1:5">
      <c r="A338" t="s">
        <v>2745</v>
      </c>
      <c r="B338" t="s">
        <v>124</v>
      </c>
      <c r="C338" t="s">
        <v>28</v>
      </c>
      <c r="D338" t="s">
        <v>29</v>
      </c>
      <c r="E338" s="490">
        <v>44586</v>
      </c>
    </row>
    <row r="339" spans="1:5">
      <c r="A339">
        <v>220131</v>
      </c>
      <c r="B339" t="s">
        <v>211</v>
      </c>
      <c r="C339" t="s">
        <v>1598</v>
      </c>
      <c r="D339" t="s">
        <v>1599</v>
      </c>
      <c r="E339" s="490">
        <v>44588</v>
      </c>
    </row>
    <row r="340" spans="1:5">
      <c r="A340">
        <v>220132</v>
      </c>
      <c r="B340" t="s">
        <v>1103</v>
      </c>
      <c r="C340" t="s">
        <v>1600</v>
      </c>
      <c r="D340" t="s">
        <v>1601</v>
      </c>
      <c r="E340" s="490">
        <v>44592</v>
      </c>
    </row>
    <row r="341" spans="1:5">
      <c r="A341" t="s">
        <v>2746</v>
      </c>
      <c r="B341" t="s">
        <v>2368</v>
      </c>
      <c r="C341" t="s">
        <v>2404</v>
      </c>
      <c r="D341" t="s">
        <v>2405</v>
      </c>
      <c r="E341" s="490">
        <v>44593</v>
      </c>
    </row>
    <row r="342" spans="1:5">
      <c r="A342">
        <v>220201</v>
      </c>
      <c r="B342" t="s">
        <v>178</v>
      </c>
      <c r="C342" t="s">
        <v>1602</v>
      </c>
      <c r="D342" t="s">
        <v>1603</v>
      </c>
      <c r="E342" s="490">
        <v>44594</v>
      </c>
    </row>
    <row r="343" spans="1:5">
      <c r="A343">
        <v>220202</v>
      </c>
      <c r="B343" t="s">
        <v>178</v>
      </c>
      <c r="C343" t="s">
        <v>1604</v>
      </c>
      <c r="D343" t="s">
        <v>1605</v>
      </c>
      <c r="E343" s="490">
        <v>44594</v>
      </c>
    </row>
    <row r="344" spans="1:5">
      <c r="A344">
        <v>220203</v>
      </c>
      <c r="B344" t="s">
        <v>178</v>
      </c>
      <c r="C344" t="s">
        <v>1606</v>
      </c>
      <c r="D344" t="s">
        <v>1607</v>
      </c>
      <c r="E344" s="490">
        <v>44594</v>
      </c>
    </row>
    <row r="345" spans="1:5">
      <c r="A345">
        <v>220204</v>
      </c>
      <c r="B345" t="s">
        <v>1103</v>
      </c>
      <c r="C345" t="s">
        <v>1608</v>
      </c>
      <c r="D345" t="s">
        <v>1609</v>
      </c>
      <c r="E345" s="490">
        <v>44599</v>
      </c>
    </row>
    <row r="346" spans="1:5">
      <c r="A346">
        <v>220205</v>
      </c>
      <c r="B346" t="s">
        <v>1103</v>
      </c>
      <c r="C346" t="s">
        <v>1610</v>
      </c>
      <c r="D346" t="s">
        <v>1611</v>
      </c>
      <c r="E346" s="490">
        <v>44599</v>
      </c>
    </row>
    <row r="347" spans="1:5">
      <c r="A347">
        <v>220206</v>
      </c>
      <c r="B347" t="s">
        <v>178</v>
      </c>
      <c r="C347" t="s">
        <v>1612</v>
      </c>
      <c r="D347" t="s">
        <v>1613</v>
      </c>
      <c r="E347" s="490">
        <v>44599</v>
      </c>
    </row>
    <row r="348" spans="1:5">
      <c r="A348">
        <v>220207</v>
      </c>
      <c r="B348" t="s">
        <v>1183</v>
      </c>
      <c r="C348" t="s">
        <v>1614</v>
      </c>
      <c r="D348" t="s">
        <v>1615</v>
      </c>
      <c r="E348" s="490">
        <v>44599</v>
      </c>
    </row>
    <row r="349" spans="1:5">
      <c r="A349">
        <v>220208</v>
      </c>
      <c r="B349" t="s">
        <v>1103</v>
      </c>
      <c r="C349" t="s">
        <v>1616</v>
      </c>
      <c r="D349" t="s">
        <v>1617</v>
      </c>
      <c r="E349" s="490">
        <v>44599</v>
      </c>
    </row>
    <row r="350" spans="1:5">
      <c r="A350">
        <v>220209</v>
      </c>
      <c r="B350" t="s">
        <v>1103</v>
      </c>
      <c r="C350" t="s">
        <v>33</v>
      </c>
      <c r="D350" t="s">
        <v>34</v>
      </c>
      <c r="E350" s="490">
        <v>44599</v>
      </c>
    </row>
    <row r="351" spans="1:5">
      <c r="A351">
        <v>220210</v>
      </c>
      <c r="B351" t="s">
        <v>1130</v>
      </c>
      <c r="C351" t="s">
        <v>118</v>
      </c>
      <c r="D351" t="s">
        <v>119</v>
      </c>
      <c r="E351" s="490">
        <v>44600</v>
      </c>
    </row>
    <row r="352" spans="1:5">
      <c r="A352">
        <v>220211</v>
      </c>
      <c r="B352" t="s">
        <v>1593</v>
      </c>
      <c r="C352" t="s">
        <v>1549</v>
      </c>
      <c r="D352" t="s">
        <v>1550</v>
      </c>
      <c r="E352" s="490">
        <v>44601</v>
      </c>
    </row>
    <row r="353" spans="1:5">
      <c r="A353">
        <v>220212</v>
      </c>
      <c r="B353" t="s">
        <v>1103</v>
      </c>
      <c r="C353" t="s">
        <v>1618</v>
      </c>
      <c r="D353" t="s">
        <v>1619</v>
      </c>
      <c r="E353" s="490">
        <v>44602</v>
      </c>
    </row>
    <row r="354" spans="1:5">
      <c r="A354">
        <v>220213</v>
      </c>
      <c r="B354" t="s">
        <v>1103</v>
      </c>
      <c r="C354" t="s">
        <v>1620</v>
      </c>
      <c r="D354" t="s">
        <v>1621</v>
      </c>
      <c r="E354" s="490">
        <v>44606</v>
      </c>
    </row>
    <row r="355" spans="1:5">
      <c r="A355">
        <v>220214</v>
      </c>
      <c r="B355" t="s">
        <v>1255</v>
      </c>
      <c r="C355" t="s">
        <v>1622</v>
      </c>
      <c r="D355" t="s">
        <v>1623</v>
      </c>
      <c r="E355" s="490">
        <v>44606</v>
      </c>
    </row>
    <row r="356" spans="1:5">
      <c r="A356" t="s">
        <v>2747</v>
      </c>
      <c r="B356" t="s">
        <v>124</v>
      </c>
      <c r="C356" t="s">
        <v>1736</v>
      </c>
      <c r="D356" t="s">
        <v>2406</v>
      </c>
      <c r="E356" s="490">
        <v>44607</v>
      </c>
    </row>
    <row r="357" spans="1:5">
      <c r="A357" t="s">
        <v>2748</v>
      </c>
      <c r="B357" t="s">
        <v>124</v>
      </c>
      <c r="C357" t="s">
        <v>122</v>
      </c>
      <c r="D357" t="s">
        <v>123</v>
      </c>
      <c r="E357" s="490">
        <v>44607</v>
      </c>
    </row>
    <row r="358" spans="1:5">
      <c r="A358">
        <v>220215</v>
      </c>
      <c r="B358" t="s">
        <v>211</v>
      </c>
      <c r="C358" t="s">
        <v>1624</v>
      </c>
      <c r="D358" t="s">
        <v>1625</v>
      </c>
      <c r="E358" s="490">
        <v>44608</v>
      </c>
    </row>
    <row r="359" spans="1:5">
      <c r="A359">
        <v>220216</v>
      </c>
      <c r="B359" t="s">
        <v>1106</v>
      </c>
      <c r="C359" t="s">
        <v>1626</v>
      </c>
      <c r="D359" t="s">
        <v>1627</v>
      </c>
      <c r="E359" s="490">
        <v>44613</v>
      </c>
    </row>
    <row r="360" spans="1:5">
      <c r="A360">
        <v>220217</v>
      </c>
      <c r="B360" t="s">
        <v>1197</v>
      </c>
      <c r="C360" t="s">
        <v>1628</v>
      </c>
      <c r="D360" t="s">
        <v>1629</v>
      </c>
      <c r="E360" s="490">
        <v>44613</v>
      </c>
    </row>
    <row r="361" spans="1:5">
      <c r="A361">
        <v>220218</v>
      </c>
      <c r="B361" t="s">
        <v>1106</v>
      </c>
      <c r="C361" t="s">
        <v>1630</v>
      </c>
      <c r="D361" t="s">
        <v>1631</v>
      </c>
      <c r="E361" s="490">
        <v>44613</v>
      </c>
    </row>
    <row r="362" spans="1:5">
      <c r="A362">
        <v>220219</v>
      </c>
      <c r="B362" t="s">
        <v>264</v>
      </c>
      <c r="C362" t="s">
        <v>1632</v>
      </c>
      <c r="D362" t="s">
        <v>2595</v>
      </c>
      <c r="E362" s="490">
        <v>44613</v>
      </c>
    </row>
    <row r="363" spans="1:5">
      <c r="A363">
        <v>220220</v>
      </c>
      <c r="B363" t="s">
        <v>211</v>
      </c>
      <c r="C363" t="s">
        <v>1633</v>
      </c>
      <c r="D363" t="s">
        <v>1634</v>
      </c>
      <c r="E363" s="490">
        <v>44614</v>
      </c>
    </row>
    <row r="364" spans="1:5">
      <c r="A364" t="s">
        <v>2749</v>
      </c>
      <c r="B364" t="s">
        <v>124</v>
      </c>
      <c r="C364" t="s">
        <v>2407</v>
      </c>
      <c r="D364" t="s">
        <v>2408</v>
      </c>
      <c r="E364" s="490">
        <v>44617</v>
      </c>
    </row>
    <row r="365" spans="1:5">
      <c r="A365">
        <v>220221</v>
      </c>
      <c r="B365" t="s">
        <v>178</v>
      </c>
      <c r="C365" t="s">
        <v>1635</v>
      </c>
      <c r="D365" t="s">
        <v>1636</v>
      </c>
      <c r="E365" s="490">
        <v>44620</v>
      </c>
    </row>
    <row r="366" spans="1:5">
      <c r="A366">
        <v>220301</v>
      </c>
      <c r="B366" t="s">
        <v>1130</v>
      </c>
      <c r="C366" t="s">
        <v>1637</v>
      </c>
      <c r="D366" t="s">
        <v>1638</v>
      </c>
      <c r="E366" s="490">
        <v>44621</v>
      </c>
    </row>
    <row r="367" spans="1:5">
      <c r="A367">
        <v>220303</v>
      </c>
      <c r="B367" t="s">
        <v>239</v>
      </c>
      <c r="C367" t="s">
        <v>392</v>
      </c>
      <c r="D367" t="s">
        <v>393</v>
      </c>
      <c r="E367" s="490">
        <v>44621</v>
      </c>
    </row>
    <row r="368" spans="1:5">
      <c r="A368">
        <v>220304</v>
      </c>
      <c r="B368" t="s">
        <v>1192</v>
      </c>
      <c r="C368" t="s">
        <v>1641</v>
      </c>
      <c r="D368" t="s">
        <v>1642</v>
      </c>
      <c r="E368" s="490">
        <v>44621</v>
      </c>
    </row>
    <row r="369" spans="1:5">
      <c r="A369">
        <v>220302</v>
      </c>
      <c r="B369" t="s">
        <v>1116</v>
      </c>
      <c r="C369" t="s">
        <v>1639</v>
      </c>
      <c r="D369" t="s">
        <v>1640</v>
      </c>
      <c r="E369" s="490">
        <v>44621</v>
      </c>
    </row>
    <row r="370" spans="1:5">
      <c r="A370">
        <v>220305</v>
      </c>
      <c r="B370" t="s">
        <v>178</v>
      </c>
      <c r="C370" t="s">
        <v>1643</v>
      </c>
      <c r="D370" t="s">
        <v>1644</v>
      </c>
      <c r="E370" s="490">
        <v>44622</v>
      </c>
    </row>
    <row r="371" spans="1:5">
      <c r="A371">
        <v>220306</v>
      </c>
      <c r="B371" t="s">
        <v>178</v>
      </c>
      <c r="C371" t="s">
        <v>1645</v>
      </c>
      <c r="D371" t="s">
        <v>1646</v>
      </c>
      <c r="E371" s="490">
        <v>44622</v>
      </c>
    </row>
    <row r="372" spans="1:5">
      <c r="A372" t="s">
        <v>2750</v>
      </c>
      <c r="B372" t="s">
        <v>124</v>
      </c>
      <c r="C372" t="s">
        <v>1768</v>
      </c>
      <c r="D372" t="s">
        <v>1769</v>
      </c>
      <c r="E372" s="490">
        <v>44622</v>
      </c>
    </row>
    <row r="373" spans="1:5">
      <c r="A373" t="s">
        <v>2751</v>
      </c>
      <c r="B373" t="s">
        <v>124</v>
      </c>
      <c r="C373" t="s">
        <v>1687</v>
      </c>
      <c r="D373" t="s">
        <v>1688</v>
      </c>
      <c r="E373" s="490">
        <v>44622</v>
      </c>
    </row>
    <row r="374" spans="1:5">
      <c r="A374">
        <v>220308</v>
      </c>
      <c r="B374" t="s">
        <v>1192</v>
      </c>
      <c r="C374" t="s">
        <v>39</v>
      </c>
      <c r="D374" t="s">
        <v>40</v>
      </c>
      <c r="E374" s="490">
        <v>44623</v>
      </c>
    </row>
    <row r="375" spans="1:5">
      <c r="A375">
        <v>220309</v>
      </c>
      <c r="B375" t="s">
        <v>1593</v>
      </c>
      <c r="C375" t="s">
        <v>37</v>
      </c>
      <c r="D375" t="s">
        <v>38</v>
      </c>
      <c r="E375" s="490">
        <v>44627</v>
      </c>
    </row>
    <row r="376" spans="1:5">
      <c r="A376">
        <v>220310</v>
      </c>
      <c r="B376" t="s">
        <v>76</v>
      </c>
      <c r="C376" t="s">
        <v>1344</v>
      </c>
      <c r="D376" t="s">
        <v>1647</v>
      </c>
      <c r="E376" s="490">
        <v>44628</v>
      </c>
    </row>
    <row r="377" spans="1:5">
      <c r="A377">
        <v>220311</v>
      </c>
      <c r="B377" t="s">
        <v>1130</v>
      </c>
      <c r="C377" t="s">
        <v>1648</v>
      </c>
      <c r="D377" t="s">
        <v>1649</v>
      </c>
      <c r="E377" s="490">
        <v>44628</v>
      </c>
    </row>
    <row r="378" spans="1:5">
      <c r="A378">
        <v>220312</v>
      </c>
      <c r="B378" t="s">
        <v>1130</v>
      </c>
      <c r="C378" t="s">
        <v>1650</v>
      </c>
      <c r="D378" t="s">
        <v>1651</v>
      </c>
      <c r="E378" s="490">
        <v>44628</v>
      </c>
    </row>
    <row r="379" spans="1:5">
      <c r="A379">
        <v>220313</v>
      </c>
      <c r="B379" t="s">
        <v>1130</v>
      </c>
      <c r="C379" t="s">
        <v>1652</v>
      </c>
      <c r="D379" t="s">
        <v>1653</v>
      </c>
      <c r="E379" s="490">
        <v>44628</v>
      </c>
    </row>
    <row r="380" spans="1:5">
      <c r="A380">
        <v>220315</v>
      </c>
      <c r="B380" t="s">
        <v>1192</v>
      </c>
      <c r="C380" t="s">
        <v>1654</v>
      </c>
      <c r="D380" t="s">
        <v>1655</v>
      </c>
      <c r="E380" s="490">
        <v>44634</v>
      </c>
    </row>
    <row r="381" spans="1:5">
      <c r="A381">
        <v>220317</v>
      </c>
      <c r="B381" t="s">
        <v>178</v>
      </c>
      <c r="C381" t="s">
        <v>35</v>
      </c>
      <c r="D381" t="s">
        <v>959</v>
      </c>
      <c r="E381" s="490">
        <v>44637</v>
      </c>
    </row>
    <row r="382" spans="1:5">
      <c r="A382">
        <v>220316</v>
      </c>
      <c r="B382" t="s">
        <v>211</v>
      </c>
      <c r="C382" t="s">
        <v>1656</v>
      </c>
      <c r="D382" t="s">
        <v>1657</v>
      </c>
      <c r="E382" s="490">
        <v>44637</v>
      </c>
    </row>
    <row r="383" spans="1:5">
      <c r="A383">
        <v>220318</v>
      </c>
      <c r="B383" t="s">
        <v>178</v>
      </c>
      <c r="C383" t="s">
        <v>1658</v>
      </c>
      <c r="D383" t="s">
        <v>1659</v>
      </c>
      <c r="E383" s="490">
        <v>44637</v>
      </c>
    </row>
    <row r="384" spans="1:5">
      <c r="A384">
        <v>220319</v>
      </c>
      <c r="B384" t="s">
        <v>211</v>
      </c>
      <c r="C384" t="s">
        <v>1660</v>
      </c>
      <c r="D384" t="s">
        <v>1661</v>
      </c>
      <c r="E384" s="490">
        <v>44637</v>
      </c>
    </row>
    <row r="385" spans="1:5">
      <c r="A385">
        <v>220320</v>
      </c>
      <c r="B385" t="s">
        <v>1116</v>
      </c>
      <c r="C385" t="s">
        <v>1051</v>
      </c>
      <c r="D385" t="s">
        <v>1052</v>
      </c>
      <c r="E385" s="490">
        <v>44638</v>
      </c>
    </row>
    <row r="386" spans="1:5">
      <c r="A386">
        <v>220321</v>
      </c>
      <c r="B386" t="s">
        <v>206</v>
      </c>
      <c r="C386" t="s">
        <v>207</v>
      </c>
      <c r="D386" t="s">
        <v>208</v>
      </c>
      <c r="E386" s="490">
        <v>44641</v>
      </c>
    </row>
    <row r="387" spans="1:5">
      <c r="A387">
        <v>220322</v>
      </c>
      <c r="B387" t="s">
        <v>1183</v>
      </c>
      <c r="C387" t="s">
        <v>1662</v>
      </c>
      <c r="D387" t="s">
        <v>1663</v>
      </c>
      <c r="E387" s="490">
        <v>44643</v>
      </c>
    </row>
    <row r="388" spans="1:5">
      <c r="A388">
        <v>220323</v>
      </c>
      <c r="B388" t="s">
        <v>211</v>
      </c>
      <c r="C388" t="s">
        <v>1664</v>
      </c>
      <c r="D388" t="s">
        <v>1665</v>
      </c>
      <c r="E388" s="490">
        <v>44645</v>
      </c>
    </row>
    <row r="389" spans="1:5">
      <c r="A389">
        <v>220324</v>
      </c>
      <c r="B389" t="s">
        <v>1130</v>
      </c>
      <c r="C389" t="s">
        <v>1666</v>
      </c>
      <c r="D389" t="s">
        <v>1667</v>
      </c>
      <c r="E389" s="490">
        <v>44649</v>
      </c>
    </row>
    <row r="390" spans="1:5">
      <c r="A390">
        <v>220325</v>
      </c>
      <c r="B390" t="s">
        <v>178</v>
      </c>
      <c r="C390" t="s">
        <v>1668</v>
      </c>
      <c r="D390" t="s">
        <v>1669</v>
      </c>
      <c r="E390" s="490">
        <v>44649</v>
      </c>
    </row>
    <row r="391" spans="1:5">
      <c r="A391">
        <v>220326</v>
      </c>
      <c r="B391" t="s">
        <v>1255</v>
      </c>
      <c r="C391" t="s">
        <v>1670</v>
      </c>
      <c r="D391" t="s">
        <v>1671</v>
      </c>
      <c r="E391" s="490">
        <v>44650</v>
      </c>
    </row>
    <row r="392" spans="1:5">
      <c r="A392">
        <v>220327</v>
      </c>
      <c r="B392" t="s">
        <v>178</v>
      </c>
      <c r="C392" t="s">
        <v>1672</v>
      </c>
      <c r="D392" t="s">
        <v>1673</v>
      </c>
      <c r="E392" s="490">
        <v>44651</v>
      </c>
    </row>
    <row r="393" spans="1:5">
      <c r="A393">
        <v>220401</v>
      </c>
      <c r="B393" t="s">
        <v>178</v>
      </c>
      <c r="C393" t="s">
        <v>1674</v>
      </c>
      <c r="D393" t="s">
        <v>1675</v>
      </c>
      <c r="E393" s="490">
        <v>44655</v>
      </c>
    </row>
    <row r="394" spans="1:5">
      <c r="A394">
        <v>220402</v>
      </c>
      <c r="B394" t="s">
        <v>1676</v>
      </c>
      <c r="C394" t="s">
        <v>1677</v>
      </c>
      <c r="D394" t="s">
        <v>1678</v>
      </c>
      <c r="E394" s="490">
        <v>44655</v>
      </c>
    </row>
    <row r="395" spans="1:5">
      <c r="A395" t="s">
        <v>2752</v>
      </c>
      <c r="B395" t="s">
        <v>124</v>
      </c>
      <c r="C395" t="s">
        <v>53</v>
      </c>
      <c r="D395" t="s">
        <v>54</v>
      </c>
      <c r="E395" s="490">
        <v>44655</v>
      </c>
    </row>
    <row r="396" spans="1:5">
      <c r="A396">
        <v>220403</v>
      </c>
      <c r="B396" t="s">
        <v>1130</v>
      </c>
      <c r="C396" t="s">
        <v>1679</v>
      </c>
      <c r="D396" t="s">
        <v>1680</v>
      </c>
      <c r="E396" s="490">
        <v>44658</v>
      </c>
    </row>
    <row r="397" spans="1:5">
      <c r="A397">
        <v>220406</v>
      </c>
      <c r="B397" t="s">
        <v>178</v>
      </c>
      <c r="C397" t="s">
        <v>46</v>
      </c>
      <c r="D397" t="s">
        <v>47</v>
      </c>
      <c r="E397" s="490">
        <v>44659</v>
      </c>
    </row>
    <row r="398" spans="1:5">
      <c r="A398">
        <v>220404</v>
      </c>
      <c r="B398" t="s">
        <v>1106</v>
      </c>
      <c r="C398" t="s">
        <v>1681</v>
      </c>
      <c r="D398" t="s">
        <v>1682</v>
      </c>
      <c r="E398" s="490">
        <v>44659</v>
      </c>
    </row>
    <row r="399" spans="1:5">
      <c r="A399">
        <v>220405</v>
      </c>
      <c r="B399" t="s">
        <v>178</v>
      </c>
      <c r="C399" t="s">
        <v>1683</v>
      </c>
      <c r="D399" t="s">
        <v>1684</v>
      </c>
      <c r="E399" s="490">
        <v>44659</v>
      </c>
    </row>
    <row r="400" spans="1:5">
      <c r="A400">
        <v>16</v>
      </c>
      <c r="B400" t="s">
        <v>2292</v>
      </c>
      <c r="C400" t="s">
        <v>2315</v>
      </c>
      <c r="D400" t="s">
        <v>2316</v>
      </c>
      <c r="E400" s="490">
        <v>44662</v>
      </c>
    </row>
    <row r="401" spans="1:5">
      <c r="A401">
        <v>220407</v>
      </c>
      <c r="B401" t="s">
        <v>50</v>
      </c>
      <c r="C401" t="s">
        <v>1685</v>
      </c>
      <c r="D401" t="s">
        <v>1686</v>
      </c>
      <c r="E401" s="490">
        <v>44663</v>
      </c>
    </row>
    <row r="402" spans="1:5">
      <c r="A402">
        <v>220307</v>
      </c>
      <c r="B402" t="s">
        <v>1096</v>
      </c>
      <c r="C402" t="s">
        <v>1687</v>
      </c>
      <c r="D402" t="s">
        <v>1688</v>
      </c>
      <c r="E402" s="490">
        <v>44664</v>
      </c>
    </row>
    <row r="403" spans="1:5">
      <c r="A403">
        <v>220408</v>
      </c>
      <c r="B403" t="s">
        <v>211</v>
      </c>
      <c r="C403" t="s">
        <v>1689</v>
      </c>
      <c r="D403" t="s">
        <v>1690</v>
      </c>
      <c r="E403" s="490">
        <v>44664</v>
      </c>
    </row>
    <row r="404" spans="1:5">
      <c r="A404">
        <v>220410</v>
      </c>
      <c r="B404" t="s">
        <v>1593</v>
      </c>
      <c r="C404" t="s">
        <v>1691</v>
      </c>
      <c r="D404" t="s">
        <v>1692</v>
      </c>
      <c r="E404" s="490">
        <v>44665</v>
      </c>
    </row>
    <row r="405" spans="1:5">
      <c r="A405">
        <v>220411</v>
      </c>
      <c r="B405" t="s">
        <v>1130</v>
      </c>
      <c r="C405" t="s">
        <v>1693</v>
      </c>
      <c r="D405" t="s">
        <v>1694</v>
      </c>
      <c r="E405" s="490">
        <v>44669</v>
      </c>
    </row>
    <row r="406" spans="1:5">
      <c r="A406">
        <v>220412</v>
      </c>
      <c r="B406" t="s">
        <v>1130</v>
      </c>
      <c r="C406" t="s">
        <v>1695</v>
      </c>
      <c r="D406" t="s">
        <v>1696</v>
      </c>
      <c r="E406" s="490">
        <v>44669</v>
      </c>
    </row>
    <row r="407" spans="1:5">
      <c r="A407">
        <v>220413</v>
      </c>
      <c r="B407" t="s">
        <v>50</v>
      </c>
      <c r="C407" t="s">
        <v>51</v>
      </c>
      <c r="D407" t="s">
        <v>52</v>
      </c>
      <c r="E407" s="490">
        <v>44670</v>
      </c>
    </row>
    <row r="408" spans="1:5">
      <c r="A408">
        <v>220414</v>
      </c>
      <c r="B408" t="s">
        <v>50</v>
      </c>
      <c r="C408" t="s">
        <v>1697</v>
      </c>
      <c r="D408" t="s">
        <v>1698</v>
      </c>
      <c r="E408" s="490">
        <v>44671</v>
      </c>
    </row>
    <row r="409" spans="1:5">
      <c r="A409">
        <v>220415</v>
      </c>
      <c r="B409" t="s">
        <v>1130</v>
      </c>
      <c r="C409" t="s">
        <v>1699</v>
      </c>
      <c r="D409" t="s">
        <v>1700</v>
      </c>
      <c r="E409" s="490">
        <v>44673</v>
      </c>
    </row>
    <row r="410" spans="1:5">
      <c r="A410">
        <v>220416</v>
      </c>
      <c r="B410" t="s">
        <v>1593</v>
      </c>
      <c r="C410" t="s">
        <v>1701</v>
      </c>
      <c r="D410" t="s">
        <v>1702</v>
      </c>
      <c r="E410" s="490">
        <v>44676</v>
      </c>
    </row>
    <row r="411" spans="1:5">
      <c r="A411" t="s">
        <v>2753</v>
      </c>
      <c r="B411" t="s">
        <v>124</v>
      </c>
      <c r="C411" t="s">
        <v>1726</v>
      </c>
      <c r="D411" t="s">
        <v>1727</v>
      </c>
      <c r="E411" s="490">
        <v>44679</v>
      </c>
    </row>
    <row r="412" spans="1:5">
      <c r="A412">
        <v>220502</v>
      </c>
      <c r="B412" t="s">
        <v>178</v>
      </c>
      <c r="C412" t="s">
        <v>48</v>
      </c>
      <c r="D412" t="s">
        <v>49</v>
      </c>
      <c r="E412" s="490">
        <v>44690</v>
      </c>
    </row>
    <row r="413" spans="1:5">
      <c r="A413">
        <v>220501</v>
      </c>
      <c r="B413" t="s">
        <v>76</v>
      </c>
      <c r="C413" t="s">
        <v>1703</v>
      </c>
      <c r="D413" t="s">
        <v>1704</v>
      </c>
      <c r="E413" s="490">
        <v>44690</v>
      </c>
    </row>
    <row r="414" spans="1:5">
      <c r="A414">
        <v>220503</v>
      </c>
      <c r="B414" t="s">
        <v>1103</v>
      </c>
      <c r="C414" t="s">
        <v>67</v>
      </c>
      <c r="D414" t="s">
        <v>68</v>
      </c>
      <c r="E414" s="490">
        <v>44690</v>
      </c>
    </row>
    <row r="415" spans="1:5">
      <c r="A415">
        <v>220505</v>
      </c>
      <c r="B415" t="s">
        <v>1103</v>
      </c>
      <c r="C415" t="s">
        <v>65</v>
      </c>
      <c r="D415" t="s">
        <v>66</v>
      </c>
      <c r="E415" s="490">
        <v>44690</v>
      </c>
    </row>
    <row r="416" spans="1:5">
      <c r="A416">
        <v>220504</v>
      </c>
      <c r="B416" t="s">
        <v>1705</v>
      </c>
      <c r="C416" t="s">
        <v>63</v>
      </c>
      <c r="D416" t="s">
        <v>64</v>
      </c>
      <c r="E416" s="490">
        <v>44690</v>
      </c>
    </row>
    <row r="417" spans="1:5">
      <c r="A417" t="s">
        <v>2758</v>
      </c>
      <c r="B417" t="s">
        <v>92</v>
      </c>
      <c r="C417" t="s">
        <v>1491</v>
      </c>
      <c r="D417" t="s">
        <v>1492</v>
      </c>
      <c r="E417" s="490">
        <v>44690</v>
      </c>
    </row>
    <row r="418" spans="1:5">
      <c r="A418">
        <v>220506</v>
      </c>
      <c r="B418" t="s">
        <v>1130</v>
      </c>
      <c r="C418" t="s">
        <v>1706</v>
      </c>
      <c r="D418" t="s">
        <v>1707</v>
      </c>
      <c r="E418" s="490">
        <v>44691</v>
      </c>
    </row>
    <row r="419" spans="1:5">
      <c r="A419">
        <v>220507</v>
      </c>
      <c r="B419" t="s">
        <v>76</v>
      </c>
      <c r="C419" t="s">
        <v>1708</v>
      </c>
      <c r="D419" t="s">
        <v>1709</v>
      </c>
      <c r="E419" s="490">
        <v>44691</v>
      </c>
    </row>
    <row r="420" spans="1:5">
      <c r="A420">
        <v>220508</v>
      </c>
      <c r="B420" t="s">
        <v>1130</v>
      </c>
      <c r="C420" t="s">
        <v>72</v>
      </c>
      <c r="D420" t="s">
        <v>73</v>
      </c>
      <c r="E420" s="490">
        <v>44691</v>
      </c>
    </row>
    <row r="421" spans="1:5">
      <c r="A421">
        <v>220509</v>
      </c>
      <c r="B421" t="s">
        <v>1593</v>
      </c>
      <c r="C421" t="s">
        <v>1710</v>
      </c>
      <c r="D421" t="s">
        <v>1711</v>
      </c>
      <c r="E421" s="490">
        <v>44692</v>
      </c>
    </row>
    <row r="422" spans="1:5">
      <c r="A422">
        <v>220510</v>
      </c>
      <c r="B422" t="s">
        <v>1103</v>
      </c>
      <c r="C422" t="s">
        <v>1712</v>
      </c>
      <c r="D422" t="s">
        <v>1713</v>
      </c>
      <c r="E422" s="490">
        <v>44692</v>
      </c>
    </row>
    <row r="423" spans="1:5">
      <c r="A423">
        <v>220511</v>
      </c>
      <c r="B423" t="s">
        <v>1705</v>
      </c>
      <c r="C423" t="s">
        <v>57</v>
      </c>
      <c r="D423" t="s">
        <v>58</v>
      </c>
      <c r="E423" s="490">
        <v>44692</v>
      </c>
    </row>
    <row r="424" spans="1:5">
      <c r="A424">
        <v>220512</v>
      </c>
      <c r="B424" t="s">
        <v>178</v>
      </c>
      <c r="C424" t="s">
        <v>1714</v>
      </c>
      <c r="D424" t="s">
        <v>1715</v>
      </c>
      <c r="E424" s="490">
        <v>44693</v>
      </c>
    </row>
    <row r="425" spans="1:5">
      <c r="A425">
        <v>220513</v>
      </c>
      <c r="B425" t="s">
        <v>178</v>
      </c>
      <c r="C425" t="s">
        <v>1716</v>
      </c>
      <c r="D425" t="s">
        <v>1717</v>
      </c>
      <c r="E425" s="490">
        <v>44693</v>
      </c>
    </row>
    <row r="426" spans="1:5">
      <c r="A426">
        <v>220514</v>
      </c>
      <c r="B426" t="s">
        <v>178</v>
      </c>
      <c r="C426" t="s">
        <v>1718</v>
      </c>
      <c r="D426" t="s">
        <v>1719</v>
      </c>
      <c r="E426" s="490">
        <v>44693</v>
      </c>
    </row>
    <row r="427" spans="1:5">
      <c r="A427">
        <v>220516</v>
      </c>
      <c r="B427" t="s">
        <v>1106</v>
      </c>
      <c r="C427" t="s">
        <v>1720</v>
      </c>
      <c r="D427" t="s">
        <v>1721</v>
      </c>
      <c r="E427" s="490">
        <v>44693</v>
      </c>
    </row>
    <row r="428" spans="1:5">
      <c r="A428">
        <v>220515</v>
      </c>
      <c r="B428" t="s">
        <v>1106</v>
      </c>
      <c r="C428" t="s">
        <v>59</v>
      </c>
      <c r="D428" t="s">
        <v>60</v>
      </c>
      <c r="E428" s="490">
        <v>44693</v>
      </c>
    </row>
    <row r="429" spans="1:5">
      <c r="A429">
        <v>220517</v>
      </c>
      <c r="B429" t="s">
        <v>1130</v>
      </c>
      <c r="C429" t="s">
        <v>1722</v>
      </c>
      <c r="D429" t="s">
        <v>1723</v>
      </c>
      <c r="E429" s="490">
        <v>44694</v>
      </c>
    </row>
    <row r="430" spans="1:5">
      <c r="A430" t="s">
        <v>2755</v>
      </c>
      <c r="B430" t="s">
        <v>124</v>
      </c>
      <c r="C430" t="s">
        <v>1758</v>
      </c>
      <c r="D430" t="s">
        <v>1759</v>
      </c>
      <c r="E430" s="490">
        <v>44701</v>
      </c>
    </row>
    <row r="431" spans="1:5">
      <c r="A431" t="s">
        <v>2756</v>
      </c>
      <c r="B431" t="s">
        <v>124</v>
      </c>
      <c r="C431" t="s">
        <v>55</v>
      </c>
      <c r="D431" t="s">
        <v>56</v>
      </c>
      <c r="E431" s="490">
        <v>44701</v>
      </c>
    </row>
    <row r="432" spans="1:5">
      <c r="A432">
        <v>220518</v>
      </c>
      <c r="B432" t="s">
        <v>1518</v>
      </c>
      <c r="C432" t="s">
        <v>1724</v>
      </c>
      <c r="D432" t="s">
        <v>1725</v>
      </c>
      <c r="E432" s="490">
        <v>44704</v>
      </c>
    </row>
    <row r="433" spans="1:5">
      <c r="A433">
        <v>220519</v>
      </c>
      <c r="B433" t="s">
        <v>1096</v>
      </c>
      <c r="C433" t="s">
        <v>1726</v>
      </c>
      <c r="D433" t="s">
        <v>1727</v>
      </c>
      <c r="E433" s="490">
        <v>44704</v>
      </c>
    </row>
    <row r="434" spans="1:5">
      <c r="A434" t="s">
        <v>2754</v>
      </c>
      <c r="B434" t="s">
        <v>124</v>
      </c>
      <c r="C434" t="s">
        <v>1744</v>
      </c>
      <c r="D434" t="s">
        <v>1745</v>
      </c>
      <c r="E434" s="490">
        <v>44704</v>
      </c>
    </row>
    <row r="435" spans="1:5">
      <c r="A435" t="s">
        <v>2757</v>
      </c>
      <c r="B435" t="s">
        <v>124</v>
      </c>
      <c r="C435" t="s">
        <v>2409</v>
      </c>
      <c r="D435" t="s">
        <v>1747</v>
      </c>
      <c r="E435" s="490">
        <v>44704</v>
      </c>
    </row>
    <row r="436" spans="1:5">
      <c r="A436">
        <v>220520</v>
      </c>
      <c r="B436" t="s">
        <v>1183</v>
      </c>
      <c r="C436" t="s">
        <v>1728</v>
      </c>
      <c r="D436" t="s">
        <v>1729</v>
      </c>
      <c r="E436" s="490">
        <v>44705</v>
      </c>
    </row>
    <row r="437" spans="1:5">
      <c r="A437">
        <v>220521</v>
      </c>
      <c r="B437" t="s">
        <v>76</v>
      </c>
      <c r="C437" t="s">
        <v>77</v>
      </c>
      <c r="D437" t="s">
        <v>78</v>
      </c>
      <c r="E437" s="490">
        <v>44706</v>
      </c>
    </row>
    <row r="438" spans="1:5">
      <c r="A438">
        <v>220522</v>
      </c>
      <c r="B438" t="s">
        <v>1130</v>
      </c>
      <c r="C438" t="s">
        <v>35</v>
      </c>
      <c r="D438" t="s">
        <v>70</v>
      </c>
      <c r="E438" s="490">
        <v>44707</v>
      </c>
    </row>
    <row r="439" spans="1:5">
      <c r="A439">
        <v>220523</v>
      </c>
      <c r="B439" t="s">
        <v>1262</v>
      </c>
      <c r="C439" t="s">
        <v>1730</v>
      </c>
      <c r="D439" t="s">
        <v>1731</v>
      </c>
      <c r="E439" s="490">
        <v>44708</v>
      </c>
    </row>
    <row r="440" spans="1:5">
      <c r="A440">
        <v>220524</v>
      </c>
      <c r="B440" t="s">
        <v>1518</v>
      </c>
      <c r="C440" t="s">
        <v>80</v>
      </c>
      <c r="D440" t="s">
        <v>81</v>
      </c>
      <c r="E440" s="490">
        <v>44708</v>
      </c>
    </row>
    <row r="441" spans="1:5">
      <c r="A441">
        <v>220525</v>
      </c>
      <c r="B441" t="s">
        <v>76</v>
      </c>
      <c r="C441" t="s">
        <v>1732</v>
      </c>
      <c r="D441" t="s">
        <v>1733</v>
      </c>
      <c r="E441" s="490">
        <v>44711</v>
      </c>
    </row>
    <row r="442" spans="1:5">
      <c r="A442">
        <v>210315</v>
      </c>
      <c r="B442" t="s">
        <v>1255</v>
      </c>
      <c r="C442" t="s">
        <v>99</v>
      </c>
      <c r="D442" t="s">
        <v>100</v>
      </c>
      <c r="E442" s="490">
        <v>44712</v>
      </c>
    </row>
    <row r="443" spans="1:5">
      <c r="A443">
        <v>220526</v>
      </c>
      <c r="B443" t="s">
        <v>1255</v>
      </c>
      <c r="C443" t="s">
        <v>97</v>
      </c>
      <c r="D443" t="s">
        <v>98</v>
      </c>
      <c r="E443" s="490">
        <v>44712</v>
      </c>
    </row>
    <row r="444" spans="1:5">
      <c r="A444" t="s">
        <v>2759</v>
      </c>
      <c r="B444" t="s">
        <v>92</v>
      </c>
      <c r="C444" t="s">
        <v>93</v>
      </c>
      <c r="D444" t="s">
        <v>94</v>
      </c>
      <c r="E444" s="490">
        <v>44712</v>
      </c>
    </row>
    <row r="445" spans="1:5">
      <c r="A445" t="s">
        <v>2760</v>
      </c>
      <c r="B445" t="s">
        <v>92</v>
      </c>
      <c r="C445" t="s">
        <v>95</v>
      </c>
      <c r="D445" t="s">
        <v>96</v>
      </c>
      <c r="E445" s="490">
        <v>44712</v>
      </c>
    </row>
    <row r="446" spans="1:5">
      <c r="A446">
        <v>210412</v>
      </c>
      <c r="B446" t="s">
        <v>239</v>
      </c>
      <c r="C446" t="s">
        <v>1249</v>
      </c>
      <c r="D446" t="s">
        <v>1250</v>
      </c>
      <c r="E446" s="490">
        <v>44713</v>
      </c>
    </row>
    <row r="447" spans="1:5">
      <c r="A447">
        <v>210710</v>
      </c>
      <c r="B447" t="s">
        <v>239</v>
      </c>
      <c r="C447" t="s">
        <v>1352</v>
      </c>
      <c r="D447" t="s">
        <v>1353</v>
      </c>
      <c r="E447" s="490">
        <v>44713</v>
      </c>
    </row>
    <row r="448" spans="1:5">
      <c r="A448">
        <v>220601</v>
      </c>
      <c r="B448" t="s">
        <v>1106</v>
      </c>
      <c r="C448" t="s">
        <v>61</v>
      </c>
      <c r="D448" t="s">
        <v>62</v>
      </c>
      <c r="E448" s="490">
        <v>44713</v>
      </c>
    </row>
    <row r="449" spans="1:5">
      <c r="A449">
        <v>220602</v>
      </c>
      <c r="B449" t="s">
        <v>1106</v>
      </c>
      <c r="C449" t="s">
        <v>86</v>
      </c>
      <c r="D449" t="s">
        <v>87</v>
      </c>
      <c r="E449" s="490">
        <v>44713</v>
      </c>
    </row>
    <row r="450" spans="1:5">
      <c r="A450">
        <v>220603</v>
      </c>
      <c r="B450" t="s">
        <v>1106</v>
      </c>
      <c r="C450" t="s">
        <v>84</v>
      </c>
      <c r="D450" t="s">
        <v>85</v>
      </c>
      <c r="E450" s="490">
        <v>44713</v>
      </c>
    </row>
    <row r="451" spans="1:5">
      <c r="A451">
        <v>220605</v>
      </c>
      <c r="B451" t="s">
        <v>178</v>
      </c>
      <c r="C451" t="s">
        <v>26</v>
      </c>
      <c r="D451" t="s">
        <v>27</v>
      </c>
      <c r="E451" s="490">
        <v>44718</v>
      </c>
    </row>
    <row r="452" spans="1:5">
      <c r="A452">
        <v>220606</v>
      </c>
      <c r="B452" t="s">
        <v>178</v>
      </c>
      <c r="C452" t="s">
        <v>28</v>
      </c>
      <c r="D452" t="s">
        <v>29</v>
      </c>
      <c r="E452" s="490">
        <v>44718</v>
      </c>
    </row>
    <row r="453" spans="1:5">
      <c r="A453">
        <v>220604</v>
      </c>
      <c r="B453" t="s">
        <v>1130</v>
      </c>
      <c r="C453" t="s">
        <v>1734</v>
      </c>
      <c r="D453" t="s">
        <v>1735</v>
      </c>
      <c r="E453" s="490">
        <v>44718</v>
      </c>
    </row>
    <row r="454" spans="1:5">
      <c r="A454">
        <v>220607</v>
      </c>
      <c r="B454" t="s">
        <v>178</v>
      </c>
      <c r="C454" t="s">
        <v>1736</v>
      </c>
      <c r="D454" t="s">
        <v>1737</v>
      </c>
      <c r="E454" s="490">
        <v>44718</v>
      </c>
    </row>
    <row r="455" spans="1:5">
      <c r="A455">
        <v>220608</v>
      </c>
      <c r="B455" t="s">
        <v>76</v>
      </c>
      <c r="C455" t="s">
        <v>1738</v>
      </c>
      <c r="D455" t="s">
        <v>1739</v>
      </c>
      <c r="E455" s="490">
        <v>44725</v>
      </c>
    </row>
    <row r="456" spans="1:5">
      <c r="A456">
        <v>220610</v>
      </c>
      <c r="B456" t="s">
        <v>1495</v>
      </c>
      <c r="C456" t="s">
        <v>1740</v>
      </c>
      <c r="D456" t="s">
        <v>1741</v>
      </c>
      <c r="E456" s="490">
        <v>44725</v>
      </c>
    </row>
    <row r="457" spans="1:5">
      <c r="A457">
        <v>220611</v>
      </c>
      <c r="B457" t="s">
        <v>50</v>
      </c>
      <c r="C457" t="s">
        <v>82</v>
      </c>
      <c r="D457" t="s">
        <v>1383</v>
      </c>
      <c r="E457" s="490">
        <v>44725</v>
      </c>
    </row>
    <row r="458" spans="1:5">
      <c r="A458">
        <v>220609</v>
      </c>
      <c r="B458" t="s">
        <v>1183</v>
      </c>
      <c r="C458" t="s">
        <v>89</v>
      </c>
      <c r="D458" t="s">
        <v>90</v>
      </c>
      <c r="E458" s="490">
        <v>44725</v>
      </c>
    </row>
    <row r="459" spans="1:5">
      <c r="A459">
        <v>220612</v>
      </c>
      <c r="B459" t="s">
        <v>211</v>
      </c>
      <c r="C459" t="s">
        <v>1742</v>
      </c>
      <c r="D459" t="s">
        <v>1743</v>
      </c>
      <c r="E459" s="490">
        <v>44726</v>
      </c>
    </row>
    <row r="460" spans="1:5">
      <c r="A460">
        <v>220613</v>
      </c>
      <c r="B460" t="s">
        <v>1130</v>
      </c>
      <c r="C460" t="s">
        <v>1744</v>
      </c>
      <c r="D460" t="s">
        <v>1745</v>
      </c>
      <c r="E460" s="490">
        <v>44726</v>
      </c>
    </row>
    <row r="461" spans="1:5">
      <c r="A461">
        <v>220614</v>
      </c>
      <c r="B461" t="s">
        <v>1130</v>
      </c>
      <c r="C461" t="s">
        <v>1746</v>
      </c>
      <c r="D461" t="s">
        <v>1747</v>
      </c>
      <c r="E461" s="490">
        <v>44726</v>
      </c>
    </row>
    <row r="462" spans="1:5">
      <c r="A462">
        <v>220615</v>
      </c>
      <c r="B462" t="s">
        <v>1593</v>
      </c>
      <c r="C462" t="s">
        <v>1748</v>
      </c>
      <c r="D462" t="s">
        <v>1749</v>
      </c>
      <c r="E462" s="490">
        <v>44727</v>
      </c>
    </row>
    <row r="463" spans="1:5">
      <c r="A463">
        <v>220717</v>
      </c>
      <c r="B463" t="s">
        <v>178</v>
      </c>
      <c r="C463" t="s">
        <v>1750</v>
      </c>
      <c r="D463" t="s">
        <v>1751</v>
      </c>
      <c r="E463" s="490">
        <v>44727</v>
      </c>
    </row>
    <row r="464" spans="1:5">
      <c r="A464" t="s">
        <v>2761</v>
      </c>
      <c r="B464" t="s">
        <v>124</v>
      </c>
      <c r="C464" t="s">
        <v>2410</v>
      </c>
      <c r="D464" t="s">
        <v>1761</v>
      </c>
      <c r="E464" s="490">
        <v>44727</v>
      </c>
    </row>
    <row r="465" spans="1:5">
      <c r="A465" t="s">
        <v>2762</v>
      </c>
      <c r="B465" t="s">
        <v>124</v>
      </c>
      <c r="C465" t="s">
        <v>1770</v>
      </c>
      <c r="D465" t="s">
        <v>91</v>
      </c>
      <c r="E465" s="490">
        <v>44727</v>
      </c>
    </row>
    <row r="466" spans="1:5">
      <c r="A466" t="s">
        <v>2763</v>
      </c>
      <c r="B466" t="s">
        <v>124</v>
      </c>
      <c r="C466" t="s">
        <v>1750</v>
      </c>
      <c r="D466" t="s">
        <v>1751</v>
      </c>
      <c r="E466" s="490">
        <v>44727</v>
      </c>
    </row>
    <row r="467" spans="1:5">
      <c r="A467">
        <v>210704</v>
      </c>
      <c r="B467" t="s">
        <v>1255</v>
      </c>
      <c r="C467" t="s">
        <v>1340</v>
      </c>
      <c r="D467" t="s">
        <v>1341</v>
      </c>
      <c r="E467" s="490">
        <v>44732</v>
      </c>
    </row>
    <row r="468" spans="1:5">
      <c r="A468">
        <v>220616</v>
      </c>
      <c r="B468" t="s">
        <v>50</v>
      </c>
      <c r="C468" t="s">
        <v>1752</v>
      </c>
      <c r="D468" t="s">
        <v>1753</v>
      </c>
      <c r="E468" s="490">
        <v>44735</v>
      </c>
    </row>
    <row r="469" spans="1:5">
      <c r="A469">
        <v>17</v>
      </c>
      <c r="B469" t="s">
        <v>2292</v>
      </c>
      <c r="C469" t="s">
        <v>401</v>
      </c>
      <c r="D469" t="s">
        <v>402</v>
      </c>
      <c r="E469" s="490">
        <v>44739</v>
      </c>
    </row>
    <row r="470" spans="1:5">
      <c r="A470">
        <v>220702</v>
      </c>
      <c r="B470" t="s">
        <v>178</v>
      </c>
      <c r="C470" t="s">
        <v>101</v>
      </c>
      <c r="D470" t="s">
        <v>102</v>
      </c>
      <c r="E470" s="490">
        <v>44743</v>
      </c>
    </row>
    <row r="471" spans="1:5">
      <c r="A471">
        <v>220701</v>
      </c>
      <c r="B471" t="s">
        <v>1255</v>
      </c>
      <c r="C471" t="s">
        <v>1754</v>
      </c>
      <c r="D471" t="s">
        <v>1755</v>
      </c>
      <c r="E471" s="490">
        <v>44743</v>
      </c>
    </row>
    <row r="472" spans="1:5">
      <c r="A472">
        <v>220703</v>
      </c>
      <c r="B472" t="s">
        <v>1079</v>
      </c>
      <c r="C472" t="s">
        <v>1756</v>
      </c>
      <c r="D472" t="s">
        <v>1757</v>
      </c>
      <c r="E472" s="490">
        <v>44743</v>
      </c>
    </row>
    <row r="473" spans="1:5">
      <c r="A473">
        <v>220704</v>
      </c>
      <c r="B473" t="s">
        <v>1130</v>
      </c>
      <c r="C473" t="s">
        <v>1758</v>
      </c>
      <c r="D473" t="s">
        <v>1759</v>
      </c>
      <c r="E473" s="490">
        <v>44750</v>
      </c>
    </row>
    <row r="474" spans="1:5">
      <c r="A474">
        <v>220705</v>
      </c>
      <c r="B474" t="s">
        <v>76</v>
      </c>
      <c r="C474" t="s">
        <v>1760</v>
      </c>
      <c r="D474" t="s">
        <v>1761</v>
      </c>
      <c r="E474" s="490">
        <v>44753</v>
      </c>
    </row>
    <row r="475" spans="1:5">
      <c r="A475" t="s">
        <v>2773</v>
      </c>
      <c r="B475" t="s">
        <v>829</v>
      </c>
      <c r="C475" t="s">
        <v>1764</v>
      </c>
      <c r="D475" t="s">
        <v>1765</v>
      </c>
      <c r="E475" s="490">
        <v>44753</v>
      </c>
    </row>
    <row r="476" spans="1:5">
      <c r="A476" t="s">
        <v>2774</v>
      </c>
      <c r="B476" t="s">
        <v>829</v>
      </c>
      <c r="C476" t="s">
        <v>111</v>
      </c>
      <c r="D476" t="s">
        <v>112</v>
      </c>
      <c r="E476" s="490">
        <v>44753</v>
      </c>
    </row>
    <row r="477" spans="1:5">
      <c r="A477" t="s">
        <v>2775</v>
      </c>
      <c r="B477" t="s">
        <v>829</v>
      </c>
      <c r="C477" t="s">
        <v>109</v>
      </c>
      <c r="D477" t="s">
        <v>110</v>
      </c>
      <c r="E477" s="490">
        <v>44753</v>
      </c>
    </row>
    <row r="478" spans="1:5">
      <c r="A478" t="s">
        <v>2776</v>
      </c>
      <c r="B478" t="s">
        <v>829</v>
      </c>
      <c r="C478" t="s">
        <v>113</v>
      </c>
      <c r="D478" t="s">
        <v>114</v>
      </c>
      <c r="E478" s="490">
        <v>44753</v>
      </c>
    </row>
    <row r="479" spans="1:5">
      <c r="A479">
        <v>220706</v>
      </c>
      <c r="B479" t="s">
        <v>1106</v>
      </c>
      <c r="C479" t="s">
        <v>1762</v>
      </c>
      <c r="D479" t="s">
        <v>1763</v>
      </c>
      <c r="E479" s="490">
        <v>44760</v>
      </c>
    </row>
    <row r="480" spans="1:5">
      <c r="A480" t="s">
        <v>2764</v>
      </c>
      <c r="B480" t="s">
        <v>124</v>
      </c>
      <c r="C480" t="s">
        <v>125</v>
      </c>
      <c r="D480" t="s">
        <v>126</v>
      </c>
      <c r="E480" s="490">
        <v>44760</v>
      </c>
    </row>
    <row r="481" spans="1:5">
      <c r="A481" t="s">
        <v>2765</v>
      </c>
      <c r="B481" t="s">
        <v>124</v>
      </c>
      <c r="C481" t="s">
        <v>141</v>
      </c>
      <c r="D481" t="s">
        <v>142</v>
      </c>
      <c r="E481" s="490">
        <v>44760</v>
      </c>
    </row>
    <row r="482" spans="1:5">
      <c r="A482" t="s">
        <v>2766</v>
      </c>
      <c r="B482" t="s">
        <v>124</v>
      </c>
      <c r="C482" t="s">
        <v>137</v>
      </c>
      <c r="D482" t="s">
        <v>138</v>
      </c>
      <c r="E482" s="490">
        <v>44760</v>
      </c>
    </row>
    <row r="483" spans="1:5">
      <c r="A483" t="s">
        <v>2767</v>
      </c>
      <c r="B483" t="s">
        <v>124</v>
      </c>
      <c r="C483" t="s">
        <v>129</v>
      </c>
      <c r="D483" t="s">
        <v>130</v>
      </c>
      <c r="E483" s="490">
        <v>44760</v>
      </c>
    </row>
    <row r="484" spans="1:5">
      <c r="A484" t="s">
        <v>2768</v>
      </c>
      <c r="B484" t="s">
        <v>124</v>
      </c>
      <c r="C484" t="s">
        <v>139</v>
      </c>
      <c r="D484" t="s">
        <v>140</v>
      </c>
      <c r="E484" s="490">
        <v>44760</v>
      </c>
    </row>
    <row r="485" spans="1:5">
      <c r="A485" t="s">
        <v>2769</v>
      </c>
      <c r="B485" t="s">
        <v>124</v>
      </c>
      <c r="C485" t="s">
        <v>127</v>
      </c>
      <c r="D485" t="s">
        <v>128</v>
      </c>
      <c r="E485" s="490">
        <v>44760</v>
      </c>
    </row>
    <row r="486" spans="1:5">
      <c r="A486" t="s">
        <v>2770</v>
      </c>
      <c r="B486" t="s">
        <v>124</v>
      </c>
      <c r="C486" t="s">
        <v>131</v>
      </c>
      <c r="D486" t="s">
        <v>132</v>
      </c>
      <c r="E486" s="490">
        <v>44760</v>
      </c>
    </row>
    <row r="487" spans="1:5">
      <c r="A487" t="s">
        <v>2771</v>
      </c>
      <c r="B487" t="s">
        <v>124</v>
      </c>
      <c r="C487" t="s">
        <v>133</v>
      </c>
      <c r="D487" t="s">
        <v>134</v>
      </c>
      <c r="E487" s="490">
        <v>44760</v>
      </c>
    </row>
    <row r="488" spans="1:5">
      <c r="A488" t="s">
        <v>2772</v>
      </c>
      <c r="B488" t="s">
        <v>124</v>
      </c>
      <c r="C488" t="s">
        <v>135</v>
      </c>
      <c r="D488" t="s">
        <v>136</v>
      </c>
      <c r="E488" s="490">
        <v>44760</v>
      </c>
    </row>
    <row r="489" spans="1:5">
      <c r="A489">
        <v>210422</v>
      </c>
      <c r="B489" t="s">
        <v>1255</v>
      </c>
      <c r="C489" t="s">
        <v>1272</v>
      </c>
      <c r="D489" t="s">
        <v>1273</v>
      </c>
      <c r="E489" s="490">
        <v>44761</v>
      </c>
    </row>
    <row r="490" spans="1:5">
      <c r="A490">
        <v>220709</v>
      </c>
      <c r="B490" t="s">
        <v>178</v>
      </c>
      <c r="C490" t="s">
        <v>111</v>
      </c>
      <c r="D490" t="s">
        <v>112</v>
      </c>
      <c r="E490" s="490">
        <v>44762</v>
      </c>
    </row>
    <row r="491" spans="1:5">
      <c r="A491">
        <v>220710</v>
      </c>
      <c r="B491" t="s">
        <v>178</v>
      </c>
      <c r="C491" t="s">
        <v>109</v>
      </c>
      <c r="D491" t="s">
        <v>110</v>
      </c>
      <c r="E491" s="490">
        <v>44762</v>
      </c>
    </row>
    <row r="492" spans="1:5">
      <c r="A492">
        <v>220711</v>
      </c>
      <c r="B492" t="s">
        <v>178</v>
      </c>
      <c r="C492" t="s">
        <v>113</v>
      </c>
      <c r="D492" t="s">
        <v>114</v>
      </c>
      <c r="E492" s="490">
        <v>44762</v>
      </c>
    </row>
    <row r="493" spans="1:5">
      <c r="A493">
        <v>220712</v>
      </c>
      <c r="B493" t="s">
        <v>178</v>
      </c>
      <c r="C493" t="s">
        <v>105</v>
      </c>
      <c r="D493" t="s">
        <v>106</v>
      </c>
      <c r="E493" s="490">
        <v>44762</v>
      </c>
    </row>
    <row r="494" spans="1:5">
      <c r="A494">
        <v>220714</v>
      </c>
      <c r="B494" t="s">
        <v>178</v>
      </c>
      <c r="C494" t="s">
        <v>107</v>
      </c>
      <c r="D494" t="s">
        <v>108</v>
      </c>
      <c r="E494" s="490">
        <v>44762</v>
      </c>
    </row>
    <row r="495" spans="1:5">
      <c r="A495">
        <v>220708</v>
      </c>
      <c r="B495" t="s">
        <v>178</v>
      </c>
      <c r="C495" t="s">
        <v>1764</v>
      </c>
      <c r="D495" t="s">
        <v>1765</v>
      </c>
      <c r="E495" s="490">
        <v>44762</v>
      </c>
    </row>
    <row r="496" spans="1:5">
      <c r="A496">
        <v>220713</v>
      </c>
      <c r="B496" t="s">
        <v>178</v>
      </c>
      <c r="C496" t="s">
        <v>1766</v>
      </c>
      <c r="D496" t="s">
        <v>1767</v>
      </c>
      <c r="E496" s="490">
        <v>44762</v>
      </c>
    </row>
    <row r="497" spans="1:5">
      <c r="A497">
        <v>220715</v>
      </c>
      <c r="B497" t="s">
        <v>178</v>
      </c>
      <c r="C497" t="s">
        <v>122</v>
      </c>
      <c r="D497" t="s">
        <v>123</v>
      </c>
      <c r="E497" s="490">
        <v>44762</v>
      </c>
    </row>
    <row r="498" spans="1:5">
      <c r="A498">
        <v>220707</v>
      </c>
      <c r="B498" t="s">
        <v>1130</v>
      </c>
      <c r="C498" t="s">
        <v>55</v>
      </c>
      <c r="D498" t="s">
        <v>56</v>
      </c>
      <c r="E498" s="490">
        <v>44762</v>
      </c>
    </row>
    <row r="499" spans="1:5">
      <c r="A499">
        <v>220716</v>
      </c>
      <c r="B499" t="s">
        <v>178</v>
      </c>
      <c r="C499" t="s">
        <v>1768</v>
      </c>
      <c r="D499" t="s">
        <v>1769</v>
      </c>
      <c r="E499" s="490">
        <v>44767</v>
      </c>
    </row>
    <row r="500" spans="1:5">
      <c r="A500">
        <v>220718</v>
      </c>
      <c r="B500" t="s">
        <v>76</v>
      </c>
      <c r="C500" t="s">
        <v>1770</v>
      </c>
      <c r="D500" t="s">
        <v>91</v>
      </c>
      <c r="E500" s="490">
        <v>44767</v>
      </c>
    </row>
    <row r="501" spans="1:5">
      <c r="A501">
        <v>220719</v>
      </c>
      <c r="B501" t="s">
        <v>264</v>
      </c>
      <c r="C501" t="s">
        <v>1771</v>
      </c>
      <c r="D501" t="s">
        <v>1772</v>
      </c>
      <c r="E501" s="490">
        <v>44770</v>
      </c>
    </row>
    <row r="502" spans="1:5">
      <c r="A502">
        <v>220801</v>
      </c>
      <c r="B502" t="s">
        <v>50</v>
      </c>
      <c r="C502" t="s">
        <v>209</v>
      </c>
      <c r="D502" t="s">
        <v>210</v>
      </c>
      <c r="E502" s="490">
        <v>44775</v>
      </c>
    </row>
    <row r="503" spans="1:5">
      <c r="A503">
        <v>220802</v>
      </c>
      <c r="B503" t="s">
        <v>1773</v>
      </c>
      <c r="C503" t="s">
        <v>53</v>
      </c>
      <c r="D503" t="s">
        <v>54</v>
      </c>
      <c r="E503" s="490">
        <v>44775</v>
      </c>
    </row>
    <row r="504" spans="1:5">
      <c r="A504">
        <v>220812</v>
      </c>
      <c r="B504" t="s">
        <v>178</v>
      </c>
      <c r="C504" t="s">
        <v>155</v>
      </c>
      <c r="D504" t="s">
        <v>156</v>
      </c>
      <c r="E504" s="490">
        <v>44776</v>
      </c>
    </row>
    <row r="505" spans="1:5">
      <c r="A505">
        <v>220813</v>
      </c>
      <c r="B505" t="s">
        <v>178</v>
      </c>
      <c r="C505" t="s">
        <v>1774</v>
      </c>
      <c r="D505" t="s">
        <v>1775</v>
      </c>
      <c r="E505" s="490">
        <v>44776</v>
      </c>
    </row>
    <row r="506" spans="1:5">
      <c r="A506">
        <v>220803</v>
      </c>
      <c r="B506" t="s">
        <v>1079</v>
      </c>
      <c r="C506" t="s">
        <v>1776</v>
      </c>
      <c r="D506" t="s">
        <v>1777</v>
      </c>
      <c r="E506" s="490">
        <v>44795</v>
      </c>
    </row>
    <row r="507" spans="1:5">
      <c r="A507">
        <v>220804</v>
      </c>
      <c r="B507" t="s">
        <v>1096</v>
      </c>
      <c r="C507" t="s">
        <v>1778</v>
      </c>
      <c r="D507" t="s">
        <v>1779</v>
      </c>
      <c r="E507" s="490">
        <v>44795</v>
      </c>
    </row>
    <row r="508" spans="1:5">
      <c r="A508">
        <v>220805</v>
      </c>
      <c r="B508" t="s">
        <v>1255</v>
      </c>
      <c r="C508" t="s">
        <v>1780</v>
      </c>
      <c r="D508" t="s">
        <v>1781</v>
      </c>
      <c r="E508" s="490">
        <v>44798</v>
      </c>
    </row>
    <row r="509" spans="1:5">
      <c r="A509">
        <v>220806</v>
      </c>
      <c r="B509" t="s">
        <v>178</v>
      </c>
      <c r="C509" t="s">
        <v>1782</v>
      </c>
      <c r="D509" t="s">
        <v>1783</v>
      </c>
      <c r="E509" s="490">
        <v>44798</v>
      </c>
    </row>
    <row r="510" spans="1:5">
      <c r="A510">
        <v>220807</v>
      </c>
      <c r="B510" t="s">
        <v>178</v>
      </c>
      <c r="C510" t="s">
        <v>1784</v>
      </c>
      <c r="D510" t="s">
        <v>1785</v>
      </c>
      <c r="E510" s="490">
        <v>44798</v>
      </c>
    </row>
    <row r="511" spans="1:5">
      <c r="A511">
        <v>220809</v>
      </c>
      <c r="B511" t="s">
        <v>1705</v>
      </c>
      <c r="C511" t="s">
        <v>1786</v>
      </c>
      <c r="D511" t="s">
        <v>1787</v>
      </c>
      <c r="E511" s="490">
        <v>44798</v>
      </c>
    </row>
    <row r="512" spans="1:5">
      <c r="A512">
        <v>220810</v>
      </c>
      <c r="B512" t="s">
        <v>1705</v>
      </c>
      <c r="C512" t="s">
        <v>1788</v>
      </c>
      <c r="D512" t="s">
        <v>1789</v>
      </c>
      <c r="E512" s="490">
        <v>44798</v>
      </c>
    </row>
    <row r="513" spans="1:5">
      <c r="A513">
        <v>220811</v>
      </c>
      <c r="B513" t="s">
        <v>1705</v>
      </c>
      <c r="C513" t="s">
        <v>1110</v>
      </c>
      <c r="D513" t="s">
        <v>1111</v>
      </c>
      <c r="E513" s="490">
        <v>44798</v>
      </c>
    </row>
    <row r="514" spans="1:5">
      <c r="A514">
        <v>220808</v>
      </c>
      <c r="B514" t="s">
        <v>1130</v>
      </c>
      <c r="C514" t="s">
        <v>1790</v>
      </c>
      <c r="D514" t="s">
        <v>1791</v>
      </c>
      <c r="E514" s="490">
        <v>44798</v>
      </c>
    </row>
    <row r="515" spans="1:5">
      <c r="A515">
        <v>220814</v>
      </c>
      <c r="B515" t="s">
        <v>1705</v>
      </c>
      <c r="C515" t="s">
        <v>1792</v>
      </c>
      <c r="D515" t="s">
        <v>1793</v>
      </c>
      <c r="E515" s="490">
        <v>44804</v>
      </c>
    </row>
    <row r="516" spans="1:5">
      <c r="A516">
        <v>220815</v>
      </c>
      <c r="B516" t="s">
        <v>1705</v>
      </c>
      <c r="C516" t="s">
        <v>1794</v>
      </c>
      <c r="D516" t="s">
        <v>1795</v>
      </c>
      <c r="E516" s="490">
        <v>44804</v>
      </c>
    </row>
    <row r="517" spans="1:5">
      <c r="A517">
        <v>220816</v>
      </c>
      <c r="B517" t="s">
        <v>1705</v>
      </c>
      <c r="C517" t="s">
        <v>1796</v>
      </c>
      <c r="D517" t="s">
        <v>1797</v>
      </c>
      <c r="E517" s="490">
        <v>44804</v>
      </c>
    </row>
    <row r="518" spans="1:5">
      <c r="A518">
        <v>220901</v>
      </c>
      <c r="B518" t="s">
        <v>1130</v>
      </c>
      <c r="C518" t="s">
        <v>1798</v>
      </c>
      <c r="D518" t="s">
        <v>1799</v>
      </c>
      <c r="E518" s="490">
        <v>44805</v>
      </c>
    </row>
    <row r="519" spans="1:5">
      <c r="A519">
        <v>220902</v>
      </c>
      <c r="B519" t="s">
        <v>1676</v>
      </c>
      <c r="C519" t="s">
        <v>1800</v>
      </c>
      <c r="D519" t="s">
        <v>1801</v>
      </c>
      <c r="E519" s="490">
        <v>44809</v>
      </c>
    </row>
    <row r="520" spans="1:5">
      <c r="A520">
        <v>220903</v>
      </c>
      <c r="B520" t="s">
        <v>76</v>
      </c>
      <c r="C520" t="s">
        <v>1802</v>
      </c>
      <c r="D520" t="s">
        <v>1803</v>
      </c>
      <c r="E520" s="490">
        <v>44810</v>
      </c>
    </row>
    <row r="521" spans="1:5">
      <c r="A521">
        <v>220904</v>
      </c>
      <c r="B521" t="s">
        <v>178</v>
      </c>
      <c r="C521" t="s">
        <v>30</v>
      </c>
      <c r="D521" t="s">
        <v>1804</v>
      </c>
      <c r="E521" s="490">
        <v>44812</v>
      </c>
    </row>
    <row r="522" spans="1:5">
      <c r="A522">
        <v>220905</v>
      </c>
      <c r="B522" t="s">
        <v>178</v>
      </c>
      <c r="C522" t="s">
        <v>1805</v>
      </c>
      <c r="D522" t="s">
        <v>1806</v>
      </c>
      <c r="E522" s="490">
        <v>44812</v>
      </c>
    </row>
    <row r="523" spans="1:5">
      <c r="A523">
        <v>220906</v>
      </c>
      <c r="B523" t="s">
        <v>178</v>
      </c>
      <c r="C523" t="s">
        <v>1807</v>
      </c>
      <c r="D523" t="s">
        <v>1808</v>
      </c>
      <c r="E523" s="490">
        <v>44812</v>
      </c>
    </row>
    <row r="524" spans="1:5">
      <c r="A524" t="s">
        <v>2777</v>
      </c>
      <c r="B524" t="s">
        <v>829</v>
      </c>
      <c r="C524" t="s">
        <v>157</v>
      </c>
      <c r="D524" t="s">
        <v>158</v>
      </c>
      <c r="E524" s="490">
        <v>44812</v>
      </c>
    </row>
    <row r="525" spans="1:5">
      <c r="A525">
        <v>220907</v>
      </c>
      <c r="B525" t="s">
        <v>1106</v>
      </c>
      <c r="C525" t="s">
        <v>1809</v>
      </c>
      <c r="D525" t="s">
        <v>1810</v>
      </c>
      <c r="E525" s="490">
        <v>44816</v>
      </c>
    </row>
    <row r="526" spans="1:5">
      <c r="A526">
        <v>220908</v>
      </c>
      <c r="B526" t="s">
        <v>50</v>
      </c>
      <c r="C526" t="s">
        <v>150</v>
      </c>
      <c r="D526" t="s">
        <v>151</v>
      </c>
      <c r="E526" s="490">
        <v>44818</v>
      </c>
    </row>
    <row r="527" spans="1:5">
      <c r="A527">
        <v>220911</v>
      </c>
      <c r="B527" t="s">
        <v>50</v>
      </c>
      <c r="C527" t="s">
        <v>1811</v>
      </c>
      <c r="D527" t="s">
        <v>1812</v>
      </c>
      <c r="E527" s="490">
        <v>44818</v>
      </c>
    </row>
    <row r="528" spans="1:5">
      <c r="A528">
        <v>220912</v>
      </c>
      <c r="B528" t="s">
        <v>1705</v>
      </c>
      <c r="C528" t="s">
        <v>1813</v>
      </c>
      <c r="D528" t="s">
        <v>1814</v>
      </c>
      <c r="E528" s="490">
        <v>44818</v>
      </c>
    </row>
    <row r="529" spans="1:5">
      <c r="A529">
        <v>220915</v>
      </c>
      <c r="B529" t="s">
        <v>1705</v>
      </c>
      <c r="C529" t="s">
        <v>392</v>
      </c>
      <c r="D529" t="s">
        <v>393</v>
      </c>
      <c r="E529" s="490">
        <v>44823</v>
      </c>
    </row>
    <row r="530" spans="1:5">
      <c r="A530">
        <v>220913</v>
      </c>
      <c r="B530" t="s">
        <v>264</v>
      </c>
      <c r="C530" t="s">
        <v>1815</v>
      </c>
      <c r="D530" t="s">
        <v>1816</v>
      </c>
      <c r="E530" s="490">
        <v>44823</v>
      </c>
    </row>
    <row r="531" spans="1:5">
      <c r="A531">
        <v>220914</v>
      </c>
      <c r="B531" t="s">
        <v>1705</v>
      </c>
      <c r="C531" t="s">
        <v>1817</v>
      </c>
      <c r="D531" t="s">
        <v>1818</v>
      </c>
      <c r="E531" s="490">
        <v>44823</v>
      </c>
    </row>
    <row r="532" spans="1:5">
      <c r="A532">
        <v>220916</v>
      </c>
      <c r="B532" t="s">
        <v>50</v>
      </c>
      <c r="C532" t="s">
        <v>152</v>
      </c>
      <c r="D532" t="s">
        <v>153</v>
      </c>
      <c r="E532" s="490">
        <v>44825</v>
      </c>
    </row>
    <row r="533" spans="1:5">
      <c r="A533">
        <v>220917</v>
      </c>
      <c r="B533" t="s">
        <v>50</v>
      </c>
      <c r="C533" t="s">
        <v>1819</v>
      </c>
      <c r="D533" t="s">
        <v>1820</v>
      </c>
      <c r="E533" s="490">
        <v>44825</v>
      </c>
    </row>
    <row r="534" spans="1:5">
      <c r="A534">
        <v>220918</v>
      </c>
      <c r="B534" t="s">
        <v>178</v>
      </c>
      <c r="C534" t="s">
        <v>144</v>
      </c>
      <c r="D534" t="s">
        <v>145</v>
      </c>
      <c r="E534" s="490">
        <v>44827</v>
      </c>
    </row>
    <row r="535" spans="1:5">
      <c r="A535">
        <v>220919</v>
      </c>
      <c r="B535" t="s">
        <v>178</v>
      </c>
      <c r="C535" t="s">
        <v>146</v>
      </c>
      <c r="D535" t="s">
        <v>147</v>
      </c>
      <c r="E535" s="490">
        <v>44827</v>
      </c>
    </row>
    <row r="536" spans="1:5">
      <c r="A536">
        <v>220920</v>
      </c>
      <c r="B536" t="s">
        <v>178</v>
      </c>
      <c r="C536" t="s">
        <v>1821</v>
      </c>
      <c r="D536" t="s">
        <v>1822</v>
      </c>
      <c r="E536" s="490">
        <v>44827</v>
      </c>
    </row>
    <row r="537" spans="1:5">
      <c r="A537">
        <v>220921</v>
      </c>
      <c r="B537" t="s">
        <v>1079</v>
      </c>
      <c r="C537" t="s">
        <v>1823</v>
      </c>
      <c r="D537" t="s">
        <v>1824</v>
      </c>
      <c r="E537" s="490">
        <v>44830</v>
      </c>
    </row>
    <row r="538" spans="1:5">
      <c r="A538">
        <v>220922</v>
      </c>
      <c r="B538" t="s">
        <v>1705</v>
      </c>
      <c r="C538" t="s">
        <v>1825</v>
      </c>
      <c r="D538" t="s">
        <v>1826</v>
      </c>
      <c r="E538" s="490">
        <v>44830</v>
      </c>
    </row>
    <row r="539" spans="1:5">
      <c r="A539">
        <v>210306</v>
      </c>
      <c r="B539" t="s">
        <v>1255</v>
      </c>
      <c r="C539" t="s">
        <v>1203</v>
      </c>
      <c r="D539" t="s">
        <v>1204</v>
      </c>
      <c r="E539" s="490">
        <v>44831</v>
      </c>
    </row>
    <row r="540" spans="1:5">
      <c r="A540">
        <v>220923</v>
      </c>
      <c r="B540" t="s">
        <v>178</v>
      </c>
      <c r="C540" t="s">
        <v>570</v>
      </c>
      <c r="D540" t="s">
        <v>1827</v>
      </c>
      <c r="E540" s="490">
        <v>44834</v>
      </c>
    </row>
    <row r="541" spans="1:5">
      <c r="A541">
        <v>220314</v>
      </c>
      <c r="B541" t="s">
        <v>1079</v>
      </c>
      <c r="C541" t="s">
        <v>321</v>
      </c>
      <c r="D541" t="s">
        <v>322</v>
      </c>
      <c r="E541" s="490">
        <v>44837</v>
      </c>
    </row>
    <row r="542" spans="1:5">
      <c r="A542">
        <v>221001</v>
      </c>
      <c r="B542" t="s">
        <v>212</v>
      </c>
      <c r="C542" t="s">
        <v>511</v>
      </c>
      <c r="D542" t="s">
        <v>512</v>
      </c>
      <c r="E542" s="490">
        <v>44837</v>
      </c>
    </row>
    <row r="543" spans="1:5">
      <c r="A543">
        <v>221002</v>
      </c>
      <c r="B543" t="s">
        <v>212</v>
      </c>
      <c r="C543" t="s">
        <v>1828</v>
      </c>
      <c r="D543" t="s">
        <v>1829</v>
      </c>
      <c r="E543" s="490">
        <v>44837</v>
      </c>
    </row>
    <row r="544" spans="1:5">
      <c r="A544">
        <v>221003</v>
      </c>
      <c r="B544" t="s">
        <v>1518</v>
      </c>
      <c r="C544" t="s">
        <v>1830</v>
      </c>
      <c r="D544" t="s">
        <v>1831</v>
      </c>
      <c r="E544" s="490">
        <v>44837</v>
      </c>
    </row>
    <row r="545" spans="1:5">
      <c r="A545">
        <v>221004</v>
      </c>
      <c r="B545" t="s">
        <v>1832</v>
      </c>
      <c r="C545" t="s">
        <v>1833</v>
      </c>
      <c r="D545" t="s">
        <v>1834</v>
      </c>
      <c r="E545" s="490">
        <v>44837</v>
      </c>
    </row>
    <row r="546" spans="1:5">
      <c r="A546" t="s">
        <v>2778</v>
      </c>
      <c r="B546" t="s">
        <v>124</v>
      </c>
      <c r="C546" t="s">
        <v>2244</v>
      </c>
      <c r="D546" t="s">
        <v>2245</v>
      </c>
      <c r="E546" s="490">
        <v>44838</v>
      </c>
    </row>
    <row r="547" spans="1:5">
      <c r="A547">
        <v>221005</v>
      </c>
      <c r="B547" t="s">
        <v>76</v>
      </c>
      <c r="C547" t="s">
        <v>1835</v>
      </c>
      <c r="D547" t="s">
        <v>1836</v>
      </c>
      <c r="E547" s="490">
        <v>44839</v>
      </c>
    </row>
    <row r="548" spans="1:5">
      <c r="A548">
        <v>221006</v>
      </c>
      <c r="B548" t="s">
        <v>211</v>
      </c>
      <c r="C548" t="s">
        <v>1837</v>
      </c>
      <c r="D548" t="s">
        <v>1838</v>
      </c>
      <c r="E548" s="490">
        <v>44841</v>
      </c>
    </row>
    <row r="549" spans="1:5">
      <c r="A549">
        <v>221007</v>
      </c>
      <c r="B549" t="s">
        <v>211</v>
      </c>
      <c r="C549" t="s">
        <v>1839</v>
      </c>
      <c r="D549" t="s">
        <v>1840</v>
      </c>
      <c r="E549" s="490">
        <v>44841</v>
      </c>
    </row>
    <row r="550" spans="1:5">
      <c r="A550">
        <v>221008</v>
      </c>
      <c r="B550" t="s">
        <v>211</v>
      </c>
      <c r="C550" t="s">
        <v>1841</v>
      </c>
      <c r="D550" t="s">
        <v>1842</v>
      </c>
      <c r="E550" s="490">
        <v>44841</v>
      </c>
    </row>
    <row r="551" spans="1:5">
      <c r="A551">
        <v>221009</v>
      </c>
      <c r="B551" t="s">
        <v>50</v>
      </c>
      <c r="C551" t="s">
        <v>162</v>
      </c>
      <c r="D551" t="s">
        <v>163</v>
      </c>
      <c r="E551" s="490">
        <v>44851</v>
      </c>
    </row>
    <row r="552" spans="1:5">
      <c r="A552">
        <v>221010</v>
      </c>
      <c r="B552" t="s">
        <v>1705</v>
      </c>
      <c r="C552" t="s">
        <v>168</v>
      </c>
      <c r="D552" t="s">
        <v>169</v>
      </c>
      <c r="E552" s="490">
        <v>44858</v>
      </c>
    </row>
    <row r="553" spans="1:5">
      <c r="A553">
        <v>221011</v>
      </c>
      <c r="B553" t="s">
        <v>1705</v>
      </c>
      <c r="C553" t="s">
        <v>1843</v>
      </c>
      <c r="D553" t="s">
        <v>1844</v>
      </c>
      <c r="E553" s="490">
        <v>44865</v>
      </c>
    </row>
    <row r="554" spans="1:5">
      <c r="A554">
        <v>221101</v>
      </c>
      <c r="B554" t="s">
        <v>1099</v>
      </c>
      <c r="C554" t="s">
        <v>1845</v>
      </c>
      <c r="D554" t="s">
        <v>1846</v>
      </c>
      <c r="E554" s="490">
        <v>44866</v>
      </c>
    </row>
    <row r="555" spans="1:5">
      <c r="A555">
        <v>221102</v>
      </c>
      <c r="B555" t="s">
        <v>1103</v>
      </c>
      <c r="C555" t="s">
        <v>1847</v>
      </c>
      <c r="D555" t="s">
        <v>1848</v>
      </c>
      <c r="E555" s="490">
        <v>44874</v>
      </c>
    </row>
    <row r="556" spans="1:5">
      <c r="A556">
        <v>221103</v>
      </c>
      <c r="B556" t="s">
        <v>1705</v>
      </c>
      <c r="C556" t="s">
        <v>176</v>
      </c>
      <c r="D556" t="s">
        <v>177</v>
      </c>
      <c r="E556" s="490">
        <v>44880</v>
      </c>
    </row>
    <row r="557" spans="1:5">
      <c r="A557">
        <v>221104</v>
      </c>
      <c r="B557" t="s">
        <v>1103</v>
      </c>
      <c r="C557" t="s">
        <v>1849</v>
      </c>
      <c r="D557" t="s">
        <v>1850</v>
      </c>
      <c r="E557" s="490">
        <v>44882</v>
      </c>
    </row>
    <row r="558" spans="1:5">
      <c r="A558">
        <v>221105</v>
      </c>
      <c r="B558" t="s">
        <v>1130</v>
      </c>
      <c r="C558" t="s">
        <v>1851</v>
      </c>
      <c r="D558" t="s">
        <v>1852</v>
      </c>
      <c r="E558" s="490">
        <v>44883</v>
      </c>
    </row>
    <row r="559" spans="1:5">
      <c r="A559">
        <v>221106</v>
      </c>
      <c r="B559" t="s">
        <v>1130</v>
      </c>
      <c r="C559" t="s">
        <v>1853</v>
      </c>
      <c r="D559" t="s">
        <v>1854</v>
      </c>
      <c r="E559" s="490">
        <v>44883</v>
      </c>
    </row>
    <row r="560" spans="1:5">
      <c r="A560">
        <v>221107</v>
      </c>
      <c r="B560" t="s">
        <v>1255</v>
      </c>
      <c r="C560" t="s">
        <v>1855</v>
      </c>
      <c r="D560" t="s">
        <v>1856</v>
      </c>
      <c r="E560" s="490">
        <v>44886</v>
      </c>
    </row>
    <row r="561" spans="1:5">
      <c r="A561">
        <v>221108</v>
      </c>
      <c r="B561" t="s">
        <v>178</v>
      </c>
      <c r="C561" t="s">
        <v>1857</v>
      </c>
      <c r="D561" t="s">
        <v>1858</v>
      </c>
      <c r="E561" s="490">
        <v>44886</v>
      </c>
    </row>
    <row r="562" spans="1:5">
      <c r="A562">
        <v>221109</v>
      </c>
      <c r="B562" t="s">
        <v>1705</v>
      </c>
      <c r="C562" t="s">
        <v>1859</v>
      </c>
      <c r="D562" t="s">
        <v>1860</v>
      </c>
      <c r="E562" s="490">
        <v>44888</v>
      </c>
    </row>
    <row r="563" spans="1:5">
      <c r="A563">
        <v>221201</v>
      </c>
      <c r="B563" t="s">
        <v>1103</v>
      </c>
      <c r="C563" t="s">
        <v>1861</v>
      </c>
      <c r="D563" t="s">
        <v>1862</v>
      </c>
      <c r="E563" s="490">
        <v>44896</v>
      </c>
    </row>
    <row r="564" spans="1:5">
      <c r="A564">
        <v>221203</v>
      </c>
      <c r="B564" t="s">
        <v>76</v>
      </c>
      <c r="C564" t="s">
        <v>174</v>
      </c>
      <c r="D564" t="s">
        <v>175</v>
      </c>
      <c r="E564" s="490">
        <v>44896</v>
      </c>
    </row>
    <row r="565" spans="1:5">
      <c r="A565">
        <v>221204</v>
      </c>
      <c r="B565" t="s">
        <v>76</v>
      </c>
      <c r="C565" t="s">
        <v>617</v>
      </c>
      <c r="D565" t="s">
        <v>618</v>
      </c>
      <c r="E565" s="490">
        <v>44896</v>
      </c>
    </row>
    <row r="566" spans="1:5">
      <c r="A566">
        <v>221205</v>
      </c>
      <c r="B566" t="s">
        <v>76</v>
      </c>
      <c r="C566" t="s">
        <v>1863</v>
      </c>
      <c r="D566" t="s">
        <v>1864</v>
      </c>
      <c r="E566" s="490">
        <v>44896</v>
      </c>
    </row>
    <row r="567" spans="1:5">
      <c r="A567">
        <v>221206</v>
      </c>
      <c r="B567" t="s">
        <v>1096</v>
      </c>
      <c r="C567" t="s">
        <v>1865</v>
      </c>
      <c r="D567" t="s">
        <v>1866</v>
      </c>
      <c r="E567" s="490">
        <v>44896</v>
      </c>
    </row>
    <row r="568" spans="1:5">
      <c r="A568">
        <v>221202</v>
      </c>
      <c r="B568" t="s">
        <v>1103</v>
      </c>
      <c r="C568" t="s">
        <v>1867</v>
      </c>
      <c r="D568" t="s">
        <v>1868</v>
      </c>
      <c r="E568" s="490">
        <v>44896</v>
      </c>
    </row>
    <row r="569" spans="1:5">
      <c r="A569">
        <v>221208</v>
      </c>
      <c r="B569" t="s">
        <v>1130</v>
      </c>
      <c r="C569" t="s">
        <v>1869</v>
      </c>
      <c r="D569" t="s">
        <v>1870</v>
      </c>
      <c r="E569" s="490">
        <v>44903</v>
      </c>
    </row>
    <row r="570" spans="1:5">
      <c r="A570">
        <v>221207</v>
      </c>
      <c r="B570" t="s">
        <v>1130</v>
      </c>
      <c r="C570" t="s">
        <v>183</v>
      </c>
      <c r="D570" t="s">
        <v>184</v>
      </c>
      <c r="E570" s="490">
        <v>44903</v>
      </c>
    </row>
    <row r="571" spans="1:5">
      <c r="A571">
        <v>221210</v>
      </c>
      <c r="B571" t="s">
        <v>1103</v>
      </c>
      <c r="C571" t="s">
        <v>1871</v>
      </c>
      <c r="D571" t="s">
        <v>1872</v>
      </c>
      <c r="E571" s="490">
        <v>44907</v>
      </c>
    </row>
    <row r="572" spans="1:5">
      <c r="A572">
        <v>221212</v>
      </c>
      <c r="B572" t="s">
        <v>76</v>
      </c>
      <c r="C572" t="s">
        <v>188</v>
      </c>
      <c r="D572" t="s">
        <v>189</v>
      </c>
      <c r="E572" s="490">
        <v>44907</v>
      </c>
    </row>
    <row r="573" spans="1:5">
      <c r="A573">
        <v>221213</v>
      </c>
      <c r="B573" t="s">
        <v>76</v>
      </c>
      <c r="C573" t="s">
        <v>190</v>
      </c>
      <c r="D573" t="s">
        <v>191</v>
      </c>
      <c r="E573" s="490">
        <v>44907</v>
      </c>
    </row>
    <row r="574" spans="1:5">
      <c r="A574">
        <v>221214</v>
      </c>
      <c r="B574" t="s">
        <v>76</v>
      </c>
      <c r="C574" t="s">
        <v>1873</v>
      </c>
      <c r="D574" t="s">
        <v>1874</v>
      </c>
      <c r="E574" s="490">
        <v>44907</v>
      </c>
    </row>
    <row r="575" spans="1:5">
      <c r="A575">
        <v>221215</v>
      </c>
      <c r="B575" t="s">
        <v>76</v>
      </c>
      <c r="C575" t="s">
        <v>192</v>
      </c>
      <c r="D575" t="s">
        <v>193</v>
      </c>
      <c r="E575" s="490">
        <v>44907</v>
      </c>
    </row>
    <row r="576" spans="1:5">
      <c r="A576">
        <v>221216</v>
      </c>
      <c r="B576" t="s">
        <v>76</v>
      </c>
      <c r="C576" t="s">
        <v>194</v>
      </c>
      <c r="D576" t="s">
        <v>195</v>
      </c>
      <c r="E576" s="490">
        <v>44907</v>
      </c>
    </row>
    <row r="577" spans="1:5">
      <c r="A577">
        <v>221217</v>
      </c>
      <c r="B577" t="s">
        <v>1875</v>
      </c>
      <c r="C577" t="s">
        <v>1876</v>
      </c>
      <c r="D577" t="s">
        <v>1877</v>
      </c>
      <c r="E577" s="490">
        <v>44907</v>
      </c>
    </row>
    <row r="578" spans="1:5">
      <c r="A578">
        <v>221211</v>
      </c>
      <c r="B578" t="s">
        <v>1130</v>
      </c>
      <c r="C578" t="s">
        <v>185</v>
      </c>
      <c r="D578" t="s">
        <v>186</v>
      </c>
      <c r="E578" s="490">
        <v>44907</v>
      </c>
    </row>
    <row r="579" spans="1:5">
      <c r="A579">
        <v>221209</v>
      </c>
      <c r="B579" t="s">
        <v>1103</v>
      </c>
      <c r="C579" t="s">
        <v>181</v>
      </c>
      <c r="D579" t="s">
        <v>182</v>
      </c>
      <c r="E579" s="490">
        <v>44907</v>
      </c>
    </row>
    <row r="580" spans="1:5">
      <c r="A580">
        <v>221218</v>
      </c>
      <c r="B580" t="s">
        <v>1875</v>
      </c>
      <c r="C580" t="s">
        <v>1878</v>
      </c>
      <c r="D580" t="s">
        <v>1879</v>
      </c>
      <c r="E580" s="490">
        <v>44914</v>
      </c>
    </row>
    <row r="581" spans="1:5">
      <c r="A581">
        <v>230102</v>
      </c>
      <c r="B581" t="s">
        <v>1875</v>
      </c>
      <c r="C581" t="s">
        <v>1880</v>
      </c>
      <c r="D581" t="s">
        <v>1881</v>
      </c>
      <c r="E581" s="490">
        <v>44932</v>
      </c>
    </row>
    <row r="582" spans="1:5">
      <c r="A582">
        <v>230101</v>
      </c>
      <c r="B582" t="s">
        <v>1705</v>
      </c>
      <c r="C582" t="s">
        <v>217</v>
      </c>
      <c r="D582" t="s">
        <v>218</v>
      </c>
      <c r="E582" s="490">
        <v>44932</v>
      </c>
    </row>
    <row r="583" spans="1:5">
      <c r="A583">
        <v>230103</v>
      </c>
      <c r="B583" t="s">
        <v>212</v>
      </c>
      <c r="C583" t="s">
        <v>213</v>
      </c>
      <c r="D583" t="s">
        <v>214</v>
      </c>
      <c r="E583" s="490">
        <v>44935</v>
      </c>
    </row>
    <row r="584" spans="1:5">
      <c r="A584">
        <v>230104</v>
      </c>
      <c r="B584" t="s">
        <v>1079</v>
      </c>
      <c r="C584" t="s">
        <v>197</v>
      </c>
      <c r="D584" t="s">
        <v>198</v>
      </c>
      <c r="E584" s="490">
        <v>44939</v>
      </c>
    </row>
    <row r="585" spans="1:5">
      <c r="A585">
        <v>230105</v>
      </c>
      <c r="B585" t="s">
        <v>50</v>
      </c>
      <c r="C585" t="s">
        <v>1882</v>
      </c>
      <c r="D585" t="s">
        <v>1883</v>
      </c>
      <c r="E585" s="490">
        <v>44944</v>
      </c>
    </row>
    <row r="586" spans="1:5">
      <c r="A586">
        <v>230107</v>
      </c>
      <c r="B586" t="s">
        <v>178</v>
      </c>
      <c r="C586" t="s">
        <v>1884</v>
      </c>
      <c r="D586" t="s">
        <v>1885</v>
      </c>
      <c r="E586" s="490">
        <v>44945</v>
      </c>
    </row>
    <row r="587" spans="1:5">
      <c r="A587">
        <v>230108</v>
      </c>
      <c r="B587" t="s">
        <v>178</v>
      </c>
      <c r="C587" t="s">
        <v>203</v>
      </c>
      <c r="D587" t="s">
        <v>204</v>
      </c>
      <c r="E587" s="490">
        <v>44945</v>
      </c>
    </row>
    <row r="588" spans="1:5">
      <c r="A588">
        <v>230106</v>
      </c>
      <c r="B588" t="s">
        <v>1130</v>
      </c>
      <c r="C588" t="s">
        <v>201</v>
      </c>
      <c r="D588" t="s">
        <v>202</v>
      </c>
      <c r="E588" s="490">
        <v>44945</v>
      </c>
    </row>
    <row r="589" spans="1:5">
      <c r="A589" t="s">
        <v>2779</v>
      </c>
      <c r="B589" t="s">
        <v>829</v>
      </c>
      <c r="C589" t="s">
        <v>1970</v>
      </c>
      <c r="D589" t="s">
        <v>1971</v>
      </c>
      <c r="E589" s="490">
        <v>44945</v>
      </c>
    </row>
    <row r="590" spans="1:5">
      <c r="A590">
        <v>210612</v>
      </c>
      <c r="B590" t="s">
        <v>1198</v>
      </c>
      <c r="C590" t="s">
        <v>1324</v>
      </c>
      <c r="D590" t="s">
        <v>1325</v>
      </c>
      <c r="E590" s="490">
        <v>44949</v>
      </c>
    </row>
    <row r="591" spans="1:5">
      <c r="A591">
        <v>230109</v>
      </c>
      <c r="B591" t="s">
        <v>1079</v>
      </c>
      <c r="C591" t="s">
        <v>199</v>
      </c>
      <c r="D591" t="s">
        <v>200</v>
      </c>
      <c r="E591" s="490">
        <v>44949</v>
      </c>
    </row>
    <row r="592" spans="1:5">
      <c r="A592">
        <v>220413</v>
      </c>
      <c r="B592" t="s">
        <v>50</v>
      </c>
      <c r="C592" t="s">
        <v>51</v>
      </c>
      <c r="D592" t="s">
        <v>52</v>
      </c>
      <c r="E592" s="490">
        <v>44957</v>
      </c>
    </row>
    <row r="593" spans="1:5">
      <c r="A593">
        <v>230110</v>
      </c>
      <c r="B593" t="s">
        <v>211</v>
      </c>
      <c r="C593" t="s">
        <v>82</v>
      </c>
      <c r="D593" t="s">
        <v>1886</v>
      </c>
      <c r="E593" s="490">
        <v>44957</v>
      </c>
    </row>
    <row r="594" spans="1:5">
      <c r="A594">
        <v>230111</v>
      </c>
      <c r="B594" t="s">
        <v>211</v>
      </c>
      <c r="C594" t="s">
        <v>1887</v>
      </c>
      <c r="D594" t="s">
        <v>1888</v>
      </c>
      <c r="E594" s="490">
        <v>44957</v>
      </c>
    </row>
    <row r="595" spans="1:5">
      <c r="A595">
        <v>230112</v>
      </c>
      <c r="B595" t="s">
        <v>50</v>
      </c>
      <c r="C595" t="s">
        <v>1421</v>
      </c>
      <c r="D595" t="s">
        <v>1422</v>
      </c>
      <c r="E595" s="490">
        <v>44957</v>
      </c>
    </row>
    <row r="596" spans="1:5">
      <c r="A596">
        <v>220304</v>
      </c>
      <c r="B596" t="s">
        <v>1192</v>
      </c>
      <c r="C596" t="s">
        <v>1641</v>
      </c>
      <c r="D596" t="s">
        <v>1642</v>
      </c>
      <c r="E596" s="490">
        <v>44958</v>
      </c>
    </row>
    <row r="597" spans="1:5">
      <c r="A597">
        <v>230201</v>
      </c>
      <c r="B597" t="s">
        <v>178</v>
      </c>
      <c r="C597" t="s">
        <v>1889</v>
      </c>
      <c r="D597" t="s">
        <v>1890</v>
      </c>
      <c r="E597" s="490">
        <v>44959</v>
      </c>
    </row>
    <row r="598" spans="1:5">
      <c r="A598">
        <v>230202</v>
      </c>
      <c r="B598" t="s">
        <v>1875</v>
      </c>
      <c r="C598" t="s">
        <v>1891</v>
      </c>
      <c r="D598" t="s">
        <v>1892</v>
      </c>
      <c r="E598" s="490">
        <v>44959</v>
      </c>
    </row>
    <row r="599" spans="1:5">
      <c r="A599">
        <v>230203</v>
      </c>
      <c r="B599" t="s">
        <v>1875</v>
      </c>
      <c r="C599" t="s">
        <v>215</v>
      </c>
      <c r="D599" t="s">
        <v>216</v>
      </c>
      <c r="E599" s="490">
        <v>44959</v>
      </c>
    </row>
    <row r="600" spans="1:5">
      <c r="A600">
        <v>230204</v>
      </c>
      <c r="B600" t="s">
        <v>1875</v>
      </c>
      <c r="C600" t="s">
        <v>1893</v>
      </c>
      <c r="D600" t="s">
        <v>1894</v>
      </c>
      <c r="E600" s="490">
        <v>44959</v>
      </c>
    </row>
    <row r="601" spans="1:5">
      <c r="A601">
        <v>220108</v>
      </c>
      <c r="B601" t="s">
        <v>239</v>
      </c>
      <c r="C601" t="s">
        <v>1559</v>
      </c>
      <c r="D601" t="s">
        <v>1560</v>
      </c>
      <c r="E601" s="490">
        <v>44970</v>
      </c>
    </row>
    <row r="602" spans="1:5">
      <c r="A602">
        <v>230205</v>
      </c>
      <c r="B602" t="s">
        <v>1079</v>
      </c>
      <c r="C602" t="s">
        <v>221</v>
      </c>
      <c r="D602" t="s">
        <v>222</v>
      </c>
      <c r="E602" s="490">
        <v>44970</v>
      </c>
    </row>
    <row r="603" spans="1:5">
      <c r="A603" t="s">
        <v>2780</v>
      </c>
      <c r="B603" t="s">
        <v>124</v>
      </c>
      <c r="C603" t="s">
        <v>2411</v>
      </c>
      <c r="D603" t="s">
        <v>2412</v>
      </c>
      <c r="E603" s="490">
        <v>44977</v>
      </c>
    </row>
    <row r="604" spans="1:5">
      <c r="A604" t="s">
        <v>2781</v>
      </c>
      <c r="B604" t="s">
        <v>124</v>
      </c>
      <c r="C604" t="s">
        <v>2413</v>
      </c>
      <c r="D604" t="s">
        <v>249</v>
      </c>
      <c r="E604" s="490">
        <v>44977</v>
      </c>
    </row>
    <row r="605" spans="1:5">
      <c r="A605">
        <v>230206</v>
      </c>
      <c r="B605" t="s">
        <v>1079</v>
      </c>
      <c r="C605" t="s">
        <v>1895</v>
      </c>
      <c r="D605" t="s">
        <v>1896</v>
      </c>
      <c r="E605" s="490">
        <v>44978</v>
      </c>
    </row>
    <row r="606" spans="1:5">
      <c r="A606">
        <v>230213</v>
      </c>
      <c r="B606" t="s">
        <v>178</v>
      </c>
      <c r="C606" t="s">
        <v>224</v>
      </c>
      <c r="D606" t="s">
        <v>225</v>
      </c>
      <c r="E606" s="490">
        <v>44979</v>
      </c>
    </row>
    <row r="607" spans="1:5">
      <c r="A607">
        <v>230207</v>
      </c>
      <c r="B607" t="s">
        <v>50</v>
      </c>
      <c r="C607" t="s">
        <v>1897</v>
      </c>
      <c r="D607" t="s">
        <v>1898</v>
      </c>
      <c r="E607" s="490">
        <v>44979</v>
      </c>
    </row>
    <row r="608" spans="1:5">
      <c r="A608">
        <v>230208</v>
      </c>
      <c r="B608" t="s">
        <v>50</v>
      </c>
      <c r="C608" t="s">
        <v>1899</v>
      </c>
      <c r="D608" t="s">
        <v>1900</v>
      </c>
      <c r="E608" s="490">
        <v>44979</v>
      </c>
    </row>
    <row r="609" spans="1:5">
      <c r="A609">
        <v>230209</v>
      </c>
      <c r="B609" t="s">
        <v>50</v>
      </c>
      <c r="C609" t="s">
        <v>244</v>
      </c>
      <c r="D609" t="s">
        <v>245</v>
      </c>
      <c r="E609" s="490">
        <v>44979</v>
      </c>
    </row>
    <row r="610" spans="1:5">
      <c r="A610">
        <v>230210</v>
      </c>
      <c r="B610" t="s">
        <v>50</v>
      </c>
      <c r="C610" t="s">
        <v>1901</v>
      </c>
      <c r="D610" t="s">
        <v>1902</v>
      </c>
      <c r="E610" s="490">
        <v>44979</v>
      </c>
    </row>
    <row r="611" spans="1:5">
      <c r="A611">
        <v>230211</v>
      </c>
      <c r="B611" t="s">
        <v>50</v>
      </c>
      <c r="C611" t="s">
        <v>247</v>
      </c>
      <c r="D611" t="s">
        <v>248</v>
      </c>
      <c r="E611" s="490">
        <v>44979</v>
      </c>
    </row>
    <row r="612" spans="1:5">
      <c r="A612">
        <v>230212</v>
      </c>
      <c r="B612" t="s">
        <v>178</v>
      </c>
      <c r="C612" t="s">
        <v>223</v>
      </c>
      <c r="D612" t="s">
        <v>1903</v>
      </c>
      <c r="E612" s="490">
        <v>44979</v>
      </c>
    </row>
    <row r="613" spans="1:5">
      <c r="A613">
        <v>230214</v>
      </c>
      <c r="B613" t="s">
        <v>178</v>
      </c>
      <c r="C613" t="s">
        <v>226</v>
      </c>
      <c r="D613" t="s">
        <v>1904</v>
      </c>
      <c r="E613" s="490">
        <v>44979</v>
      </c>
    </row>
    <row r="614" spans="1:5">
      <c r="A614">
        <v>230215</v>
      </c>
      <c r="B614" t="s">
        <v>178</v>
      </c>
      <c r="C614" t="s">
        <v>227</v>
      </c>
      <c r="D614" t="s">
        <v>228</v>
      </c>
      <c r="E614" s="490">
        <v>44979</v>
      </c>
    </row>
    <row r="615" spans="1:5">
      <c r="A615">
        <v>230216</v>
      </c>
      <c r="B615" t="s">
        <v>178</v>
      </c>
      <c r="C615" t="s">
        <v>229</v>
      </c>
      <c r="D615" t="s">
        <v>230</v>
      </c>
      <c r="E615" s="490">
        <v>44979</v>
      </c>
    </row>
    <row r="616" spans="1:5">
      <c r="A616">
        <v>200803</v>
      </c>
      <c r="B616" t="s">
        <v>1192</v>
      </c>
      <c r="C616" t="s">
        <v>1086</v>
      </c>
      <c r="D616" t="s">
        <v>1087</v>
      </c>
      <c r="E616" s="490">
        <v>44984</v>
      </c>
    </row>
    <row r="617" spans="1:5">
      <c r="A617">
        <v>230218</v>
      </c>
      <c r="B617" t="s">
        <v>1116</v>
      </c>
      <c r="C617" t="s">
        <v>1907</v>
      </c>
      <c r="D617" t="s">
        <v>1908</v>
      </c>
      <c r="E617" s="490">
        <v>44984</v>
      </c>
    </row>
    <row r="618" spans="1:5">
      <c r="A618">
        <v>230219</v>
      </c>
      <c r="B618" t="s">
        <v>1705</v>
      </c>
      <c r="C618" t="s">
        <v>1909</v>
      </c>
      <c r="D618" t="s">
        <v>1910</v>
      </c>
      <c r="E618" s="490">
        <v>44984</v>
      </c>
    </row>
    <row r="619" spans="1:5">
      <c r="A619">
        <v>230217</v>
      </c>
      <c r="B619" t="s">
        <v>239</v>
      </c>
      <c r="C619" t="s">
        <v>1905</v>
      </c>
      <c r="D619" t="s">
        <v>1906</v>
      </c>
      <c r="E619" s="490">
        <v>44984</v>
      </c>
    </row>
    <row r="620" spans="1:5">
      <c r="A620">
        <v>230220</v>
      </c>
      <c r="B620" t="s">
        <v>1103</v>
      </c>
      <c r="C620" t="s">
        <v>1911</v>
      </c>
      <c r="D620" t="s">
        <v>1912</v>
      </c>
      <c r="E620" s="490">
        <v>44985</v>
      </c>
    </row>
    <row r="621" spans="1:5">
      <c r="A621">
        <v>230221</v>
      </c>
      <c r="B621" t="s">
        <v>211</v>
      </c>
      <c r="C621" t="s">
        <v>1913</v>
      </c>
      <c r="D621" t="s">
        <v>1914</v>
      </c>
      <c r="E621" s="490">
        <v>44985</v>
      </c>
    </row>
    <row r="622" spans="1:5">
      <c r="A622">
        <v>230303</v>
      </c>
      <c r="B622" t="s">
        <v>178</v>
      </c>
      <c r="C622" t="s">
        <v>1915</v>
      </c>
      <c r="D622" t="s">
        <v>1916</v>
      </c>
      <c r="E622" s="490">
        <v>44986</v>
      </c>
    </row>
    <row r="623" spans="1:5">
      <c r="A623">
        <v>230305</v>
      </c>
      <c r="B623" t="s">
        <v>178</v>
      </c>
      <c r="C623" t="s">
        <v>1917</v>
      </c>
      <c r="D623" t="s">
        <v>1918</v>
      </c>
      <c r="E623" s="490">
        <v>44986</v>
      </c>
    </row>
    <row r="624" spans="1:5">
      <c r="A624">
        <v>220303</v>
      </c>
      <c r="B624" t="s">
        <v>1116</v>
      </c>
      <c r="C624" t="s">
        <v>392</v>
      </c>
      <c r="D624" t="s">
        <v>393</v>
      </c>
      <c r="E624" s="490">
        <v>44986</v>
      </c>
    </row>
    <row r="625" spans="1:5">
      <c r="A625">
        <v>220315</v>
      </c>
      <c r="B625" t="s">
        <v>1192</v>
      </c>
      <c r="C625" t="s">
        <v>1654</v>
      </c>
      <c r="D625" t="s">
        <v>1655</v>
      </c>
      <c r="E625" s="490">
        <v>44986</v>
      </c>
    </row>
    <row r="626" spans="1:5">
      <c r="A626">
        <v>230301</v>
      </c>
      <c r="B626" t="s">
        <v>206</v>
      </c>
      <c r="C626" t="s">
        <v>236</v>
      </c>
      <c r="D626" t="s">
        <v>237</v>
      </c>
      <c r="E626" s="490">
        <v>44986</v>
      </c>
    </row>
    <row r="627" spans="1:5">
      <c r="A627">
        <v>230304</v>
      </c>
      <c r="B627" t="s">
        <v>178</v>
      </c>
      <c r="C627" t="s">
        <v>232</v>
      </c>
      <c r="D627" t="s">
        <v>233</v>
      </c>
      <c r="E627" s="490">
        <v>44986</v>
      </c>
    </row>
    <row r="628" spans="1:5">
      <c r="A628">
        <v>230306</v>
      </c>
      <c r="B628" t="s">
        <v>178</v>
      </c>
      <c r="C628" t="s">
        <v>234</v>
      </c>
      <c r="D628" t="s">
        <v>235</v>
      </c>
      <c r="E628" s="490">
        <v>44986</v>
      </c>
    </row>
    <row r="629" spans="1:5">
      <c r="A629">
        <v>230307</v>
      </c>
      <c r="B629" t="s">
        <v>178</v>
      </c>
      <c r="C629" t="s">
        <v>1800</v>
      </c>
      <c r="D629" t="s">
        <v>1801</v>
      </c>
      <c r="E629" s="490">
        <v>44986</v>
      </c>
    </row>
    <row r="630" spans="1:5">
      <c r="A630">
        <v>230302</v>
      </c>
      <c r="B630" t="s">
        <v>1116</v>
      </c>
      <c r="C630" t="s">
        <v>295</v>
      </c>
      <c r="D630" t="s">
        <v>296</v>
      </c>
      <c r="E630" s="490">
        <v>44986</v>
      </c>
    </row>
    <row r="631" spans="1:5">
      <c r="A631">
        <v>210404</v>
      </c>
      <c r="B631" t="s">
        <v>1192</v>
      </c>
      <c r="C631" t="s">
        <v>240</v>
      </c>
      <c r="D631" t="s">
        <v>241</v>
      </c>
      <c r="E631" s="490">
        <v>44991</v>
      </c>
    </row>
    <row r="632" spans="1:5">
      <c r="A632">
        <v>230308</v>
      </c>
      <c r="B632" t="s">
        <v>1116</v>
      </c>
      <c r="C632" t="s">
        <v>1919</v>
      </c>
      <c r="D632" t="s">
        <v>1920</v>
      </c>
      <c r="E632" s="490">
        <v>44993</v>
      </c>
    </row>
    <row r="633" spans="1:5">
      <c r="A633">
        <v>230310</v>
      </c>
      <c r="B633" t="s">
        <v>1192</v>
      </c>
      <c r="C633" t="s">
        <v>1923</v>
      </c>
      <c r="D633" t="s">
        <v>1924</v>
      </c>
      <c r="E633" s="490">
        <v>44993</v>
      </c>
    </row>
    <row r="634" spans="1:5">
      <c r="A634">
        <v>230309</v>
      </c>
      <c r="B634" t="s">
        <v>1192</v>
      </c>
      <c r="C634" t="s">
        <v>1921</v>
      </c>
      <c r="D634" t="s">
        <v>1922</v>
      </c>
      <c r="E634" s="490">
        <v>44993</v>
      </c>
    </row>
    <row r="635" spans="1:5">
      <c r="A635">
        <v>230311</v>
      </c>
      <c r="B635" t="s">
        <v>1518</v>
      </c>
      <c r="C635" t="s">
        <v>1925</v>
      </c>
      <c r="D635" t="s">
        <v>1926</v>
      </c>
      <c r="E635" s="490">
        <v>44994</v>
      </c>
    </row>
    <row r="636" spans="1:5">
      <c r="A636">
        <v>230312</v>
      </c>
      <c r="B636" t="s">
        <v>1593</v>
      </c>
      <c r="C636" t="s">
        <v>1927</v>
      </c>
      <c r="D636" t="s">
        <v>1928</v>
      </c>
      <c r="E636" s="490">
        <v>44995</v>
      </c>
    </row>
    <row r="637" spans="1:5">
      <c r="A637">
        <v>230313</v>
      </c>
      <c r="B637" t="s">
        <v>1116</v>
      </c>
      <c r="C637" t="s">
        <v>1929</v>
      </c>
      <c r="D637" t="s">
        <v>1930</v>
      </c>
      <c r="E637" s="490">
        <v>44998</v>
      </c>
    </row>
    <row r="638" spans="1:5">
      <c r="A638">
        <v>230314</v>
      </c>
      <c r="B638" t="s">
        <v>50</v>
      </c>
      <c r="C638" t="s">
        <v>1931</v>
      </c>
      <c r="D638" t="s">
        <v>1932</v>
      </c>
      <c r="E638" s="490">
        <v>44999</v>
      </c>
    </row>
    <row r="639" spans="1:5">
      <c r="A639">
        <v>220117</v>
      </c>
      <c r="B639" t="s">
        <v>239</v>
      </c>
      <c r="C639" t="s">
        <v>1573</v>
      </c>
      <c r="D639" t="s">
        <v>1574</v>
      </c>
      <c r="E639" s="490">
        <v>45005</v>
      </c>
    </row>
    <row r="640" spans="1:5">
      <c r="A640">
        <v>230315</v>
      </c>
      <c r="B640" t="s">
        <v>1705</v>
      </c>
      <c r="C640" t="s">
        <v>1933</v>
      </c>
      <c r="D640" t="s">
        <v>1934</v>
      </c>
      <c r="E640" s="490">
        <v>45007</v>
      </c>
    </row>
    <row r="641" spans="1:5">
      <c r="A641">
        <v>230316</v>
      </c>
      <c r="B641" t="s">
        <v>50</v>
      </c>
      <c r="C641" t="s">
        <v>261</v>
      </c>
      <c r="D641" t="s">
        <v>262</v>
      </c>
      <c r="E641" s="490">
        <v>45007</v>
      </c>
    </row>
    <row r="642" spans="1:5">
      <c r="A642">
        <v>230317</v>
      </c>
      <c r="B642" t="s">
        <v>206</v>
      </c>
      <c r="C642" t="s">
        <v>1935</v>
      </c>
      <c r="D642" t="s">
        <v>1647</v>
      </c>
      <c r="E642" s="490">
        <v>45012</v>
      </c>
    </row>
    <row r="643" spans="1:5">
      <c r="A643">
        <v>230319</v>
      </c>
      <c r="B643" t="s">
        <v>1130</v>
      </c>
      <c r="C643" t="s">
        <v>1936</v>
      </c>
      <c r="D643" t="s">
        <v>1937</v>
      </c>
      <c r="E643" s="490">
        <v>45012</v>
      </c>
    </row>
    <row r="644" spans="1:5">
      <c r="A644">
        <v>230318</v>
      </c>
      <c r="B644" t="s">
        <v>1130</v>
      </c>
      <c r="C644" t="s">
        <v>302</v>
      </c>
      <c r="D644" t="s">
        <v>303</v>
      </c>
      <c r="E644" s="490">
        <v>45012</v>
      </c>
    </row>
    <row r="645" spans="1:5">
      <c r="A645">
        <v>230320</v>
      </c>
      <c r="B645" t="s">
        <v>178</v>
      </c>
      <c r="C645" t="s">
        <v>255</v>
      </c>
      <c r="D645" t="s">
        <v>256</v>
      </c>
      <c r="E645" s="490">
        <v>45013</v>
      </c>
    </row>
    <row r="646" spans="1:5">
      <c r="A646">
        <v>230321</v>
      </c>
      <c r="B646" t="s">
        <v>178</v>
      </c>
      <c r="C646" t="s">
        <v>257</v>
      </c>
      <c r="D646" t="s">
        <v>258</v>
      </c>
      <c r="E646" s="490">
        <v>45013</v>
      </c>
    </row>
    <row r="647" spans="1:5">
      <c r="A647">
        <v>230322</v>
      </c>
      <c r="B647" t="s">
        <v>178</v>
      </c>
      <c r="C647" t="s">
        <v>259</v>
      </c>
      <c r="D647" t="s">
        <v>260</v>
      </c>
      <c r="E647" s="490">
        <v>45013</v>
      </c>
    </row>
    <row r="648" spans="1:5">
      <c r="A648">
        <v>230325</v>
      </c>
      <c r="B648" t="s">
        <v>178</v>
      </c>
      <c r="C648" t="s">
        <v>253</v>
      </c>
      <c r="D648" t="s">
        <v>254</v>
      </c>
      <c r="E648" s="490">
        <v>45013</v>
      </c>
    </row>
    <row r="649" spans="1:5">
      <c r="A649">
        <v>230323</v>
      </c>
      <c r="B649" t="s">
        <v>178</v>
      </c>
      <c r="C649" t="s">
        <v>1938</v>
      </c>
      <c r="D649" t="s">
        <v>1939</v>
      </c>
      <c r="E649" s="490">
        <v>45013</v>
      </c>
    </row>
    <row r="650" spans="1:5">
      <c r="A650">
        <v>230324</v>
      </c>
      <c r="B650" t="s">
        <v>178</v>
      </c>
      <c r="C650" t="s">
        <v>1940</v>
      </c>
      <c r="D650" t="s">
        <v>1941</v>
      </c>
      <c r="E650" s="490">
        <v>45013</v>
      </c>
    </row>
    <row r="651" spans="1:5">
      <c r="A651">
        <v>230326</v>
      </c>
      <c r="B651" t="s">
        <v>76</v>
      </c>
      <c r="C651" t="s">
        <v>915</v>
      </c>
      <c r="D651" t="s">
        <v>916</v>
      </c>
      <c r="E651" s="490">
        <v>45014</v>
      </c>
    </row>
    <row r="652" spans="1:5">
      <c r="A652">
        <v>230401</v>
      </c>
      <c r="B652" t="s">
        <v>1192</v>
      </c>
      <c r="C652" t="s">
        <v>1942</v>
      </c>
      <c r="D652" t="s">
        <v>1943</v>
      </c>
      <c r="E652" s="490">
        <v>45026</v>
      </c>
    </row>
    <row r="653" spans="1:5">
      <c r="A653">
        <v>230402</v>
      </c>
      <c r="B653" t="s">
        <v>76</v>
      </c>
      <c r="C653" t="s">
        <v>1400</v>
      </c>
      <c r="D653" t="s">
        <v>1944</v>
      </c>
      <c r="E653" s="490">
        <v>45026</v>
      </c>
    </row>
    <row r="654" spans="1:5">
      <c r="A654">
        <v>230403</v>
      </c>
      <c r="B654" t="s">
        <v>1705</v>
      </c>
      <c r="C654" t="s">
        <v>283</v>
      </c>
      <c r="D654" t="s">
        <v>284</v>
      </c>
      <c r="E654" s="490">
        <v>45026</v>
      </c>
    </row>
    <row r="655" spans="1:5">
      <c r="A655">
        <v>230404</v>
      </c>
      <c r="B655" t="s">
        <v>1705</v>
      </c>
      <c r="C655" t="s">
        <v>1945</v>
      </c>
      <c r="D655" t="s">
        <v>1946</v>
      </c>
      <c r="E655" s="490">
        <v>45026</v>
      </c>
    </row>
    <row r="656" spans="1:5">
      <c r="A656" t="s">
        <v>2782</v>
      </c>
      <c r="B656" t="s">
        <v>124</v>
      </c>
      <c r="C656" t="s">
        <v>269</v>
      </c>
      <c r="D656" t="s">
        <v>270</v>
      </c>
      <c r="E656" s="490">
        <v>45033</v>
      </c>
    </row>
    <row r="657" spans="1:5">
      <c r="A657" t="s">
        <v>2783</v>
      </c>
      <c r="B657" t="s">
        <v>124</v>
      </c>
      <c r="C657" t="s">
        <v>271</v>
      </c>
      <c r="D657" t="s">
        <v>272</v>
      </c>
      <c r="E657" s="490">
        <v>45033</v>
      </c>
    </row>
    <row r="658" spans="1:5">
      <c r="A658" t="s">
        <v>2784</v>
      </c>
      <c r="B658" t="s">
        <v>124</v>
      </c>
      <c r="C658" t="s">
        <v>276</v>
      </c>
      <c r="D658" t="s">
        <v>277</v>
      </c>
      <c r="E658" s="490">
        <v>45033</v>
      </c>
    </row>
    <row r="659" spans="1:5">
      <c r="A659" t="s">
        <v>2785</v>
      </c>
      <c r="B659" t="s">
        <v>124</v>
      </c>
      <c r="C659" t="s">
        <v>278</v>
      </c>
      <c r="D659" t="s">
        <v>279</v>
      </c>
      <c r="E659" s="490">
        <v>45033</v>
      </c>
    </row>
    <row r="660" spans="1:5">
      <c r="A660" t="s">
        <v>2786</v>
      </c>
      <c r="B660" t="s">
        <v>124</v>
      </c>
      <c r="C660" t="s">
        <v>273</v>
      </c>
      <c r="D660" t="s">
        <v>274</v>
      </c>
      <c r="E660" s="490">
        <v>45033</v>
      </c>
    </row>
    <row r="661" spans="1:5">
      <c r="A661" t="s">
        <v>2787</v>
      </c>
      <c r="B661" t="s">
        <v>124</v>
      </c>
      <c r="C661" t="s">
        <v>280</v>
      </c>
      <c r="D661" t="s">
        <v>281</v>
      </c>
      <c r="E661" s="490">
        <v>45033</v>
      </c>
    </row>
    <row r="662" spans="1:5">
      <c r="A662">
        <v>230405</v>
      </c>
      <c r="B662" t="s">
        <v>264</v>
      </c>
      <c r="C662" t="s">
        <v>265</v>
      </c>
      <c r="D662" t="s">
        <v>266</v>
      </c>
      <c r="E662" s="490">
        <v>45034</v>
      </c>
    </row>
    <row r="663" spans="1:5">
      <c r="A663">
        <v>230406</v>
      </c>
      <c r="B663" t="s">
        <v>264</v>
      </c>
      <c r="C663" t="s">
        <v>1947</v>
      </c>
      <c r="D663" t="s">
        <v>1948</v>
      </c>
      <c r="E663" s="490">
        <v>45040</v>
      </c>
    </row>
    <row r="664" spans="1:5">
      <c r="A664">
        <v>230407</v>
      </c>
      <c r="B664" t="s">
        <v>76</v>
      </c>
      <c r="C664" t="s">
        <v>1949</v>
      </c>
      <c r="D664" t="s">
        <v>1950</v>
      </c>
      <c r="E664" s="490">
        <v>45040</v>
      </c>
    </row>
    <row r="665" spans="1:5">
      <c r="A665">
        <v>230408</v>
      </c>
      <c r="B665" t="s">
        <v>264</v>
      </c>
      <c r="C665" t="s">
        <v>1951</v>
      </c>
      <c r="D665" t="s">
        <v>1952</v>
      </c>
      <c r="E665" s="490">
        <v>45043</v>
      </c>
    </row>
    <row r="666" spans="1:5">
      <c r="A666">
        <v>230501</v>
      </c>
      <c r="B666" t="s">
        <v>212</v>
      </c>
      <c r="C666" t="s">
        <v>1953</v>
      </c>
      <c r="D666" t="s">
        <v>1954</v>
      </c>
      <c r="E666" s="490">
        <v>45056</v>
      </c>
    </row>
    <row r="667" spans="1:5">
      <c r="A667">
        <v>230502</v>
      </c>
      <c r="B667" t="s">
        <v>1130</v>
      </c>
      <c r="C667" t="s">
        <v>1955</v>
      </c>
      <c r="D667" t="s">
        <v>1956</v>
      </c>
      <c r="E667" s="490">
        <v>45061</v>
      </c>
    </row>
    <row r="668" spans="1:5">
      <c r="A668">
        <v>230506</v>
      </c>
      <c r="B668" t="s">
        <v>178</v>
      </c>
      <c r="C668" t="s">
        <v>1957</v>
      </c>
      <c r="D668" t="s">
        <v>1958</v>
      </c>
      <c r="E668" s="490">
        <v>45061</v>
      </c>
    </row>
    <row r="669" spans="1:5">
      <c r="A669">
        <v>230503</v>
      </c>
      <c r="B669" t="s">
        <v>1130</v>
      </c>
      <c r="C669" t="s">
        <v>293</v>
      </c>
      <c r="D669" t="s">
        <v>294</v>
      </c>
      <c r="E669" s="490">
        <v>45061</v>
      </c>
    </row>
    <row r="670" spans="1:5">
      <c r="A670">
        <v>230504</v>
      </c>
      <c r="B670" t="s">
        <v>1130</v>
      </c>
      <c r="C670" t="s">
        <v>291</v>
      </c>
      <c r="D670" t="s">
        <v>292</v>
      </c>
      <c r="E670" s="490">
        <v>45061</v>
      </c>
    </row>
    <row r="671" spans="1:5">
      <c r="A671">
        <v>230505</v>
      </c>
      <c r="B671" t="s">
        <v>1103</v>
      </c>
      <c r="C671" t="s">
        <v>289</v>
      </c>
      <c r="D671" t="s">
        <v>290</v>
      </c>
      <c r="E671" s="490">
        <v>45061</v>
      </c>
    </row>
    <row r="672" spans="1:5">
      <c r="A672">
        <v>210107</v>
      </c>
      <c r="B672" t="s">
        <v>1116</v>
      </c>
      <c r="C672" t="s">
        <v>1147</v>
      </c>
      <c r="D672" t="s">
        <v>1148</v>
      </c>
      <c r="E672" s="490">
        <v>45064</v>
      </c>
    </row>
    <row r="673" spans="1:5">
      <c r="A673">
        <v>230507</v>
      </c>
      <c r="B673" t="s">
        <v>76</v>
      </c>
      <c r="C673" t="s">
        <v>297</v>
      </c>
      <c r="D673" t="s">
        <v>298</v>
      </c>
      <c r="E673" s="490">
        <v>45068</v>
      </c>
    </row>
    <row r="674" spans="1:5">
      <c r="A674">
        <v>230508</v>
      </c>
      <c r="B674" t="s">
        <v>76</v>
      </c>
      <c r="C674" t="s">
        <v>299</v>
      </c>
      <c r="D674" t="s">
        <v>300</v>
      </c>
      <c r="E674" s="490">
        <v>45068</v>
      </c>
    </row>
    <row r="675" spans="1:5">
      <c r="A675">
        <v>230509</v>
      </c>
      <c r="B675" t="s">
        <v>76</v>
      </c>
      <c r="C675" t="s">
        <v>1959</v>
      </c>
      <c r="D675" t="s">
        <v>1960</v>
      </c>
      <c r="E675" s="490">
        <v>45068</v>
      </c>
    </row>
    <row r="676" spans="1:5">
      <c r="A676">
        <v>230510</v>
      </c>
      <c r="B676" t="s">
        <v>76</v>
      </c>
      <c r="C676" t="s">
        <v>1961</v>
      </c>
      <c r="D676" t="s">
        <v>1962</v>
      </c>
      <c r="E676" s="490">
        <v>45068</v>
      </c>
    </row>
    <row r="677" spans="1:5">
      <c r="A677">
        <v>230601</v>
      </c>
      <c r="B677" t="s">
        <v>1116</v>
      </c>
      <c r="C677" t="s">
        <v>1963</v>
      </c>
      <c r="D677" t="s">
        <v>1964</v>
      </c>
      <c r="E677" s="490">
        <v>45078</v>
      </c>
    </row>
    <row r="678" spans="1:5">
      <c r="A678">
        <v>230602</v>
      </c>
      <c r="B678" t="s">
        <v>1875</v>
      </c>
      <c r="C678" t="s">
        <v>1965</v>
      </c>
      <c r="D678" t="s">
        <v>309</v>
      </c>
      <c r="E678" s="490">
        <v>45082</v>
      </c>
    </row>
    <row r="679" spans="1:5">
      <c r="A679">
        <v>230603</v>
      </c>
      <c r="B679" t="s">
        <v>1192</v>
      </c>
      <c r="C679" t="s">
        <v>305</v>
      </c>
      <c r="D679" t="s">
        <v>306</v>
      </c>
      <c r="E679" s="490">
        <v>45089</v>
      </c>
    </row>
    <row r="680" spans="1:5">
      <c r="A680">
        <v>220208</v>
      </c>
      <c r="B680" t="s">
        <v>1079</v>
      </c>
      <c r="C680" t="s">
        <v>1616</v>
      </c>
      <c r="D680" t="s">
        <v>1617</v>
      </c>
      <c r="E680" s="490">
        <v>45093</v>
      </c>
    </row>
    <row r="681" spans="1:5">
      <c r="A681">
        <v>230604</v>
      </c>
      <c r="B681" t="s">
        <v>178</v>
      </c>
      <c r="C681" t="s">
        <v>310</v>
      </c>
      <c r="D681" t="s">
        <v>311</v>
      </c>
      <c r="E681" s="490">
        <v>45093</v>
      </c>
    </row>
    <row r="682" spans="1:5">
      <c r="A682">
        <v>230608</v>
      </c>
      <c r="B682" t="s">
        <v>178</v>
      </c>
      <c r="C682" t="s">
        <v>319</v>
      </c>
      <c r="D682" t="s">
        <v>320</v>
      </c>
      <c r="E682" s="490">
        <v>45093</v>
      </c>
    </row>
    <row r="683" spans="1:5">
      <c r="A683">
        <v>230611</v>
      </c>
      <c r="B683" t="s">
        <v>178</v>
      </c>
      <c r="C683" t="s">
        <v>35</v>
      </c>
      <c r="D683" t="s">
        <v>70</v>
      </c>
      <c r="E683" s="490">
        <v>45093</v>
      </c>
    </row>
    <row r="684" spans="1:5">
      <c r="A684">
        <v>230605</v>
      </c>
      <c r="B684" t="s">
        <v>178</v>
      </c>
      <c r="C684" t="s">
        <v>312</v>
      </c>
      <c r="D684" t="s">
        <v>313</v>
      </c>
      <c r="E684" s="490">
        <v>45093</v>
      </c>
    </row>
    <row r="685" spans="1:5">
      <c r="A685">
        <v>230606</v>
      </c>
      <c r="B685" t="s">
        <v>178</v>
      </c>
      <c r="C685" t="s">
        <v>1966</v>
      </c>
      <c r="D685" t="s">
        <v>1967</v>
      </c>
      <c r="E685" s="490">
        <v>45093</v>
      </c>
    </row>
    <row r="686" spans="1:5">
      <c r="A686">
        <v>230607</v>
      </c>
      <c r="B686" t="s">
        <v>178</v>
      </c>
      <c r="C686" t="s">
        <v>314</v>
      </c>
      <c r="D686" t="s">
        <v>315</v>
      </c>
      <c r="E686" s="490">
        <v>45093</v>
      </c>
    </row>
    <row r="687" spans="1:5">
      <c r="A687">
        <v>230609</v>
      </c>
      <c r="B687" t="s">
        <v>178</v>
      </c>
      <c r="C687" t="s">
        <v>1968</v>
      </c>
      <c r="D687" t="s">
        <v>1969</v>
      </c>
      <c r="E687" s="490">
        <v>45093</v>
      </c>
    </row>
    <row r="688" spans="1:5">
      <c r="A688">
        <v>230610</v>
      </c>
      <c r="B688" t="s">
        <v>178</v>
      </c>
      <c r="C688" t="s">
        <v>316</v>
      </c>
      <c r="D688" t="s">
        <v>317</v>
      </c>
      <c r="E688" s="490">
        <v>45093</v>
      </c>
    </row>
    <row r="689" spans="1:5">
      <c r="A689">
        <v>210609</v>
      </c>
      <c r="B689" t="s">
        <v>1192</v>
      </c>
      <c r="C689" t="s">
        <v>1321</v>
      </c>
      <c r="D689" t="s">
        <v>1174</v>
      </c>
      <c r="E689" s="490">
        <v>45103</v>
      </c>
    </row>
    <row r="690" spans="1:5">
      <c r="A690">
        <v>230612</v>
      </c>
      <c r="B690" t="s">
        <v>1130</v>
      </c>
      <c r="C690" t="s">
        <v>1970</v>
      </c>
      <c r="D690" t="s">
        <v>1971</v>
      </c>
      <c r="E690" s="490">
        <v>45103</v>
      </c>
    </row>
    <row r="691" spans="1:5">
      <c r="A691">
        <v>230613</v>
      </c>
      <c r="B691" t="s">
        <v>1130</v>
      </c>
      <c r="C691" t="s">
        <v>157</v>
      </c>
      <c r="D691" t="s">
        <v>158</v>
      </c>
      <c r="E691" s="490">
        <v>45103</v>
      </c>
    </row>
    <row r="692" spans="1:5">
      <c r="A692">
        <v>230701</v>
      </c>
      <c r="B692" t="s">
        <v>212</v>
      </c>
      <c r="C692" t="s">
        <v>307</v>
      </c>
      <c r="D692" t="s">
        <v>308</v>
      </c>
      <c r="E692" s="490">
        <v>45110</v>
      </c>
    </row>
    <row r="693" spans="1:5">
      <c r="A693">
        <v>230702</v>
      </c>
      <c r="B693" t="s">
        <v>1192</v>
      </c>
      <c r="C693" t="s">
        <v>1972</v>
      </c>
      <c r="D693" t="s">
        <v>1973</v>
      </c>
      <c r="E693" s="490">
        <v>45110</v>
      </c>
    </row>
    <row r="694" spans="1:5">
      <c r="A694">
        <v>230703</v>
      </c>
      <c r="B694" t="s">
        <v>239</v>
      </c>
      <c r="C694" t="s">
        <v>1974</v>
      </c>
      <c r="D694" t="s">
        <v>1975</v>
      </c>
      <c r="E694" s="490">
        <v>45110</v>
      </c>
    </row>
    <row r="695" spans="1:5">
      <c r="A695">
        <v>210710</v>
      </c>
      <c r="B695" t="s">
        <v>1192</v>
      </c>
      <c r="C695" t="s">
        <v>1352</v>
      </c>
      <c r="D695" t="s">
        <v>1353</v>
      </c>
      <c r="E695" s="490">
        <v>45110</v>
      </c>
    </row>
    <row r="696" spans="1:5">
      <c r="A696">
        <v>230705</v>
      </c>
      <c r="B696" t="s">
        <v>1099</v>
      </c>
      <c r="C696" t="s">
        <v>1976</v>
      </c>
      <c r="D696" t="s">
        <v>1977</v>
      </c>
      <c r="E696" s="490">
        <v>45112</v>
      </c>
    </row>
    <row r="697" spans="1:5">
      <c r="A697">
        <v>230704</v>
      </c>
      <c r="B697" t="s">
        <v>1705</v>
      </c>
      <c r="C697" t="s">
        <v>323</v>
      </c>
      <c r="D697" t="s">
        <v>324</v>
      </c>
      <c r="E697" s="490">
        <v>45112</v>
      </c>
    </row>
    <row r="698" spans="1:5">
      <c r="A698">
        <v>230706</v>
      </c>
      <c r="B698" t="s">
        <v>178</v>
      </c>
      <c r="C698" t="s">
        <v>499</v>
      </c>
      <c r="D698" t="s">
        <v>500</v>
      </c>
      <c r="E698" s="490">
        <v>45117</v>
      </c>
    </row>
    <row r="699" spans="1:5">
      <c r="A699" t="s">
        <v>2788</v>
      </c>
      <c r="B699" t="s">
        <v>124</v>
      </c>
      <c r="C699" t="s">
        <v>342</v>
      </c>
      <c r="D699" t="s">
        <v>343</v>
      </c>
      <c r="E699" s="490">
        <v>45119</v>
      </c>
    </row>
    <row r="700" spans="1:5">
      <c r="A700">
        <v>230707</v>
      </c>
      <c r="B700" t="s">
        <v>178</v>
      </c>
      <c r="C700" t="s">
        <v>1978</v>
      </c>
      <c r="D700" t="s">
        <v>1979</v>
      </c>
      <c r="E700" s="490">
        <v>45125</v>
      </c>
    </row>
    <row r="701" spans="1:5">
      <c r="A701">
        <v>230708</v>
      </c>
      <c r="B701" t="s">
        <v>1705</v>
      </c>
      <c r="C701" t="s">
        <v>1980</v>
      </c>
      <c r="D701" t="s">
        <v>1981</v>
      </c>
      <c r="E701" s="490">
        <v>45128</v>
      </c>
    </row>
    <row r="702" spans="1:5">
      <c r="A702">
        <v>230709</v>
      </c>
      <c r="B702" t="s">
        <v>212</v>
      </c>
      <c r="C702" t="s">
        <v>1982</v>
      </c>
      <c r="D702" t="s">
        <v>1983</v>
      </c>
      <c r="E702" s="490">
        <v>45132</v>
      </c>
    </row>
    <row r="703" spans="1:5">
      <c r="A703">
        <v>230710</v>
      </c>
      <c r="B703" t="s">
        <v>212</v>
      </c>
      <c r="C703" t="s">
        <v>1984</v>
      </c>
      <c r="D703" t="s">
        <v>1985</v>
      </c>
      <c r="E703" s="490">
        <v>45132</v>
      </c>
    </row>
    <row r="704" spans="1:5">
      <c r="A704">
        <v>230711</v>
      </c>
      <c r="B704" t="s">
        <v>206</v>
      </c>
      <c r="C704" t="s">
        <v>1986</v>
      </c>
      <c r="D704" t="s">
        <v>1987</v>
      </c>
      <c r="E704" s="490">
        <v>45133</v>
      </c>
    </row>
    <row r="705" spans="1:5">
      <c r="A705">
        <v>230712</v>
      </c>
      <c r="B705" t="s">
        <v>239</v>
      </c>
      <c r="C705" t="s">
        <v>1988</v>
      </c>
      <c r="D705" t="s">
        <v>1989</v>
      </c>
      <c r="E705" s="490">
        <v>45133</v>
      </c>
    </row>
    <row r="706" spans="1:5">
      <c r="A706">
        <v>230713</v>
      </c>
      <c r="B706" t="s">
        <v>76</v>
      </c>
      <c r="C706" t="s">
        <v>1990</v>
      </c>
      <c r="D706" t="s">
        <v>1991</v>
      </c>
      <c r="E706" s="490">
        <v>45138</v>
      </c>
    </row>
    <row r="707" spans="1:5">
      <c r="A707">
        <v>230714</v>
      </c>
      <c r="B707" t="s">
        <v>76</v>
      </c>
      <c r="C707" t="s">
        <v>1992</v>
      </c>
      <c r="D707" t="s">
        <v>333</v>
      </c>
      <c r="E707" s="490">
        <v>45138</v>
      </c>
    </row>
    <row r="708" spans="1:5">
      <c r="A708">
        <v>230715</v>
      </c>
      <c r="B708" t="s">
        <v>76</v>
      </c>
      <c r="C708" t="s">
        <v>334</v>
      </c>
      <c r="D708" t="s">
        <v>335</v>
      </c>
      <c r="E708" s="490">
        <v>45138</v>
      </c>
    </row>
    <row r="709" spans="1:5">
      <c r="A709">
        <v>230801</v>
      </c>
      <c r="B709" t="s">
        <v>1192</v>
      </c>
      <c r="C709" t="s">
        <v>347</v>
      </c>
      <c r="D709" t="s">
        <v>348</v>
      </c>
      <c r="E709" s="490">
        <v>45139</v>
      </c>
    </row>
    <row r="710" spans="1:5">
      <c r="A710">
        <v>230803</v>
      </c>
      <c r="B710" t="s">
        <v>178</v>
      </c>
      <c r="C710" t="s">
        <v>1993</v>
      </c>
      <c r="D710" t="s">
        <v>1994</v>
      </c>
      <c r="E710" s="490">
        <v>45139</v>
      </c>
    </row>
    <row r="711" spans="1:5">
      <c r="A711">
        <v>230804</v>
      </c>
      <c r="B711" t="s">
        <v>178</v>
      </c>
      <c r="C711" t="s">
        <v>1995</v>
      </c>
      <c r="D711" t="s">
        <v>1996</v>
      </c>
      <c r="E711" s="490">
        <v>45139</v>
      </c>
    </row>
    <row r="712" spans="1:5">
      <c r="A712">
        <v>230805</v>
      </c>
      <c r="B712" t="s">
        <v>178</v>
      </c>
      <c r="C712" t="s">
        <v>345</v>
      </c>
      <c r="D712" t="s">
        <v>346</v>
      </c>
      <c r="E712" s="490">
        <v>45139</v>
      </c>
    </row>
    <row r="713" spans="1:5">
      <c r="A713">
        <v>230806</v>
      </c>
      <c r="B713" t="s">
        <v>178</v>
      </c>
      <c r="C713" t="s">
        <v>1997</v>
      </c>
      <c r="D713" t="s">
        <v>1998</v>
      </c>
      <c r="E713" s="490">
        <v>45139</v>
      </c>
    </row>
    <row r="714" spans="1:5">
      <c r="A714">
        <v>230807</v>
      </c>
      <c r="B714" t="s">
        <v>1130</v>
      </c>
      <c r="C714" t="s">
        <v>326</v>
      </c>
      <c r="D714" t="s">
        <v>327</v>
      </c>
      <c r="E714" s="490">
        <v>45139</v>
      </c>
    </row>
    <row r="715" spans="1:5">
      <c r="A715">
        <v>230809</v>
      </c>
      <c r="B715" t="s">
        <v>1130</v>
      </c>
      <c r="C715" t="s">
        <v>1999</v>
      </c>
      <c r="D715" t="s">
        <v>2000</v>
      </c>
      <c r="E715" s="490">
        <v>45139</v>
      </c>
    </row>
    <row r="716" spans="1:5">
      <c r="A716">
        <v>230810</v>
      </c>
      <c r="B716" t="s">
        <v>1130</v>
      </c>
      <c r="C716" t="s">
        <v>330</v>
      </c>
      <c r="D716" t="s">
        <v>331</v>
      </c>
      <c r="E716" s="490">
        <v>45139</v>
      </c>
    </row>
    <row r="717" spans="1:5">
      <c r="A717">
        <v>230813</v>
      </c>
      <c r="B717" t="s">
        <v>264</v>
      </c>
      <c r="C717" t="s">
        <v>2001</v>
      </c>
      <c r="D717" t="s">
        <v>2002</v>
      </c>
      <c r="E717" s="490">
        <v>45139</v>
      </c>
    </row>
    <row r="718" spans="1:5">
      <c r="A718">
        <v>230808</v>
      </c>
      <c r="B718" t="s">
        <v>1130</v>
      </c>
      <c r="C718" t="s">
        <v>328</v>
      </c>
      <c r="D718" t="s">
        <v>329</v>
      </c>
      <c r="E718" s="490">
        <v>45139</v>
      </c>
    </row>
    <row r="719" spans="1:5">
      <c r="A719">
        <v>230811</v>
      </c>
      <c r="B719" t="s">
        <v>1103</v>
      </c>
      <c r="C719" t="s">
        <v>337</v>
      </c>
      <c r="D719" t="s">
        <v>338</v>
      </c>
      <c r="E719" s="490">
        <v>45139</v>
      </c>
    </row>
    <row r="720" spans="1:5">
      <c r="A720">
        <v>230812</v>
      </c>
      <c r="B720" t="s">
        <v>1103</v>
      </c>
      <c r="C720" t="s">
        <v>339</v>
      </c>
      <c r="D720" t="s">
        <v>340</v>
      </c>
      <c r="E720" s="490">
        <v>45139</v>
      </c>
    </row>
    <row r="721" spans="1:5">
      <c r="A721">
        <v>230802</v>
      </c>
      <c r="B721" t="s">
        <v>1192</v>
      </c>
      <c r="C721" t="s">
        <v>349</v>
      </c>
      <c r="D721" t="s">
        <v>350</v>
      </c>
      <c r="E721" s="490">
        <v>45139</v>
      </c>
    </row>
    <row r="722" spans="1:5">
      <c r="A722">
        <v>230814</v>
      </c>
      <c r="B722" t="s">
        <v>1183</v>
      </c>
      <c r="C722" t="s">
        <v>2003</v>
      </c>
      <c r="D722" t="s">
        <v>2004</v>
      </c>
      <c r="E722" s="490">
        <v>45140</v>
      </c>
    </row>
    <row r="723" spans="1:5">
      <c r="A723">
        <v>230815</v>
      </c>
      <c r="B723" t="s">
        <v>1875</v>
      </c>
      <c r="C723" t="s">
        <v>354</v>
      </c>
      <c r="D723" t="s">
        <v>355</v>
      </c>
      <c r="E723" s="490">
        <v>45140</v>
      </c>
    </row>
    <row r="724" spans="1:5">
      <c r="A724">
        <v>230816</v>
      </c>
      <c r="B724" t="s">
        <v>1096</v>
      </c>
      <c r="C724" t="s">
        <v>2005</v>
      </c>
      <c r="D724" t="s">
        <v>2006</v>
      </c>
      <c r="E724" s="490">
        <v>45141</v>
      </c>
    </row>
    <row r="725" spans="1:5">
      <c r="A725">
        <v>230817</v>
      </c>
      <c r="B725" t="s">
        <v>1192</v>
      </c>
      <c r="C725" t="s">
        <v>351</v>
      </c>
      <c r="D725" t="s">
        <v>352</v>
      </c>
      <c r="E725" s="490">
        <v>45145</v>
      </c>
    </row>
    <row r="726" spans="1:5">
      <c r="A726">
        <v>230818</v>
      </c>
      <c r="B726" t="s">
        <v>1116</v>
      </c>
      <c r="C726" t="s">
        <v>2007</v>
      </c>
      <c r="D726" t="s">
        <v>2008</v>
      </c>
      <c r="E726" s="490">
        <v>45159</v>
      </c>
    </row>
    <row r="727" spans="1:5">
      <c r="A727">
        <v>230819</v>
      </c>
      <c r="B727" t="s">
        <v>1192</v>
      </c>
      <c r="C727" t="s">
        <v>30</v>
      </c>
      <c r="D727" t="s">
        <v>2009</v>
      </c>
      <c r="E727" s="490">
        <v>45159</v>
      </c>
    </row>
    <row r="728" spans="1:5">
      <c r="A728">
        <v>230820</v>
      </c>
      <c r="B728" t="s">
        <v>206</v>
      </c>
      <c r="C728" t="s">
        <v>2010</v>
      </c>
      <c r="D728" t="s">
        <v>2011</v>
      </c>
      <c r="E728" s="490">
        <v>45159</v>
      </c>
    </row>
    <row r="729" spans="1:5">
      <c r="A729">
        <v>230821</v>
      </c>
      <c r="B729" t="s">
        <v>1106</v>
      </c>
      <c r="C729" t="s">
        <v>2012</v>
      </c>
      <c r="D729" t="s">
        <v>2013</v>
      </c>
      <c r="E729" s="490">
        <v>45159</v>
      </c>
    </row>
    <row r="730" spans="1:5">
      <c r="A730" t="s">
        <v>2789</v>
      </c>
      <c r="B730" t="s">
        <v>92</v>
      </c>
      <c r="C730" t="s">
        <v>2414</v>
      </c>
      <c r="D730" t="s">
        <v>2415</v>
      </c>
      <c r="E730" s="490">
        <v>45160</v>
      </c>
    </row>
    <row r="731" spans="1:5">
      <c r="A731" t="s">
        <v>2790</v>
      </c>
      <c r="B731" t="s">
        <v>92</v>
      </c>
      <c r="C731" t="s">
        <v>358</v>
      </c>
      <c r="D731" t="s">
        <v>2184</v>
      </c>
      <c r="E731" s="490">
        <v>45167</v>
      </c>
    </row>
    <row r="732" spans="1:5">
      <c r="A732" t="s">
        <v>2791</v>
      </c>
      <c r="B732" t="s">
        <v>92</v>
      </c>
      <c r="C732" t="s">
        <v>359</v>
      </c>
      <c r="D732" t="s">
        <v>360</v>
      </c>
      <c r="E732" s="490">
        <v>45167</v>
      </c>
    </row>
    <row r="733" spans="1:5">
      <c r="A733">
        <v>230903</v>
      </c>
      <c r="B733" t="s">
        <v>1096</v>
      </c>
      <c r="C733" t="s">
        <v>2014</v>
      </c>
      <c r="D733" t="s">
        <v>2015</v>
      </c>
      <c r="E733" s="490">
        <v>45170</v>
      </c>
    </row>
    <row r="734" spans="1:5">
      <c r="A734">
        <v>230901</v>
      </c>
      <c r="B734" t="s">
        <v>1130</v>
      </c>
      <c r="C734" t="s">
        <v>1363</v>
      </c>
      <c r="D734" t="s">
        <v>1364</v>
      </c>
      <c r="E734" s="490">
        <v>45170</v>
      </c>
    </row>
    <row r="735" spans="1:5">
      <c r="A735">
        <v>230902</v>
      </c>
      <c r="B735" t="s">
        <v>1130</v>
      </c>
      <c r="C735" t="s">
        <v>2016</v>
      </c>
      <c r="D735" t="s">
        <v>2017</v>
      </c>
      <c r="E735" s="490">
        <v>45170</v>
      </c>
    </row>
    <row r="736" spans="1:5">
      <c r="A736">
        <v>230904</v>
      </c>
      <c r="B736" t="s">
        <v>1705</v>
      </c>
      <c r="C736" t="s">
        <v>2018</v>
      </c>
      <c r="D736" t="s">
        <v>2019</v>
      </c>
      <c r="E736" s="490">
        <v>45175</v>
      </c>
    </row>
    <row r="737" spans="1:5">
      <c r="A737">
        <v>230905</v>
      </c>
      <c r="B737" t="s">
        <v>1192</v>
      </c>
      <c r="C737" t="s">
        <v>2020</v>
      </c>
      <c r="D737" t="s">
        <v>2021</v>
      </c>
      <c r="E737" s="490">
        <v>45180</v>
      </c>
    </row>
    <row r="738" spans="1:5">
      <c r="A738">
        <v>230906</v>
      </c>
      <c r="B738" t="s">
        <v>206</v>
      </c>
      <c r="C738" t="s">
        <v>2022</v>
      </c>
      <c r="D738" t="s">
        <v>2023</v>
      </c>
      <c r="E738" s="490">
        <v>45180</v>
      </c>
    </row>
    <row r="739" spans="1:5">
      <c r="A739">
        <v>230907</v>
      </c>
      <c r="B739" t="s">
        <v>1192</v>
      </c>
      <c r="C739" t="s">
        <v>390</v>
      </c>
      <c r="D739" t="s">
        <v>391</v>
      </c>
      <c r="E739" s="490">
        <v>45180</v>
      </c>
    </row>
    <row r="740" spans="1:5">
      <c r="A740">
        <v>230908</v>
      </c>
      <c r="B740" t="s">
        <v>1103</v>
      </c>
      <c r="C740" t="s">
        <v>361</v>
      </c>
      <c r="D740" t="s">
        <v>362</v>
      </c>
      <c r="E740" s="490">
        <v>45187</v>
      </c>
    </row>
    <row r="741" spans="1:5">
      <c r="A741">
        <v>230910</v>
      </c>
      <c r="B741" t="s">
        <v>1130</v>
      </c>
      <c r="C741" t="s">
        <v>378</v>
      </c>
      <c r="D741" t="s">
        <v>379</v>
      </c>
      <c r="E741" s="490">
        <v>45188</v>
      </c>
    </row>
    <row r="742" spans="1:5">
      <c r="A742">
        <v>230911</v>
      </c>
      <c r="B742" t="s">
        <v>1130</v>
      </c>
      <c r="C742" t="s">
        <v>369</v>
      </c>
      <c r="D742" t="s">
        <v>370</v>
      </c>
      <c r="E742" s="490">
        <v>45188</v>
      </c>
    </row>
    <row r="743" spans="1:5">
      <c r="A743">
        <v>230909</v>
      </c>
      <c r="B743" t="s">
        <v>1130</v>
      </c>
      <c r="C743" t="s">
        <v>364</v>
      </c>
      <c r="D743" t="s">
        <v>365</v>
      </c>
      <c r="E743" s="490">
        <v>45188</v>
      </c>
    </row>
    <row r="744" spans="1:5">
      <c r="A744">
        <v>230912</v>
      </c>
      <c r="B744" t="s">
        <v>1130</v>
      </c>
      <c r="C744" t="s">
        <v>366</v>
      </c>
      <c r="D744" t="s">
        <v>367</v>
      </c>
      <c r="E744" s="490">
        <v>45188</v>
      </c>
    </row>
    <row r="745" spans="1:5">
      <c r="A745">
        <v>230913</v>
      </c>
      <c r="B745" t="s">
        <v>1130</v>
      </c>
      <c r="C745" t="s">
        <v>371</v>
      </c>
      <c r="D745" t="s">
        <v>372</v>
      </c>
      <c r="E745" s="490">
        <v>45188</v>
      </c>
    </row>
    <row r="746" spans="1:5">
      <c r="A746">
        <v>230914</v>
      </c>
      <c r="B746" t="s">
        <v>1130</v>
      </c>
      <c r="C746" t="s">
        <v>374</v>
      </c>
      <c r="D746" t="s">
        <v>375</v>
      </c>
      <c r="E746" s="490">
        <v>45190</v>
      </c>
    </row>
    <row r="747" spans="1:5">
      <c r="A747">
        <v>230915</v>
      </c>
      <c r="B747" t="s">
        <v>1130</v>
      </c>
      <c r="C747" t="s">
        <v>376</v>
      </c>
      <c r="D747" t="s">
        <v>377</v>
      </c>
      <c r="E747" s="490">
        <v>45190</v>
      </c>
    </row>
    <row r="748" spans="1:5">
      <c r="A748" t="s">
        <v>2792</v>
      </c>
      <c r="B748" t="s">
        <v>92</v>
      </c>
      <c r="C748" t="s">
        <v>2416</v>
      </c>
      <c r="D748" t="s">
        <v>2417</v>
      </c>
      <c r="E748" s="490">
        <v>45191</v>
      </c>
    </row>
    <row r="749" spans="1:5">
      <c r="A749">
        <v>230916</v>
      </c>
      <c r="B749" t="s">
        <v>239</v>
      </c>
      <c r="C749" t="s">
        <v>388</v>
      </c>
      <c r="D749" t="s">
        <v>389</v>
      </c>
      <c r="E749" s="490">
        <v>45194</v>
      </c>
    </row>
    <row r="750" spans="1:5">
      <c r="A750">
        <v>230917</v>
      </c>
      <c r="B750" t="s">
        <v>178</v>
      </c>
      <c r="C750" t="s">
        <v>380</v>
      </c>
      <c r="D750" t="s">
        <v>381</v>
      </c>
      <c r="E750" s="490">
        <v>45197</v>
      </c>
    </row>
    <row r="751" spans="1:5">
      <c r="A751">
        <v>230919</v>
      </c>
      <c r="B751" t="s">
        <v>178</v>
      </c>
      <c r="C751" t="s">
        <v>384</v>
      </c>
      <c r="D751" t="s">
        <v>385</v>
      </c>
      <c r="E751" s="490">
        <v>45197</v>
      </c>
    </row>
    <row r="752" spans="1:5">
      <c r="A752">
        <v>230920</v>
      </c>
      <c r="B752" t="s">
        <v>178</v>
      </c>
      <c r="C752" t="s">
        <v>386</v>
      </c>
      <c r="D752" t="s">
        <v>387</v>
      </c>
      <c r="E752" s="490">
        <v>45197</v>
      </c>
    </row>
    <row r="753" spans="1:5">
      <c r="A753">
        <v>230918</v>
      </c>
      <c r="B753" t="s">
        <v>178</v>
      </c>
      <c r="C753" t="s">
        <v>382</v>
      </c>
      <c r="D753" t="s">
        <v>383</v>
      </c>
      <c r="E753" s="490">
        <v>45197</v>
      </c>
    </row>
    <row r="754" spans="1:5">
      <c r="A754">
        <v>231001</v>
      </c>
      <c r="B754" t="s">
        <v>1079</v>
      </c>
      <c r="C754" t="s">
        <v>396</v>
      </c>
      <c r="D754" t="s">
        <v>397</v>
      </c>
      <c r="E754" s="490">
        <v>45201</v>
      </c>
    </row>
    <row r="755" spans="1:5">
      <c r="A755">
        <v>231009</v>
      </c>
      <c r="B755" t="s">
        <v>264</v>
      </c>
      <c r="C755" t="s">
        <v>2024</v>
      </c>
      <c r="D755" t="s">
        <v>2025</v>
      </c>
      <c r="E755" s="490">
        <v>45201</v>
      </c>
    </row>
    <row r="756" spans="1:5">
      <c r="A756" t="s">
        <v>2793</v>
      </c>
      <c r="B756" t="s">
        <v>92</v>
      </c>
      <c r="C756" t="s">
        <v>2030</v>
      </c>
      <c r="D756" t="s">
        <v>2031</v>
      </c>
      <c r="E756" s="490">
        <v>45205</v>
      </c>
    </row>
    <row r="757" spans="1:5">
      <c r="A757">
        <v>231003</v>
      </c>
      <c r="B757" t="s">
        <v>239</v>
      </c>
      <c r="C757" t="s">
        <v>1071</v>
      </c>
      <c r="D757" t="s">
        <v>1072</v>
      </c>
      <c r="E757" s="490">
        <v>45215</v>
      </c>
    </row>
    <row r="758" spans="1:5">
      <c r="A758">
        <v>231004</v>
      </c>
      <c r="B758" t="s">
        <v>1705</v>
      </c>
      <c r="C758" t="s">
        <v>2026</v>
      </c>
      <c r="D758" t="s">
        <v>2027</v>
      </c>
      <c r="E758" s="490">
        <v>45215</v>
      </c>
    </row>
    <row r="759" spans="1:5">
      <c r="A759">
        <v>231005</v>
      </c>
      <c r="B759" t="s">
        <v>1705</v>
      </c>
      <c r="C759" t="s">
        <v>2028</v>
      </c>
      <c r="D759" t="s">
        <v>2029</v>
      </c>
      <c r="E759" s="490">
        <v>45215</v>
      </c>
    </row>
    <row r="760" spans="1:5">
      <c r="A760">
        <v>231002</v>
      </c>
      <c r="B760" t="s">
        <v>239</v>
      </c>
      <c r="C760" t="s">
        <v>421</v>
      </c>
      <c r="D760" t="s">
        <v>422</v>
      </c>
      <c r="E760" s="490">
        <v>45215</v>
      </c>
    </row>
    <row r="761" spans="1:5">
      <c r="A761">
        <v>231006</v>
      </c>
      <c r="B761" t="s">
        <v>264</v>
      </c>
      <c r="C761" t="s">
        <v>411</v>
      </c>
      <c r="D761" t="s">
        <v>412</v>
      </c>
      <c r="E761" s="490">
        <v>45216</v>
      </c>
    </row>
    <row r="762" spans="1:5">
      <c r="A762">
        <v>231007</v>
      </c>
      <c r="B762" t="s">
        <v>1079</v>
      </c>
      <c r="C762" t="s">
        <v>415</v>
      </c>
      <c r="D762" t="s">
        <v>416</v>
      </c>
      <c r="E762" s="490">
        <v>45217</v>
      </c>
    </row>
    <row r="763" spans="1:5">
      <c r="A763">
        <v>231008</v>
      </c>
      <c r="B763" t="s">
        <v>1116</v>
      </c>
      <c r="C763" t="s">
        <v>2030</v>
      </c>
      <c r="D763" t="s">
        <v>2031</v>
      </c>
      <c r="E763" s="490">
        <v>45223</v>
      </c>
    </row>
    <row r="764" spans="1:5">
      <c r="A764" t="s">
        <v>2794</v>
      </c>
      <c r="B764" t="s">
        <v>92</v>
      </c>
      <c r="C764" t="s">
        <v>424</v>
      </c>
      <c r="D764" t="s">
        <v>425</v>
      </c>
      <c r="E764" s="490">
        <v>45224</v>
      </c>
    </row>
    <row r="765" spans="1:5">
      <c r="A765">
        <v>231010</v>
      </c>
      <c r="B765" t="s">
        <v>1116</v>
      </c>
      <c r="C765" t="s">
        <v>2032</v>
      </c>
      <c r="D765" t="s">
        <v>2033</v>
      </c>
      <c r="E765" s="490">
        <v>45225</v>
      </c>
    </row>
    <row r="766" spans="1:5">
      <c r="A766">
        <v>231011</v>
      </c>
      <c r="B766" t="s">
        <v>239</v>
      </c>
      <c r="C766" t="s">
        <v>2034</v>
      </c>
      <c r="D766" t="s">
        <v>2035</v>
      </c>
      <c r="E766" s="490">
        <v>45229</v>
      </c>
    </row>
    <row r="767" spans="1:5">
      <c r="A767">
        <v>231012</v>
      </c>
      <c r="B767" t="s">
        <v>1832</v>
      </c>
      <c r="C767" t="s">
        <v>1367</v>
      </c>
      <c r="D767" t="s">
        <v>2036</v>
      </c>
      <c r="E767" s="490">
        <v>45230</v>
      </c>
    </row>
    <row r="768" spans="1:5">
      <c r="A768">
        <v>231101</v>
      </c>
      <c r="B768" t="s">
        <v>1096</v>
      </c>
      <c r="C768" t="s">
        <v>884</v>
      </c>
      <c r="D768" t="s">
        <v>885</v>
      </c>
      <c r="E768" s="490">
        <v>45231</v>
      </c>
    </row>
    <row r="769" spans="1:5">
      <c r="A769">
        <v>231104</v>
      </c>
      <c r="B769" t="s">
        <v>178</v>
      </c>
      <c r="C769" t="s">
        <v>426</v>
      </c>
      <c r="D769" t="s">
        <v>427</v>
      </c>
      <c r="E769" s="490">
        <v>45231</v>
      </c>
    </row>
    <row r="770" spans="1:5">
      <c r="A770">
        <v>231105</v>
      </c>
      <c r="B770" t="s">
        <v>178</v>
      </c>
      <c r="C770" t="s">
        <v>2037</v>
      </c>
      <c r="D770" t="s">
        <v>2038</v>
      </c>
      <c r="E770" s="490">
        <v>45231</v>
      </c>
    </row>
    <row r="771" spans="1:5">
      <c r="A771">
        <v>231102</v>
      </c>
      <c r="B771" t="s">
        <v>1103</v>
      </c>
      <c r="C771" t="s">
        <v>405</v>
      </c>
      <c r="D771" t="s">
        <v>406</v>
      </c>
      <c r="E771" s="490">
        <v>45231</v>
      </c>
    </row>
    <row r="772" spans="1:5">
      <c r="A772">
        <v>231103</v>
      </c>
      <c r="B772" t="s">
        <v>1103</v>
      </c>
      <c r="C772" t="s">
        <v>407</v>
      </c>
      <c r="D772" t="s">
        <v>408</v>
      </c>
      <c r="E772" s="490">
        <v>45231</v>
      </c>
    </row>
    <row r="773" spans="1:5">
      <c r="A773">
        <v>18</v>
      </c>
      <c r="B773" t="s">
        <v>2292</v>
      </c>
      <c r="C773" t="s">
        <v>337</v>
      </c>
      <c r="D773" t="s">
        <v>338</v>
      </c>
      <c r="E773" s="490">
        <v>45231</v>
      </c>
    </row>
    <row r="774" spans="1:5">
      <c r="A774">
        <v>231106</v>
      </c>
      <c r="B774" t="s">
        <v>1106</v>
      </c>
      <c r="C774" t="s">
        <v>413</v>
      </c>
      <c r="D774" t="s">
        <v>414</v>
      </c>
      <c r="E774" s="490">
        <v>45232</v>
      </c>
    </row>
    <row r="775" spans="1:5">
      <c r="A775">
        <v>231110</v>
      </c>
      <c r="B775" t="s">
        <v>1130</v>
      </c>
      <c r="C775" t="s">
        <v>419</v>
      </c>
      <c r="D775" t="s">
        <v>420</v>
      </c>
      <c r="E775" s="490">
        <v>45232</v>
      </c>
    </row>
    <row r="776" spans="1:5">
      <c r="A776">
        <v>231111</v>
      </c>
      <c r="B776" t="s">
        <v>1079</v>
      </c>
      <c r="C776" t="s">
        <v>398</v>
      </c>
      <c r="D776" t="s">
        <v>399</v>
      </c>
      <c r="E776" s="490">
        <v>45232</v>
      </c>
    </row>
    <row r="777" spans="1:5">
      <c r="A777">
        <v>231107</v>
      </c>
      <c r="B777" t="s">
        <v>1106</v>
      </c>
      <c r="C777" t="s">
        <v>409</v>
      </c>
      <c r="D777" t="s">
        <v>410</v>
      </c>
      <c r="E777" s="490">
        <v>45232</v>
      </c>
    </row>
    <row r="778" spans="1:5">
      <c r="A778">
        <v>231108</v>
      </c>
      <c r="B778" t="s">
        <v>1106</v>
      </c>
      <c r="C778" t="s">
        <v>2039</v>
      </c>
      <c r="D778" t="s">
        <v>2040</v>
      </c>
      <c r="E778" s="490">
        <v>45232</v>
      </c>
    </row>
    <row r="779" spans="1:5">
      <c r="A779">
        <v>231109</v>
      </c>
      <c r="B779" t="s">
        <v>1130</v>
      </c>
      <c r="C779" t="s">
        <v>417</v>
      </c>
      <c r="D779" t="s">
        <v>418</v>
      </c>
      <c r="E779" s="490">
        <v>45232</v>
      </c>
    </row>
    <row r="780" spans="1:5">
      <c r="A780">
        <v>220804</v>
      </c>
      <c r="B780" t="s">
        <v>1096</v>
      </c>
      <c r="C780" t="s">
        <v>1778</v>
      </c>
      <c r="D780" t="s">
        <v>1779</v>
      </c>
      <c r="E780" s="490">
        <v>45236</v>
      </c>
    </row>
    <row r="781" spans="1:5">
      <c r="A781">
        <v>210420</v>
      </c>
      <c r="B781" t="s">
        <v>1262</v>
      </c>
      <c r="C781" t="s">
        <v>1268</v>
      </c>
      <c r="D781" t="s">
        <v>1269</v>
      </c>
      <c r="E781" s="490">
        <v>45243</v>
      </c>
    </row>
    <row r="782" spans="1:5">
      <c r="A782">
        <v>231112</v>
      </c>
      <c r="B782" t="s">
        <v>1192</v>
      </c>
      <c r="C782" t="s">
        <v>462</v>
      </c>
      <c r="D782" t="s">
        <v>463</v>
      </c>
      <c r="E782" s="490">
        <v>45243</v>
      </c>
    </row>
    <row r="783" spans="1:5">
      <c r="A783">
        <v>231113</v>
      </c>
      <c r="B783" t="s">
        <v>239</v>
      </c>
      <c r="C783" t="s">
        <v>2041</v>
      </c>
      <c r="D783" t="s">
        <v>2042</v>
      </c>
      <c r="E783" s="490">
        <v>45250</v>
      </c>
    </row>
    <row r="784" spans="1:5">
      <c r="A784">
        <v>231114</v>
      </c>
      <c r="B784" t="s">
        <v>1130</v>
      </c>
      <c r="C784" t="s">
        <v>2043</v>
      </c>
      <c r="D784" t="s">
        <v>2044</v>
      </c>
      <c r="E784" s="490">
        <v>45251</v>
      </c>
    </row>
    <row r="785" spans="1:5">
      <c r="A785">
        <v>231117</v>
      </c>
      <c r="B785" t="s">
        <v>1130</v>
      </c>
      <c r="C785" t="s">
        <v>446</v>
      </c>
      <c r="D785" t="s">
        <v>447</v>
      </c>
      <c r="E785" s="490">
        <v>45251</v>
      </c>
    </row>
    <row r="786" spans="1:5">
      <c r="A786">
        <v>231115</v>
      </c>
      <c r="B786" t="s">
        <v>1130</v>
      </c>
      <c r="C786" t="s">
        <v>442</v>
      </c>
      <c r="D786" t="s">
        <v>443</v>
      </c>
      <c r="E786" s="490">
        <v>45251</v>
      </c>
    </row>
    <row r="787" spans="1:5">
      <c r="A787">
        <v>231116</v>
      </c>
      <c r="B787" t="s">
        <v>1130</v>
      </c>
      <c r="C787" t="s">
        <v>444</v>
      </c>
      <c r="D787" t="s">
        <v>445</v>
      </c>
      <c r="E787" s="490">
        <v>45251</v>
      </c>
    </row>
    <row r="788" spans="1:5">
      <c r="A788">
        <v>231118</v>
      </c>
      <c r="B788" t="s">
        <v>264</v>
      </c>
      <c r="C788" t="s">
        <v>2045</v>
      </c>
      <c r="D788" t="s">
        <v>2046</v>
      </c>
      <c r="E788" s="490">
        <v>45254</v>
      </c>
    </row>
    <row r="789" spans="1:5">
      <c r="A789">
        <v>231119</v>
      </c>
      <c r="B789" t="s">
        <v>264</v>
      </c>
      <c r="C789" t="s">
        <v>435</v>
      </c>
      <c r="D789" t="s">
        <v>436</v>
      </c>
      <c r="E789" s="490">
        <v>45254</v>
      </c>
    </row>
    <row r="790" spans="1:5">
      <c r="A790">
        <v>231120</v>
      </c>
      <c r="B790" t="s">
        <v>1773</v>
      </c>
      <c r="C790" t="s">
        <v>2047</v>
      </c>
      <c r="D790" t="s">
        <v>607</v>
      </c>
      <c r="E790" s="490">
        <v>45258</v>
      </c>
    </row>
    <row r="791" spans="1:5">
      <c r="A791">
        <v>231201</v>
      </c>
      <c r="B791" t="s">
        <v>178</v>
      </c>
      <c r="C791" t="s">
        <v>2048</v>
      </c>
      <c r="D791" t="s">
        <v>2049</v>
      </c>
      <c r="E791" s="490">
        <v>45261</v>
      </c>
    </row>
    <row r="792" spans="1:5">
      <c r="A792">
        <v>231202</v>
      </c>
      <c r="B792" t="s">
        <v>264</v>
      </c>
      <c r="C792" t="s">
        <v>432</v>
      </c>
      <c r="D792" t="s">
        <v>433</v>
      </c>
      <c r="E792" s="490">
        <v>45261</v>
      </c>
    </row>
    <row r="793" spans="1:5">
      <c r="A793">
        <v>231203</v>
      </c>
      <c r="B793" t="s">
        <v>1106</v>
      </c>
      <c r="C793" t="s">
        <v>1974</v>
      </c>
      <c r="D793" t="s">
        <v>2050</v>
      </c>
      <c r="E793" s="490">
        <v>45261</v>
      </c>
    </row>
    <row r="794" spans="1:5">
      <c r="A794">
        <v>231204</v>
      </c>
      <c r="B794" t="s">
        <v>1106</v>
      </c>
      <c r="C794" t="s">
        <v>2051</v>
      </c>
      <c r="D794" t="s">
        <v>2052</v>
      </c>
      <c r="E794" s="490">
        <v>45261</v>
      </c>
    </row>
    <row r="795" spans="1:5">
      <c r="A795">
        <v>231205</v>
      </c>
      <c r="B795" t="s">
        <v>1103</v>
      </c>
      <c r="C795" t="s">
        <v>437</v>
      </c>
      <c r="D795" t="s">
        <v>438</v>
      </c>
      <c r="E795" s="490">
        <v>45261</v>
      </c>
    </row>
    <row r="796" spans="1:5">
      <c r="A796">
        <v>231207</v>
      </c>
      <c r="B796" t="s">
        <v>76</v>
      </c>
      <c r="C796" t="s">
        <v>464</v>
      </c>
      <c r="D796" t="s">
        <v>465</v>
      </c>
      <c r="E796" s="490">
        <v>45261</v>
      </c>
    </row>
    <row r="797" spans="1:5">
      <c r="A797">
        <v>231208</v>
      </c>
      <c r="B797" t="s">
        <v>76</v>
      </c>
      <c r="C797" t="s">
        <v>466</v>
      </c>
      <c r="D797" t="s">
        <v>467</v>
      </c>
      <c r="E797" s="490">
        <v>45261</v>
      </c>
    </row>
    <row r="798" spans="1:5">
      <c r="A798">
        <v>231206</v>
      </c>
      <c r="B798" t="s">
        <v>1103</v>
      </c>
      <c r="C798" t="s">
        <v>440</v>
      </c>
      <c r="D798" t="s">
        <v>441</v>
      </c>
      <c r="E798" s="490">
        <v>45261</v>
      </c>
    </row>
    <row r="799" spans="1:5">
      <c r="A799">
        <v>231214</v>
      </c>
      <c r="B799" t="s">
        <v>178</v>
      </c>
      <c r="C799" t="s">
        <v>468</v>
      </c>
      <c r="D799" t="s">
        <v>469</v>
      </c>
      <c r="E799" s="490">
        <v>45264</v>
      </c>
    </row>
    <row r="800" spans="1:5">
      <c r="A800">
        <v>231210</v>
      </c>
      <c r="B800" t="s">
        <v>1130</v>
      </c>
      <c r="C800" t="s">
        <v>2053</v>
      </c>
      <c r="D800" t="s">
        <v>2054</v>
      </c>
      <c r="E800" s="490">
        <v>45264</v>
      </c>
    </row>
    <row r="801" spans="1:5">
      <c r="A801">
        <v>231211</v>
      </c>
      <c r="B801" t="s">
        <v>1130</v>
      </c>
      <c r="C801" t="s">
        <v>2055</v>
      </c>
      <c r="D801" t="s">
        <v>2056</v>
      </c>
      <c r="E801" s="490">
        <v>45264</v>
      </c>
    </row>
    <row r="802" spans="1:5">
      <c r="A802">
        <v>231213</v>
      </c>
      <c r="B802" t="s">
        <v>1130</v>
      </c>
      <c r="C802" t="s">
        <v>452</v>
      </c>
      <c r="D802" t="s">
        <v>453</v>
      </c>
      <c r="E802" s="490">
        <v>45264</v>
      </c>
    </row>
    <row r="803" spans="1:5">
      <c r="A803">
        <v>231209</v>
      </c>
      <c r="B803" t="s">
        <v>1130</v>
      </c>
      <c r="C803" t="s">
        <v>449</v>
      </c>
      <c r="D803" t="s">
        <v>54</v>
      </c>
      <c r="E803" s="490">
        <v>45264</v>
      </c>
    </row>
    <row r="804" spans="1:5">
      <c r="A804">
        <v>231212</v>
      </c>
      <c r="B804" t="s">
        <v>1130</v>
      </c>
      <c r="C804" t="s">
        <v>450</v>
      </c>
      <c r="D804" t="s">
        <v>451</v>
      </c>
      <c r="E804" s="490">
        <v>45264</v>
      </c>
    </row>
    <row r="805" spans="1:5">
      <c r="A805" t="s">
        <v>2795</v>
      </c>
      <c r="B805" t="s">
        <v>124</v>
      </c>
      <c r="C805" t="s">
        <v>504</v>
      </c>
      <c r="D805" t="s">
        <v>505</v>
      </c>
      <c r="E805" s="490">
        <v>45264</v>
      </c>
    </row>
    <row r="806" spans="1:5">
      <c r="A806" t="s">
        <v>2796</v>
      </c>
      <c r="B806" t="s">
        <v>124</v>
      </c>
      <c r="C806" t="s">
        <v>506</v>
      </c>
      <c r="D806" t="s">
        <v>507</v>
      </c>
      <c r="E806" s="490">
        <v>45264</v>
      </c>
    </row>
    <row r="807" spans="1:5">
      <c r="A807">
        <v>231215</v>
      </c>
      <c r="B807" t="s">
        <v>1130</v>
      </c>
      <c r="C807" t="s">
        <v>456</v>
      </c>
      <c r="D807" t="s">
        <v>457</v>
      </c>
      <c r="E807" s="490">
        <v>45272</v>
      </c>
    </row>
    <row r="808" spans="1:5">
      <c r="A808">
        <v>231216</v>
      </c>
      <c r="B808" t="s">
        <v>1130</v>
      </c>
      <c r="C808" t="s">
        <v>458</v>
      </c>
      <c r="D808" t="s">
        <v>459</v>
      </c>
      <c r="E808" s="490">
        <v>45272</v>
      </c>
    </row>
    <row r="809" spans="1:5">
      <c r="A809">
        <v>231218</v>
      </c>
      <c r="B809" t="s">
        <v>178</v>
      </c>
      <c r="C809" t="s">
        <v>2057</v>
      </c>
      <c r="D809" t="s">
        <v>2058</v>
      </c>
      <c r="E809" s="490">
        <v>45275</v>
      </c>
    </row>
    <row r="810" spans="1:5">
      <c r="A810">
        <v>231217</v>
      </c>
      <c r="B810" t="s">
        <v>1192</v>
      </c>
      <c r="C810" t="s">
        <v>460</v>
      </c>
      <c r="D810" t="s">
        <v>461</v>
      </c>
      <c r="E810" s="490">
        <v>45275</v>
      </c>
    </row>
    <row r="811" spans="1:5">
      <c r="A811">
        <v>231219</v>
      </c>
      <c r="B811" t="s">
        <v>178</v>
      </c>
      <c r="C811" t="s">
        <v>2059</v>
      </c>
      <c r="D811" t="s">
        <v>2060</v>
      </c>
      <c r="E811" s="490">
        <v>45278</v>
      </c>
    </row>
    <row r="812" spans="1:5">
      <c r="A812">
        <v>231221</v>
      </c>
      <c r="B812" t="s">
        <v>178</v>
      </c>
      <c r="C812" t="s">
        <v>93</v>
      </c>
      <c r="D812" t="s">
        <v>94</v>
      </c>
      <c r="E812" s="490">
        <v>45278</v>
      </c>
    </row>
    <row r="813" spans="1:5">
      <c r="A813" t="s">
        <v>2799</v>
      </c>
      <c r="B813" t="s">
        <v>829</v>
      </c>
      <c r="C813" t="s">
        <v>2037</v>
      </c>
      <c r="D813" t="s">
        <v>2038</v>
      </c>
      <c r="E813" s="490">
        <v>45278</v>
      </c>
    </row>
    <row r="814" spans="1:5">
      <c r="A814">
        <v>231220</v>
      </c>
      <c r="B814" t="s">
        <v>264</v>
      </c>
      <c r="C814" t="s">
        <v>2061</v>
      </c>
      <c r="D814" t="s">
        <v>2062</v>
      </c>
      <c r="E814" s="490">
        <v>45281</v>
      </c>
    </row>
    <row r="815" spans="1:5">
      <c r="A815" t="s">
        <v>2797</v>
      </c>
      <c r="B815" t="s">
        <v>501</v>
      </c>
      <c r="C815" t="s">
        <v>502</v>
      </c>
      <c r="D815" t="s">
        <v>2246</v>
      </c>
      <c r="E815" s="490">
        <v>45299</v>
      </c>
    </row>
    <row r="816" spans="1:5">
      <c r="A816" t="s">
        <v>2798</v>
      </c>
      <c r="B816" t="s">
        <v>92</v>
      </c>
      <c r="C816" t="s">
        <v>503</v>
      </c>
      <c r="D816" t="s">
        <v>2418</v>
      </c>
      <c r="E816" s="490">
        <v>45299</v>
      </c>
    </row>
    <row r="817" spans="1:5">
      <c r="A817">
        <v>240101</v>
      </c>
      <c r="B817" t="s">
        <v>1495</v>
      </c>
      <c r="C817" t="s">
        <v>2063</v>
      </c>
      <c r="D817" t="s">
        <v>2064</v>
      </c>
      <c r="E817" s="490">
        <v>45301</v>
      </c>
    </row>
    <row r="818" spans="1:5">
      <c r="A818">
        <v>240102</v>
      </c>
      <c r="B818" t="s">
        <v>1495</v>
      </c>
      <c r="C818" t="s">
        <v>497</v>
      </c>
      <c r="D818" t="s">
        <v>498</v>
      </c>
      <c r="E818" s="490">
        <v>45301</v>
      </c>
    </row>
    <row r="819" spans="1:5">
      <c r="A819">
        <v>220806</v>
      </c>
      <c r="B819" t="s">
        <v>178</v>
      </c>
      <c r="C819" t="s">
        <v>1782</v>
      </c>
      <c r="D819" t="s">
        <v>1783</v>
      </c>
      <c r="E819" s="490">
        <v>45306</v>
      </c>
    </row>
    <row r="820" spans="1:5">
      <c r="A820">
        <v>240103</v>
      </c>
      <c r="B820" t="s">
        <v>1116</v>
      </c>
      <c r="C820" t="s">
        <v>164</v>
      </c>
      <c r="D820" t="s">
        <v>2065</v>
      </c>
      <c r="E820" s="490">
        <v>45306</v>
      </c>
    </row>
    <row r="821" spans="1:5">
      <c r="A821">
        <v>240104</v>
      </c>
      <c r="B821" t="s">
        <v>1130</v>
      </c>
      <c r="C821" t="s">
        <v>477</v>
      </c>
      <c r="D821" t="s">
        <v>478</v>
      </c>
      <c r="E821" s="490">
        <v>45309</v>
      </c>
    </row>
    <row r="822" spans="1:5">
      <c r="A822">
        <v>240105</v>
      </c>
      <c r="B822" t="s">
        <v>1130</v>
      </c>
      <c r="C822" t="s">
        <v>479</v>
      </c>
      <c r="D822" t="s">
        <v>480</v>
      </c>
      <c r="E822" s="490">
        <v>45309</v>
      </c>
    </row>
    <row r="823" spans="1:5">
      <c r="A823">
        <v>240106</v>
      </c>
      <c r="B823" t="s">
        <v>1130</v>
      </c>
      <c r="C823" t="s">
        <v>481</v>
      </c>
      <c r="D823" t="s">
        <v>482</v>
      </c>
      <c r="E823" s="490">
        <v>45309</v>
      </c>
    </row>
    <row r="824" spans="1:5">
      <c r="A824">
        <v>240107</v>
      </c>
      <c r="B824" t="s">
        <v>1130</v>
      </c>
      <c r="C824" t="s">
        <v>483</v>
      </c>
      <c r="D824" t="s">
        <v>484</v>
      </c>
      <c r="E824" s="490">
        <v>45309</v>
      </c>
    </row>
    <row r="825" spans="1:5">
      <c r="A825">
        <v>240108</v>
      </c>
      <c r="B825" t="s">
        <v>1130</v>
      </c>
      <c r="C825" t="s">
        <v>417</v>
      </c>
      <c r="D825" t="s">
        <v>418</v>
      </c>
      <c r="E825" s="490">
        <v>45309</v>
      </c>
    </row>
    <row r="826" spans="1:5">
      <c r="A826">
        <v>240109</v>
      </c>
      <c r="B826" t="s">
        <v>1183</v>
      </c>
      <c r="C826" t="s">
        <v>2066</v>
      </c>
      <c r="D826" t="s">
        <v>2067</v>
      </c>
      <c r="E826" s="490">
        <v>45313</v>
      </c>
    </row>
    <row r="827" spans="1:5">
      <c r="A827">
        <v>240110</v>
      </c>
      <c r="B827" t="s">
        <v>1130</v>
      </c>
      <c r="C827" t="s">
        <v>493</v>
      </c>
      <c r="D827" t="s">
        <v>494</v>
      </c>
      <c r="E827" s="490">
        <v>45314</v>
      </c>
    </row>
    <row r="828" spans="1:5">
      <c r="A828">
        <v>240114</v>
      </c>
      <c r="B828" t="s">
        <v>76</v>
      </c>
      <c r="C828" t="s">
        <v>2068</v>
      </c>
      <c r="D828" t="s">
        <v>2069</v>
      </c>
      <c r="E828" s="490">
        <v>45314</v>
      </c>
    </row>
    <row r="829" spans="1:5">
      <c r="A829">
        <v>240115</v>
      </c>
      <c r="B829" t="s">
        <v>76</v>
      </c>
      <c r="C829" t="s">
        <v>2070</v>
      </c>
      <c r="D829" t="s">
        <v>2071</v>
      </c>
      <c r="E829" s="490">
        <v>45314</v>
      </c>
    </row>
    <row r="830" spans="1:5">
      <c r="A830">
        <v>240111</v>
      </c>
      <c r="B830" t="s">
        <v>1130</v>
      </c>
      <c r="C830" t="s">
        <v>488</v>
      </c>
      <c r="D830" t="s">
        <v>489</v>
      </c>
      <c r="E830" s="490">
        <v>45314</v>
      </c>
    </row>
    <row r="831" spans="1:5">
      <c r="A831">
        <v>240112</v>
      </c>
      <c r="B831" t="s">
        <v>1130</v>
      </c>
      <c r="C831" t="s">
        <v>495</v>
      </c>
      <c r="D831" t="s">
        <v>496</v>
      </c>
      <c r="E831" s="490">
        <v>45314</v>
      </c>
    </row>
    <row r="832" spans="1:5">
      <c r="A832">
        <v>240113</v>
      </c>
      <c r="B832" t="s">
        <v>1130</v>
      </c>
      <c r="C832" t="s">
        <v>490</v>
      </c>
      <c r="D832" t="s">
        <v>491</v>
      </c>
      <c r="E832" s="490">
        <v>45314</v>
      </c>
    </row>
    <row r="833" spans="1:5">
      <c r="A833">
        <v>240116</v>
      </c>
      <c r="B833" t="s">
        <v>1130</v>
      </c>
      <c r="C833" t="s">
        <v>2072</v>
      </c>
      <c r="D833" t="s">
        <v>2073</v>
      </c>
      <c r="E833" s="490">
        <v>45316</v>
      </c>
    </row>
    <row r="834" spans="1:5">
      <c r="A834">
        <v>240117</v>
      </c>
      <c r="B834" t="s">
        <v>1130</v>
      </c>
      <c r="C834" t="s">
        <v>486</v>
      </c>
      <c r="D834" t="s">
        <v>487</v>
      </c>
      <c r="E834" s="490">
        <v>45316</v>
      </c>
    </row>
    <row r="835" spans="1:5">
      <c r="A835">
        <v>220214</v>
      </c>
      <c r="B835" t="s">
        <v>1255</v>
      </c>
      <c r="C835" t="s">
        <v>1622</v>
      </c>
      <c r="D835" t="s">
        <v>1623</v>
      </c>
      <c r="E835" s="490">
        <v>45321</v>
      </c>
    </row>
    <row r="836" spans="1:5">
      <c r="A836">
        <v>240201</v>
      </c>
      <c r="B836" t="s">
        <v>1593</v>
      </c>
      <c r="C836" t="s">
        <v>2074</v>
      </c>
      <c r="D836" t="s">
        <v>2075</v>
      </c>
      <c r="E836" s="490">
        <v>45323</v>
      </c>
    </row>
    <row r="837" spans="1:5">
      <c r="A837">
        <v>240202</v>
      </c>
      <c r="B837" t="s">
        <v>264</v>
      </c>
      <c r="C837" t="s">
        <v>2076</v>
      </c>
      <c r="D837" t="s">
        <v>2077</v>
      </c>
      <c r="E837" s="490">
        <v>45323</v>
      </c>
    </row>
    <row r="838" spans="1:5">
      <c r="A838">
        <v>201001</v>
      </c>
      <c r="B838" t="s">
        <v>1356</v>
      </c>
      <c r="C838" t="s">
        <v>1097</v>
      </c>
      <c r="D838" t="s">
        <v>1098</v>
      </c>
      <c r="E838" s="490">
        <v>45327</v>
      </c>
    </row>
    <row r="839" spans="1:5">
      <c r="A839">
        <v>240203</v>
      </c>
      <c r="B839" t="s">
        <v>510</v>
      </c>
      <c r="C839" t="s">
        <v>334</v>
      </c>
      <c r="D839" t="s">
        <v>335</v>
      </c>
      <c r="E839" s="490">
        <v>45341</v>
      </c>
    </row>
    <row r="840" spans="1:5">
      <c r="A840">
        <v>240204</v>
      </c>
      <c r="B840" t="s">
        <v>264</v>
      </c>
      <c r="C840" t="s">
        <v>508</v>
      </c>
      <c r="D840" t="s">
        <v>509</v>
      </c>
      <c r="E840" s="490">
        <v>45341</v>
      </c>
    </row>
    <row r="841" spans="1:5">
      <c r="A841">
        <v>240205</v>
      </c>
      <c r="B841" t="s">
        <v>1079</v>
      </c>
      <c r="C841" t="s">
        <v>2078</v>
      </c>
      <c r="D841" t="s">
        <v>2079</v>
      </c>
      <c r="E841" s="490">
        <v>45341</v>
      </c>
    </row>
    <row r="842" spans="1:5">
      <c r="A842">
        <v>240206</v>
      </c>
      <c r="B842" t="s">
        <v>264</v>
      </c>
      <c r="C842" t="s">
        <v>2080</v>
      </c>
      <c r="D842" t="s">
        <v>2081</v>
      </c>
      <c r="E842" s="490">
        <v>45348</v>
      </c>
    </row>
    <row r="843" spans="1:5">
      <c r="A843">
        <v>240207</v>
      </c>
      <c r="B843" t="s">
        <v>1183</v>
      </c>
      <c r="C843" t="s">
        <v>2082</v>
      </c>
      <c r="D843" t="s">
        <v>2083</v>
      </c>
      <c r="E843" s="490">
        <v>45351</v>
      </c>
    </row>
    <row r="844" spans="1:5">
      <c r="A844">
        <v>240301</v>
      </c>
      <c r="B844" t="s">
        <v>76</v>
      </c>
      <c r="C844" t="s">
        <v>2084</v>
      </c>
      <c r="D844" t="s">
        <v>2085</v>
      </c>
      <c r="E844" s="490">
        <v>45355</v>
      </c>
    </row>
    <row r="845" spans="1:5">
      <c r="A845">
        <v>240302</v>
      </c>
      <c r="B845" t="s">
        <v>264</v>
      </c>
      <c r="C845" t="s">
        <v>2086</v>
      </c>
      <c r="D845" t="s">
        <v>2087</v>
      </c>
      <c r="E845" s="490">
        <v>45356</v>
      </c>
    </row>
    <row r="846" spans="1:5">
      <c r="A846">
        <v>240303</v>
      </c>
      <c r="B846" t="s">
        <v>264</v>
      </c>
      <c r="C846" t="s">
        <v>2088</v>
      </c>
      <c r="D846" t="s">
        <v>2089</v>
      </c>
      <c r="E846" s="490">
        <v>45357</v>
      </c>
    </row>
    <row r="847" spans="1:5">
      <c r="A847">
        <v>240304</v>
      </c>
      <c r="B847" t="s">
        <v>1773</v>
      </c>
      <c r="C847" t="s">
        <v>2090</v>
      </c>
      <c r="D847" t="s">
        <v>2091</v>
      </c>
      <c r="E847" s="490">
        <v>45357</v>
      </c>
    </row>
    <row r="848" spans="1:5">
      <c r="A848">
        <v>240305</v>
      </c>
      <c r="B848" t="s">
        <v>1106</v>
      </c>
      <c r="C848" t="s">
        <v>2092</v>
      </c>
      <c r="D848" t="s">
        <v>2093</v>
      </c>
      <c r="E848" s="490">
        <v>45359</v>
      </c>
    </row>
    <row r="849" spans="1:5">
      <c r="A849">
        <v>240306</v>
      </c>
      <c r="B849" t="s">
        <v>1106</v>
      </c>
      <c r="C849" t="s">
        <v>2094</v>
      </c>
      <c r="D849" t="s">
        <v>2095</v>
      </c>
      <c r="E849" s="490">
        <v>45359</v>
      </c>
    </row>
    <row r="850" spans="1:5">
      <c r="A850">
        <v>240307</v>
      </c>
      <c r="B850" t="s">
        <v>1106</v>
      </c>
      <c r="C850" t="s">
        <v>2096</v>
      </c>
      <c r="D850" t="s">
        <v>2097</v>
      </c>
      <c r="E850" s="490">
        <v>45359</v>
      </c>
    </row>
    <row r="851" spans="1:5">
      <c r="A851">
        <v>240308</v>
      </c>
      <c r="B851" t="s">
        <v>1116</v>
      </c>
      <c r="C851" t="s">
        <v>2098</v>
      </c>
      <c r="D851" t="s">
        <v>2099</v>
      </c>
      <c r="E851" s="490">
        <v>45362</v>
      </c>
    </row>
    <row r="852" spans="1:5">
      <c r="A852">
        <v>240309</v>
      </c>
      <c r="B852" t="s">
        <v>264</v>
      </c>
      <c r="C852" t="s">
        <v>2100</v>
      </c>
      <c r="D852" t="s">
        <v>2101</v>
      </c>
      <c r="E852" s="490">
        <v>45362</v>
      </c>
    </row>
    <row r="853" spans="1:5">
      <c r="A853" t="s">
        <v>2800</v>
      </c>
      <c r="B853" t="s">
        <v>124</v>
      </c>
      <c r="C853" t="s">
        <v>517</v>
      </c>
      <c r="D853" t="s">
        <v>518</v>
      </c>
      <c r="E853" s="490">
        <v>45362</v>
      </c>
    </row>
    <row r="854" spans="1:5">
      <c r="A854" t="s">
        <v>2801</v>
      </c>
      <c r="B854" t="s">
        <v>124</v>
      </c>
      <c r="C854" t="s">
        <v>519</v>
      </c>
      <c r="D854" t="s">
        <v>520</v>
      </c>
      <c r="E854" s="490">
        <v>45362</v>
      </c>
    </row>
    <row r="855" spans="1:5">
      <c r="A855" t="s">
        <v>2802</v>
      </c>
      <c r="B855" t="s">
        <v>124</v>
      </c>
      <c r="C855" t="s">
        <v>521</v>
      </c>
      <c r="D855" t="s">
        <v>522</v>
      </c>
      <c r="E855" s="490">
        <v>45362</v>
      </c>
    </row>
    <row r="856" spans="1:5">
      <c r="A856" t="s">
        <v>2803</v>
      </c>
      <c r="B856" t="s">
        <v>124</v>
      </c>
      <c r="C856" t="s">
        <v>523</v>
      </c>
      <c r="D856" t="s">
        <v>524</v>
      </c>
      <c r="E856" s="490">
        <v>45362</v>
      </c>
    </row>
    <row r="857" spans="1:5">
      <c r="A857" t="s">
        <v>2804</v>
      </c>
      <c r="B857" t="s">
        <v>124</v>
      </c>
      <c r="C857" t="s">
        <v>525</v>
      </c>
      <c r="D857" t="s">
        <v>526</v>
      </c>
      <c r="E857" s="490">
        <v>45362</v>
      </c>
    </row>
    <row r="858" spans="1:5">
      <c r="A858">
        <v>220315</v>
      </c>
      <c r="B858" t="s">
        <v>1116</v>
      </c>
      <c r="C858" t="s">
        <v>1654</v>
      </c>
      <c r="D858" t="s">
        <v>1655</v>
      </c>
      <c r="E858" s="490">
        <v>45363</v>
      </c>
    </row>
    <row r="859" spans="1:5">
      <c r="A859">
        <v>240310</v>
      </c>
      <c r="B859" t="s">
        <v>1130</v>
      </c>
      <c r="C859" t="s">
        <v>2102</v>
      </c>
      <c r="D859" t="s">
        <v>2103</v>
      </c>
      <c r="E859" s="490">
        <v>45363</v>
      </c>
    </row>
    <row r="860" spans="1:5">
      <c r="A860">
        <v>240311</v>
      </c>
      <c r="B860" t="s">
        <v>1130</v>
      </c>
      <c r="C860" t="s">
        <v>2104</v>
      </c>
      <c r="D860" t="s">
        <v>2105</v>
      </c>
      <c r="E860" s="490">
        <v>45363</v>
      </c>
    </row>
    <row r="861" spans="1:5">
      <c r="A861">
        <v>240312</v>
      </c>
      <c r="B861" t="s">
        <v>1130</v>
      </c>
      <c r="C861" t="s">
        <v>2106</v>
      </c>
      <c r="D861" t="s">
        <v>2107</v>
      </c>
      <c r="E861" s="490">
        <v>45363</v>
      </c>
    </row>
    <row r="862" spans="1:5">
      <c r="A862">
        <v>240313</v>
      </c>
      <c r="B862" t="s">
        <v>1773</v>
      </c>
      <c r="C862" t="s">
        <v>1040</v>
      </c>
      <c r="D862" t="s">
        <v>1041</v>
      </c>
      <c r="E862" s="490">
        <v>45364</v>
      </c>
    </row>
    <row r="863" spans="1:5">
      <c r="A863">
        <v>240314</v>
      </c>
      <c r="B863" t="s">
        <v>1106</v>
      </c>
      <c r="C863" t="s">
        <v>2108</v>
      </c>
      <c r="D863" t="s">
        <v>2109</v>
      </c>
      <c r="E863" s="490">
        <v>45365</v>
      </c>
    </row>
    <row r="864" spans="1:5">
      <c r="A864">
        <v>240315</v>
      </c>
      <c r="B864" t="s">
        <v>1106</v>
      </c>
      <c r="C864" t="s">
        <v>2110</v>
      </c>
      <c r="D864" t="s">
        <v>2111</v>
      </c>
      <c r="E864" s="490">
        <v>45365</v>
      </c>
    </row>
    <row r="865" spans="1:5">
      <c r="A865">
        <v>240319</v>
      </c>
      <c r="B865" t="s">
        <v>1079</v>
      </c>
      <c r="C865" t="s">
        <v>2112</v>
      </c>
      <c r="D865" t="s">
        <v>2113</v>
      </c>
      <c r="E865" s="490">
        <v>45366</v>
      </c>
    </row>
    <row r="866" spans="1:5">
      <c r="A866">
        <v>240316</v>
      </c>
      <c r="B866" t="s">
        <v>1130</v>
      </c>
      <c r="C866" t="s">
        <v>2114</v>
      </c>
      <c r="D866" t="s">
        <v>2115</v>
      </c>
      <c r="E866" s="490">
        <v>45366</v>
      </c>
    </row>
    <row r="867" spans="1:5">
      <c r="A867">
        <v>240317</v>
      </c>
      <c r="B867" t="s">
        <v>1103</v>
      </c>
      <c r="C867" t="s">
        <v>1225</v>
      </c>
      <c r="D867" t="s">
        <v>1226</v>
      </c>
      <c r="E867" s="490">
        <v>45366</v>
      </c>
    </row>
    <row r="868" spans="1:5">
      <c r="A868">
        <v>240318</v>
      </c>
      <c r="B868" t="s">
        <v>1103</v>
      </c>
      <c r="C868" t="s">
        <v>30</v>
      </c>
      <c r="D868" t="s">
        <v>1804</v>
      </c>
      <c r="E868" s="490">
        <v>45366</v>
      </c>
    </row>
    <row r="869" spans="1:5">
      <c r="A869">
        <v>210801</v>
      </c>
      <c r="B869" t="s">
        <v>1197</v>
      </c>
      <c r="C869" t="s">
        <v>1363</v>
      </c>
      <c r="D869" t="s">
        <v>1364</v>
      </c>
      <c r="E869" s="490">
        <v>45369</v>
      </c>
    </row>
    <row r="870" spans="1:5">
      <c r="A870">
        <v>240321</v>
      </c>
      <c r="B870" t="s">
        <v>1099</v>
      </c>
      <c r="C870" t="s">
        <v>2116</v>
      </c>
      <c r="D870" t="s">
        <v>2117</v>
      </c>
      <c r="E870" s="490">
        <v>45369</v>
      </c>
    </row>
    <row r="871" spans="1:5">
      <c r="A871">
        <v>211031</v>
      </c>
      <c r="B871" t="s">
        <v>50</v>
      </c>
      <c r="C871" t="s">
        <v>1307</v>
      </c>
      <c r="D871" t="s">
        <v>1308</v>
      </c>
      <c r="E871" s="490">
        <v>45372</v>
      </c>
    </row>
    <row r="872" spans="1:5">
      <c r="A872">
        <v>240322</v>
      </c>
      <c r="B872" t="s">
        <v>76</v>
      </c>
      <c r="C872" t="s">
        <v>2118</v>
      </c>
      <c r="D872" t="s">
        <v>2119</v>
      </c>
      <c r="E872" s="490">
        <v>45372</v>
      </c>
    </row>
    <row r="873" spans="1:5">
      <c r="A873">
        <v>240323</v>
      </c>
      <c r="B873" t="s">
        <v>178</v>
      </c>
      <c r="C873" t="s">
        <v>2120</v>
      </c>
      <c r="D873" t="s">
        <v>2121</v>
      </c>
      <c r="E873" s="490">
        <v>45372</v>
      </c>
    </row>
    <row r="874" spans="1:5">
      <c r="A874">
        <v>240324</v>
      </c>
      <c r="B874" t="s">
        <v>1593</v>
      </c>
      <c r="C874" t="s">
        <v>2122</v>
      </c>
      <c r="D874" t="s">
        <v>2123</v>
      </c>
      <c r="E874" s="490">
        <v>45376</v>
      </c>
    </row>
    <row r="875" spans="1:5">
      <c r="A875">
        <v>240401</v>
      </c>
      <c r="B875" t="s">
        <v>1106</v>
      </c>
      <c r="C875" t="s">
        <v>2124</v>
      </c>
      <c r="D875" t="s">
        <v>2125</v>
      </c>
      <c r="E875" s="490">
        <v>45384</v>
      </c>
    </row>
    <row r="876" spans="1:5">
      <c r="A876">
        <v>240402</v>
      </c>
      <c r="B876" t="s">
        <v>1106</v>
      </c>
      <c r="C876" t="s">
        <v>334</v>
      </c>
      <c r="D876" t="s">
        <v>335</v>
      </c>
      <c r="E876" s="490">
        <v>45384</v>
      </c>
    </row>
    <row r="877" spans="1:5">
      <c r="A877">
        <v>211211</v>
      </c>
      <c r="B877" t="s">
        <v>1116</v>
      </c>
      <c r="C877" t="s">
        <v>1527</v>
      </c>
      <c r="D877" t="s">
        <v>1528</v>
      </c>
      <c r="E877" s="490">
        <v>45386</v>
      </c>
    </row>
    <row r="878" spans="1:5">
      <c r="A878">
        <v>240403</v>
      </c>
      <c r="B878" t="s">
        <v>1593</v>
      </c>
      <c r="C878" t="s">
        <v>209</v>
      </c>
      <c r="D878" t="s">
        <v>210</v>
      </c>
      <c r="E878" s="490">
        <v>45393</v>
      </c>
    </row>
    <row r="879" spans="1:5">
      <c r="A879">
        <v>240404</v>
      </c>
      <c r="B879" t="s">
        <v>1593</v>
      </c>
      <c r="C879" t="s">
        <v>2126</v>
      </c>
      <c r="D879" t="s">
        <v>2127</v>
      </c>
      <c r="E879" s="490">
        <v>45393</v>
      </c>
    </row>
    <row r="880" spans="1:5">
      <c r="A880">
        <v>211020</v>
      </c>
      <c r="B880" t="s">
        <v>1106</v>
      </c>
      <c r="C880" t="s">
        <v>1460</v>
      </c>
      <c r="D880" t="s">
        <v>1461</v>
      </c>
      <c r="E880" s="490">
        <v>45397</v>
      </c>
    </row>
    <row r="881" spans="1:5">
      <c r="A881">
        <v>240405</v>
      </c>
      <c r="B881" t="s">
        <v>178</v>
      </c>
      <c r="C881" t="s">
        <v>2128</v>
      </c>
      <c r="D881" t="s">
        <v>2129</v>
      </c>
      <c r="E881" s="490">
        <v>45398</v>
      </c>
    </row>
    <row r="882" spans="1:5">
      <c r="A882">
        <v>240406</v>
      </c>
      <c r="B882" t="s">
        <v>178</v>
      </c>
      <c r="C882" t="s">
        <v>409</v>
      </c>
      <c r="D882" t="s">
        <v>410</v>
      </c>
      <c r="E882" s="490">
        <v>45398</v>
      </c>
    </row>
    <row r="883" spans="1:5">
      <c r="A883">
        <v>240407</v>
      </c>
      <c r="B883" t="s">
        <v>178</v>
      </c>
      <c r="C883" t="s">
        <v>2130</v>
      </c>
      <c r="D883" t="s">
        <v>2131</v>
      </c>
      <c r="E883" s="490">
        <v>45398</v>
      </c>
    </row>
    <row r="884" spans="1:5">
      <c r="A884">
        <v>240408</v>
      </c>
      <c r="B884" t="s">
        <v>1192</v>
      </c>
      <c r="C884" t="s">
        <v>561</v>
      </c>
      <c r="D884" t="s">
        <v>562</v>
      </c>
      <c r="E884" s="490">
        <v>45399</v>
      </c>
    </row>
    <row r="885" spans="1:5">
      <c r="A885">
        <v>240409</v>
      </c>
      <c r="B885" t="s">
        <v>1192</v>
      </c>
      <c r="C885" t="s">
        <v>2132</v>
      </c>
      <c r="D885" t="s">
        <v>2133</v>
      </c>
      <c r="E885" s="490">
        <v>45399</v>
      </c>
    </row>
    <row r="886" spans="1:5">
      <c r="A886">
        <v>240410</v>
      </c>
      <c r="B886" t="s">
        <v>1192</v>
      </c>
      <c r="C886" t="s">
        <v>2134</v>
      </c>
      <c r="D886" t="s">
        <v>2135</v>
      </c>
      <c r="E886" s="490">
        <v>45399</v>
      </c>
    </row>
    <row r="887" spans="1:5">
      <c r="A887">
        <v>240412</v>
      </c>
      <c r="B887" t="s">
        <v>1192</v>
      </c>
      <c r="C887" t="s">
        <v>2098</v>
      </c>
      <c r="D887" t="s">
        <v>2138</v>
      </c>
      <c r="E887" s="490">
        <v>45399</v>
      </c>
    </row>
    <row r="888" spans="1:5">
      <c r="A888">
        <v>240411</v>
      </c>
      <c r="B888" t="s">
        <v>239</v>
      </c>
      <c r="C888" t="s">
        <v>2136</v>
      </c>
      <c r="D888" t="s">
        <v>2137</v>
      </c>
      <c r="E888" s="490">
        <v>45399</v>
      </c>
    </row>
    <row r="889" spans="1:5">
      <c r="A889">
        <v>240413</v>
      </c>
      <c r="B889" t="s">
        <v>1192</v>
      </c>
      <c r="C889" t="s">
        <v>1473</v>
      </c>
      <c r="D889" t="s">
        <v>1474</v>
      </c>
      <c r="E889" s="490">
        <v>45404</v>
      </c>
    </row>
    <row r="890" spans="1:5">
      <c r="A890">
        <v>240501</v>
      </c>
      <c r="B890" t="s">
        <v>178</v>
      </c>
      <c r="C890" t="s">
        <v>2139</v>
      </c>
      <c r="D890" t="s">
        <v>2140</v>
      </c>
      <c r="E890" s="490">
        <v>45418</v>
      </c>
    </row>
    <row r="891" spans="1:5">
      <c r="A891">
        <v>240502</v>
      </c>
      <c r="B891" t="s">
        <v>239</v>
      </c>
      <c r="C891" t="s">
        <v>2141</v>
      </c>
      <c r="D891" t="s">
        <v>2142</v>
      </c>
      <c r="E891" s="490">
        <v>45418</v>
      </c>
    </row>
    <row r="892" spans="1:5">
      <c r="A892">
        <v>240503</v>
      </c>
      <c r="B892" t="s">
        <v>239</v>
      </c>
      <c r="C892" t="s">
        <v>2143</v>
      </c>
      <c r="D892" t="s">
        <v>2144</v>
      </c>
      <c r="E892" s="490">
        <v>45418</v>
      </c>
    </row>
    <row r="893" spans="1:5">
      <c r="A893">
        <v>240504</v>
      </c>
      <c r="B893" t="s">
        <v>1103</v>
      </c>
      <c r="C893" t="s">
        <v>2145</v>
      </c>
      <c r="D893" t="s">
        <v>2146</v>
      </c>
      <c r="E893" s="490">
        <v>45422</v>
      </c>
    </row>
    <row r="894" spans="1:5">
      <c r="A894">
        <v>240506</v>
      </c>
      <c r="B894" t="s">
        <v>178</v>
      </c>
      <c r="C894" t="s">
        <v>2147</v>
      </c>
      <c r="D894" t="s">
        <v>2148</v>
      </c>
      <c r="E894" s="490">
        <v>45425</v>
      </c>
    </row>
    <row r="895" spans="1:5">
      <c r="A895">
        <v>240505</v>
      </c>
      <c r="B895" t="s">
        <v>1116</v>
      </c>
      <c r="C895" t="s">
        <v>2149</v>
      </c>
      <c r="D895" t="s">
        <v>2150</v>
      </c>
      <c r="E895" s="490">
        <v>45425</v>
      </c>
    </row>
    <row r="896" spans="1:5">
      <c r="A896">
        <v>210424</v>
      </c>
      <c r="B896" t="s">
        <v>1255</v>
      </c>
      <c r="C896" t="s">
        <v>209</v>
      </c>
      <c r="D896" t="s">
        <v>1276</v>
      </c>
      <c r="E896" s="490">
        <v>45439</v>
      </c>
    </row>
    <row r="897" spans="1:5">
      <c r="A897">
        <v>240507</v>
      </c>
      <c r="B897" t="s">
        <v>1183</v>
      </c>
      <c r="C897" t="s">
        <v>2151</v>
      </c>
      <c r="D897" t="s">
        <v>2152</v>
      </c>
      <c r="E897" s="490">
        <v>45439</v>
      </c>
    </row>
    <row r="898" spans="1:5">
      <c r="A898">
        <v>201204</v>
      </c>
      <c r="B898" t="s">
        <v>264</v>
      </c>
      <c r="C898" t="s">
        <v>1120</v>
      </c>
      <c r="D898" t="s">
        <v>1121</v>
      </c>
      <c r="E898" s="490">
        <v>45446</v>
      </c>
    </row>
    <row r="899" spans="1:5">
      <c r="A899">
        <v>231011</v>
      </c>
      <c r="B899" t="s">
        <v>239</v>
      </c>
      <c r="C899" t="s">
        <v>2034</v>
      </c>
      <c r="D899" t="s">
        <v>2035</v>
      </c>
      <c r="E899" s="490">
        <v>45446</v>
      </c>
    </row>
    <row r="900" spans="1:5">
      <c r="A900">
        <v>230906</v>
      </c>
      <c r="B900" t="s">
        <v>1192</v>
      </c>
      <c r="C900" t="s">
        <v>2022</v>
      </c>
      <c r="D900" t="s">
        <v>2023</v>
      </c>
      <c r="E900" s="490">
        <v>45453</v>
      </c>
    </row>
    <row r="901" spans="1:5">
      <c r="A901">
        <v>240601</v>
      </c>
      <c r="B901" t="s">
        <v>510</v>
      </c>
      <c r="C901" t="s">
        <v>550</v>
      </c>
      <c r="D901" t="s">
        <v>551</v>
      </c>
      <c r="E901" s="490">
        <v>45460</v>
      </c>
    </row>
    <row r="902" spans="1:5">
      <c r="A902">
        <v>240602</v>
      </c>
      <c r="B902" t="s">
        <v>1875</v>
      </c>
      <c r="C902" t="s">
        <v>537</v>
      </c>
      <c r="D902" t="s">
        <v>538</v>
      </c>
      <c r="E902" s="490">
        <v>45461</v>
      </c>
    </row>
    <row r="903" spans="1:5">
      <c r="A903">
        <v>240603</v>
      </c>
      <c r="B903" t="s">
        <v>50</v>
      </c>
      <c r="C903" t="s">
        <v>547</v>
      </c>
      <c r="D903" t="s">
        <v>548</v>
      </c>
      <c r="E903" s="490">
        <v>45464</v>
      </c>
    </row>
    <row r="904" spans="1:5">
      <c r="A904">
        <v>240604</v>
      </c>
      <c r="B904" t="s">
        <v>1192</v>
      </c>
      <c r="C904" t="s">
        <v>2153</v>
      </c>
      <c r="D904" t="s">
        <v>2154</v>
      </c>
      <c r="E904" s="490">
        <v>45467</v>
      </c>
    </row>
    <row r="905" spans="1:5">
      <c r="A905">
        <v>240605</v>
      </c>
      <c r="B905" t="s">
        <v>1079</v>
      </c>
      <c r="C905" t="s">
        <v>535</v>
      </c>
      <c r="D905" t="s">
        <v>536</v>
      </c>
      <c r="E905" s="490">
        <v>45467</v>
      </c>
    </row>
    <row r="906" spans="1:5">
      <c r="A906" t="s">
        <v>2806</v>
      </c>
      <c r="B906" t="s">
        <v>92</v>
      </c>
      <c r="C906" t="s">
        <v>539</v>
      </c>
      <c r="D906" t="s">
        <v>540</v>
      </c>
      <c r="E906" s="490">
        <v>45467</v>
      </c>
    </row>
    <row r="907" spans="1:5">
      <c r="A907" t="s">
        <v>2807</v>
      </c>
      <c r="B907" t="s">
        <v>92</v>
      </c>
      <c r="C907" t="s">
        <v>541</v>
      </c>
      <c r="D907" t="s">
        <v>542</v>
      </c>
      <c r="E907" s="490">
        <v>45467</v>
      </c>
    </row>
    <row r="908" spans="1:5">
      <c r="A908">
        <v>240606</v>
      </c>
      <c r="B908" t="s">
        <v>178</v>
      </c>
      <c r="C908" t="s">
        <v>543</v>
      </c>
      <c r="D908" t="s">
        <v>544</v>
      </c>
      <c r="E908" s="490">
        <v>45468</v>
      </c>
    </row>
    <row r="909" spans="1:5">
      <c r="A909">
        <v>240607</v>
      </c>
      <c r="B909" t="s">
        <v>510</v>
      </c>
      <c r="C909" t="s">
        <v>552</v>
      </c>
      <c r="D909" t="s">
        <v>553</v>
      </c>
      <c r="E909" s="490">
        <v>45470</v>
      </c>
    </row>
    <row r="910" spans="1:5">
      <c r="A910">
        <v>210908</v>
      </c>
      <c r="B910" t="s">
        <v>50</v>
      </c>
      <c r="C910" t="s">
        <v>1409</v>
      </c>
      <c r="D910" t="s">
        <v>1410</v>
      </c>
      <c r="E910" s="490">
        <v>45474</v>
      </c>
    </row>
    <row r="911" spans="1:5">
      <c r="A911">
        <v>240701</v>
      </c>
      <c r="B911" t="s">
        <v>1079</v>
      </c>
      <c r="C911" t="s">
        <v>2155</v>
      </c>
      <c r="D911" t="s">
        <v>2156</v>
      </c>
      <c r="E911" s="490">
        <v>45474</v>
      </c>
    </row>
    <row r="912" spans="1:5">
      <c r="A912">
        <v>240702</v>
      </c>
      <c r="B912" t="s">
        <v>76</v>
      </c>
      <c r="C912" t="s">
        <v>545</v>
      </c>
      <c r="D912" t="s">
        <v>546</v>
      </c>
      <c r="E912" s="490">
        <v>45474</v>
      </c>
    </row>
    <row r="913" spans="1:5">
      <c r="A913">
        <v>210611</v>
      </c>
      <c r="B913" t="s">
        <v>1192</v>
      </c>
      <c r="C913" t="s">
        <v>1322</v>
      </c>
      <c r="D913" t="s">
        <v>1323</v>
      </c>
      <c r="E913" s="490">
        <v>45481</v>
      </c>
    </row>
    <row r="914" spans="1:5">
      <c r="A914">
        <v>240703</v>
      </c>
      <c r="B914" t="s">
        <v>178</v>
      </c>
      <c r="C914" t="s">
        <v>2157</v>
      </c>
      <c r="D914" t="s">
        <v>2158</v>
      </c>
      <c r="E914" s="490">
        <v>45481</v>
      </c>
    </row>
    <row r="915" spans="1:5">
      <c r="A915">
        <v>240704</v>
      </c>
      <c r="B915" t="s">
        <v>1079</v>
      </c>
      <c r="C915" t="s">
        <v>2159</v>
      </c>
      <c r="D915" t="s">
        <v>2160</v>
      </c>
      <c r="E915" s="490">
        <v>45481</v>
      </c>
    </row>
    <row r="916" spans="1:5">
      <c r="A916">
        <v>240705</v>
      </c>
      <c r="B916" t="s">
        <v>1116</v>
      </c>
      <c r="C916" t="s">
        <v>2161</v>
      </c>
      <c r="D916" t="s">
        <v>2162</v>
      </c>
      <c r="E916" s="490">
        <v>45482</v>
      </c>
    </row>
    <row r="917" spans="1:5">
      <c r="A917">
        <v>240706</v>
      </c>
      <c r="B917" t="s">
        <v>178</v>
      </c>
      <c r="C917" t="s">
        <v>2163</v>
      </c>
      <c r="D917" t="s">
        <v>2164</v>
      </c>
      <c r="E917" s="490">
        <v>45483</v>
      </c>
    </row>
    <row r="918" spans="1:5">
      <c r="A918">
        <v>240707</v>
      </c>
      <c r="B918" t="s">
        <v>178</v>
      </c>
      <c r="C918" t="s">
        <v>2165</v>
      </c>
      <c r="D918" t="s">
        <v>2166</v>
      </c>
      <c r="E918" s="490">
        <v>45483</v>
      </c>
    </row>
    <row r="919" spans="1:5">
      <c r="A919">
        <v>240708</v>
      </c>
      <c r="B919" t="s">
        <v>50</v>
      </c>
      <c r="C919" t="s">
        <v>539</v>
      </c>
      <c r="D919" t="s">
        <v>540</v>
      </c>
      <c r="E919" s="490">
        <v>45485</v>
      </c>
    </row>
    <row r="920" spans="1:5">
      <c r="A920">
        <v>240709</v>
      </c>
      <c r="B920" t="s">
        <v>50</v>
      </c>
      <c r="C920" t="s">
        <v>541</v>
      </c>
      <c r="D920" t="s">
        <v>542</v>
      </c>
      <c r="E920" s="490">
        <v>45485</v>
      </c>
    </row>
    <row r="921" spans="1:5">
      <c r="A921">
        <v>240710</v>
      </c>
      <c r="B921" t="s">
        <v>264</v>
      </c>
      <c r="C921" t="s">
        <v>1073</v>
      </c>
      <c r="D921" t="s">
        <v>1074</v>
      </c>
      <c r="E921" s="490">
        <v>45488</v>
      </c>
    </row>
    <row r="922" spans="1:5">
      <c r="A922">
        <v>210201</v>
      </c>
      <c r="B922" t="s">
        <v>1106</v>
      </c>
      <c r="C922" t="s">
        <v>1175</v>
      </c>
      <c r="D922" t="s">
        <v>1176</v>
      </c>
      <c r="E922" s="490">
        <v>45495</v>
      </c>
    </row>
    <row r="923" spans="1:5">
      <c r="A923">
        <v>240711</v>
      </c>
      <c r="B923" t="s">
        <v>1106</v>
      </c>
      <c r="C923" t="s">
        <v>2167</v>
      </c>
      <c r="D923" t="s">
        <v>2168</v>
      </c>
      <c r="E923" s="490">
        <v>45495</v>
      </c>
    </row>
    <row r="924" spans="1:5">
      <c r="A924">
        <v>240712</v>
      </c>
      <c r="B924" t="s">
        <v>1106</v>
      </c>
      <c r="C924" t="s">
        <v>2169</v>
      </c>
      <c r="D924" t="s">
        <v>2170</v>
      </c>
      <c r="E924" s="490">
        <v>45495</v>
      </c>
    </row>
    <row r="925" spans="1:5">
      <c r="A925">
        <v>210315</v>
      </c>
      <c r="B925" t="s">
        <v>1255</v>
      </c>
      <c r="C925" t="s">
        <v>99</v>
      </c>
      <c r="D925" t="s">
        <v>100</v>
      </c>
      <c r="E925" s="490">
        <v>45505</v>
      </c>
    </row>
    <row r="926" spans="1:5">
      <c r="A926">
        <v>240801</v>
      </c>
      <c r="B926" t="s">
        <v>1705</v>
      </c>
      <c r="C926" t="s">
        <v>2171</v>
      </c>
      <c r="D926" t="s">
        <v>2172</v>
      </c>
      <c r="E926" s="490">
        <v>45505</v>
      </c>
    </row>
    <row r="927" spans="1:5">
      <c r="A927">
        <v>240802</v>
      </c>
      <c r="B927" t="s">
        <v>1130</v>
      </c>
      <c r="C927" t="s">
        <v>2161</v>
      </c>
      <c r="D927" t="s">
        <v>2173</v>
      </c>
      <c r="E927" s="490">
        <v>45505</v>
      </c>
    </row>
    <row r="928" spans="1:5">
      <c r="A928">
        <v>19</v>
      </c>
      <c r="B928" t="s">
        <v>428</v>
      </c>
      <c r="C928" t="s">
        <v>2317</v>
      </c>
      <c r="D928" t="s">
        <v>2318</v>
      </c>
      <c r="E928" s="490">
        <v>45505</v>
      </c>
    </row>
    <row r="929" spans="1:5">
      <c r="A929">
        <v>240803</v>
      </c>
      <c r="B929" t="s">
        <v>1130</v>
      </c>
      <c r="C929" t="s">
        <v>305</v>
      </c>
      <c r="D929" t="s">
        <v>306</v>
      </c>
      <c r="E929" s="490">
        <v>45506</v>
      </c>
    </row>
    <row r="930" spans="1:5">
      <c r="A930">
        <v>240804</v>
      </c>
      <c r="B930" t="s">
        <v>1130</v>
      </c>
      <c r="C930" t="s">
        <v>2174</v>
      </c>
      <c r="D930" t="s">
        <v>2175</v>
      </c>
      <c r="E930" s="490">
        <v>45506</v>
      </c>
    </row>
    <row r="931" spans="1:5">
      <c r="A931">
        <v>240805</v>
      </c>
      <c r="B931" t="s">
        <v>1705</v>
      </c>
      <c r="C931" t="s">
        <v>2176</v>
      </c>
      <c r="D931" t="s">
        <v>2177</v>
      </c>
      <c r="E931" s="490">
        <v>45509</v>
      </c>
    </row>
    <row r="932" spans="1:5">
      <c r="A932">
        <v>210906</v>
      </c>
      <c r="B932" t="s">
        <v>1705</v>
      </c>
      <c r="C932" t="s">
        <v>32</v>
      </c>
      <c r="D932" t="s">
        <v>1406</v>
      </c>
      <c r="E932" s="490">
        <v>45510</v>
      </c>
    </row>
    <row r="933" spans="1:5">
      <c r="A933">
        <v>240806</v>
      </c>
      <c r="B933" t="s">
        <v>1705</v>
      </c>
      <c r="C933" t="s">
        <v>2178</v>
      </c>
      <c r="D933" t="s">
        <v>2179</v>
      </c>
      <c r="E933" s="490">
        <v>45510</v>
      </c>
    </row>
    <row r="934" spans="1:5">
      <c r="A934">
        <v>240807</v>
      </c>
      <c r="B934" t="s">
        <v>50</v>
      </c>
      <c r="C934" t="s">
        <v>2180</v>
      </c>
      <c r="D934" t="s">
        <v>2181</v>
      </c>
      <c r="E934" s="490">
        <v>45510</v>
      </c>
    </row>
    <row r="935" spans="1:5">
      <c r="A935">
        <v>240808</v>
      </c>
      <c r="B935" t="s">
        <v>50</v>
      </c>
      <c r="C935" t="s">
        <v>2182</v>
      </c>
      <c r="D935" t="s">
        <v>2183</v>
      </c>
      <c r="E935" s="490">
        <v>45510</v>
      </c>
    </row>
    <row r="936" spans="1:5">
      <c r="A936">
        <v>240809</v>
      </c>
      <c r="B936" t="s">
        <v>50</v>
      </c>
      <c r="C936" t="s">
        <v>358</v>
      </c>
      <c r="D936" t="s">
        <v>2184</v>
      </c>
      <c r="E936" s="490">
        <v>45510</v>
      </c>
    </row>
    <row r="937" spans="1:5">
      <c r="A937">
        <v>240810</v>
      </c>
      <c r="B937" t="s">
        <v>1116</v>
      </c>
      <c r="C937" t="s">
        <v>359</v>
      </c>
      <c r="D937" t="s">
        <v>360</v>
      </c>
      <c r="E937" s="490">
        <v>45510</v>
      </c>
    </row>
    <row r="938" spans="1:5">
      <c r="A938">
        <v>240811</v>
      </c>
      <c r="B938" t="s">
        <v>1705</v>
      </c>
      <c r="C938" t="s">
        <v>2185</v>
      </c>
      <c r="D938" t="s">
        <v>2186</v>
      </c>
      <c r="E938" s="490">
        <v>45512</v>
      </c>
    </row>
    <row r="939" spans="1:5">
      <c r="A939">
        <v>210108</v>
      </c>
      <c r="B939" t="s">
        <v>1116</v>
      </c>
      <c r="C939" t="s">
        <v>1149</v>
      </c>
      <c r="D939" t="s">
        <v>1150</v>
      </c>
      <c r="E939" s="490">
        <v>45523</v>
      </c>
    </row>
    <row r="940" spans="1:5">
      <c r="A940">
        <v>240812</v>
      </c>
      <c r="B940" t="s">
        <v>50</v>
      </c>
      <c r="C940" t="s">
        <v>2187</v>
      </c>
      <c r="D940" t="s">
        <v>2188</v>
      </c>
      <c r="E940" s="490">
        <v>45524</v>
      </c>
    </row>
    <row r="941" spans="1:5">
      <c r="A941">
        <v>220506</v>
      </c>
      <c r="B941" t="s">
        <v>1705</v>
      </c>
      <c r="C941" t="s">
        <v>1706</v>
      </c>
      <c r="D941" t="s">
        <v>1707</v>
      </c>
      <c r="E941" s="490">
        <v>45525</v>
      </c>
    </row>
    <row r="942" spans="1:5">
      <c r="A942">
        <v>240813</v>
      </c>
      <c r="B942" t="s">
        <v>1705</v>
      </c>
      <c r="C942" t="s">
        <v>2189</v>
      </c>
      <c r="D942" t="s">
        <v>2190</v>
      </c>
      <c r="E942" s="490">
        <v>45525</v>
      </c>
    </row>
    <row r="943" spans="1:5">
      <c r="A943">
        <v>240814</v>
      </c>
      <c r="B943" t="s">
        <v>1705</v>
      </c>
      <c r="C943" t="s">
        <v>2191</v>
      </c>
      <c r="D943" t="s">
        <v>2192</v>
      </c>
      <c r="E943" s="490">
        <v>45525</v>
      </c>
    </row>
    <row r="944" spans="1:5">
      <c r="A944">
        <v>240815</v>
      </c>
      <c r="B944" t="s">
        <v>1705</v>
      </c>
      <c r="C944" t="s">
        <v>2193</v>
      </c>
      <c r="D944" t="s">
        <v>2194</v>
      </c>
      <c r="E944" s="490">
        <v>45526</v>
      </c>
    </row>
    <row r="945" spans="1:5">
      <c r="A945">
        <v>240408</v>
      </c>
      <c r="B945" t="s">
        <v>239</v>
      </c>
      <c r="C945" t="s">
        <v>561</v>
      </c>
      <c r="D945" t="s">
        <v>562</v>
      </c>
      <c r="E945" s="490">
        <v>45530</v>
      </c>
    </row>
    <row r="946" spans="1:5">
      <c r="A946">
        <v>240816</v>
      </c>
      <c r="B946" t="s">
        <v>50</v>
      </c>
      <c r="C946" t="s">
        <v>2195</v>
      </c>
      <c r="D946" t="s">
        <v>564</v>
      </c>
      <c r="E946" s="490">
        <v>45531</v>
      </c>
    </row>
    <row r="947" spans="1:5">
      <c r="A947">
        <v>240817</v>
      </c>
      <c r="B947" t="s">
        <v>50</v>
      </c>
      <c r="C947" t="s">
        <v>2196</v>
      </c>
      <c r="D947" t="s">
        <v>2197</v>
      </c>
      <c r="E947" s="490">
        <v>45531</v>
      </c>
    </row>
    <row r="948" spans="1:5">
      <c r="A948">
        <v>240818</v>
      </c>
      <c r="B948" t="s">
        <v>50</v>
      </c>
      <c r="C948" t="s">
        <v>2198</v>
      </c>
      <c r="D948" t="s">
        <v>2199</v>
      </c>
      <c r="E948" s="490">
        <v>45531</v>
      </c>
    </row>
    <row r="949" spans="1:5">
      <c r="A949">
        <v>221206</v>
      </c>
      <c r="B949" t="s">
        <v>1192</v>
      </c>
      <c r="C949" t="s">
        <v>1865</v>
      </c>
      <c r="D949" t="s">
        <v>1866</v>
      </c>
      <c r="E949" s="490">
        <v>45532</v>
      </c>
    </row>
    <row r="950" spans="1:5">
      <c r="A950">
        <v>240901</v>
      </c>
      <c r="B950" t="s">
        <v>1705</v>
      </c>
      <c r="C950" t="s">
        <v>2200</v>
      </c>
      <c r="D950" t="s">
        <v>2201</v>
      </c>
      <c r="E950" s="490">
        <v>45537</v>
      </c>
    </row>
    <row r="951" spans="1:5">
      <c r="A951">
        <v>240903</v>
      </c>
      <c r="B951" t="s">
        <v>1103</v>
      </c>
      <c r="C951" t="s">
        <v>2204</v>
      </c>
      <c r="D951" t="s">
        <v>2205</v>
      </c>
      <c r="E951" s="490">
        <v>45537</v>
      </c>
    </row>
    <row r="952" spans="1:5">
      <c r="A952">
        <v>240902</v>
      </c>
      <c r="B952" t="s">
        <v>1875</v>
      </c>
      <c r="C952" t="s">
        <v>2202</v>
      </c>
      <c r="D952" t="s">
        <v>2203</v>
      </c>
      <c r="E952" s="490">
        <v>45537</v>
      </c>
    </row>
    <row r="953" spans="1:5">
      <c r="A953">
        <v>240904</v>
      </c>
      <c r="B953" t="s">
        <v>1705</v>
      </c>
      <c r="C953" t="s">
        <v>2206</v>
      </c>
      <c r="D953" t="s">
        <v>2207</v>
      </c>
      <c r="E953" s="490">
        <v>45537</v>
      </c>
    </row>
    <row r="954" spans="1:5">
      <c r="A954" t="s">
        <v>2808</v>
      </c>
      <c r="B954" t="s">
        <v>92</v>
      </c>
      <c r="C954" t="s">
        <v>2419</v>
      </c>
      <c r="D954" t="s">
        <v>2420</v>
      </c>
      <c r="E954" s="490">
        <v>45538</v>
      </c>
    </row>
    <row r="955" spans="1:5">
      <c r="A955">
        <v>240905</v>
      </c>
      <c r="B955" t="s">
        <v>178</v>
      </c>
      <c r="C955" t="s">
        <v>608</v>
      </c>
      <c r="D955" t="s">
        <v>606</v>
      </c>
      <c r="E955" s="490">
        <v>45539</v>
      </c>
    </row>
    <row r="956" spans="1:5">
      <c r="A956">
        <v>240906</v>
      </c>
      <c r="B956" t="s">
        <v>178</v>
      </c>
      <c r="C956" t="s">
        <v>2208</v>
      </c>
      <c r="D956" t="s">
        <v>2209</v>
      </c>
      <c r="E956" s="490">
        <v>45539</v>
      </c>
    </row>
    <row r="957" spans="1:5">
      <c r="A957">
        <v>240907</v>
      </c>
      <c r="B957" t="s">
        <v>178</v>
      </c>
      <c r="C957" t="s">
        <v>2210</v>
      </c>
      <c r="D957" t="s">
        <v>2211</v>
      </c>
      <c r="E957" s="490">
        <v>45539</v>
      </c>
    </row>
    <row r="958" spans="1:5">
      <c r="A958">
        <v>240908</v>
      </c>
      <c r="B958" t="s">
        <v>50</v>
      </c>
      <c r="C958" t="s">
        <v>568</v>
      </c>
      <c r="D958" t="s">
        <v>569</v>
      </c>
      <c r="E958" s="490">
        <v>45541</v>
      </c>
    </row>
    <row r="959" spans="1:5">
      <c r="A959">
        <v>240909</v>
      </c>
      <c r="B959" t="s">
        <v>211</v>
      </c>
      <c r="C959" t="s">
        <v>570</v>
      </c>
      <c r="D959" t="s">
        <v>571</v>
      </c>
      <c r="E959" s="490">
        <v>45541</v>
      </c>
    </row>
    <row r="960" spans="1:5">
      <c r="A960">
        <v>240910</v>
      </c>
      <c r="B960" t="s">
        <v>50</v>
      </c>
      <c r="C960" t="s">
        <v>572</v>
      </c>
      <c r="D960" t="s">
        <v>573</v>
      </c>
      <c r="E960" s="490">
        <v>45541</v>
      </c>
    </row>
    <row r="961" spans="1:5">
      <c r="A961" t="s">
        <v>2809</v>
      </c>
      <c r="B961" t="s">
        <v>92</v>
      </c>
      <c r="C961" t="s">
        <v>602</v>
      </c>
      <c r="D961" t="s">
        <v>603</v>
      </c>
      <c r="E961" s="490">
        <v>45545</v>
      </c>
    </row>
    <row r="962" spans="1:5">
      <c r="A962">
        <v>240911</v>
      </c>
      <c r="B962" t="s">
        <v>178</v>
      </c>
      <c r="C962" t="s">
        <v>490</v>
      </c>
      <c r="D962" t="s">
        <v>491</v>
      </c>
      <c r="E962" s="490">
        <v>45548</v>
      </c>
    </row>
    <row r="963" spans="1:5">
      <c r="A963">
        <v>240912</v>
      </c>
      <c r="B963" t="s">
        <v>178</v>
      </c>
      <c r="C963" t="s">
        <v>604</v>
      </c>
      <c r="D963" t="s">
        <v>605</v>
      </c>
      <c r="E963" s="490">
        <v>45548</v>
      </c>
    </row>
    <row r="964" spans="1:5">
      <c r="A964">
        <v>240913</v>
      </c>
      <c r="B964" t="s">
        <v>1106</v>
      </c>
      <c r="C964" t="s">
        <v>2212</v>
      </c>
      <c r="D964" t="s">
        <v>2213</v>
      </c>
      <c r="E964" s="490">
        <v>45551</v>
      </c>
    </row>
    <row r="965" spans="1:5">
      <c r="A965">
        <v>240914</v>
      </c>
      <c r="B965" t="s">
        <v>50</v>
      </c>
      <c r="C965" t="s">
        <v>2214</v>
      </c>
      <c r="D965" t="s">
        <v>2215</v>
      </c>
      <c r="E965" s="490">
        <v>45554</v>
      </c>
    </row>
    <row r="966" spans="1:5">
      <c r="A966">
        <v>240915</v>
      </c>
      <c r="B966" t="s">
        <v>50</v>
      </c>
      <c r="C966" t="s">
        <v>575</v>
      </c>
      <c r="D966" t="s">
        <v>576</v>
      </c>
      <c r="E966" s="490">
        <v>45554</v>
      </c>
    </row>
    <row r="967" spans="1:5">
      <c r="A967">
        <v>240916</v>
      </c>
      <c r="B967" t="s">
        <v>50</v>
      </c>
      <c r="C967" t="s">
        <v>577</v>
      </c>
      <c r="D967" t="s">
        <v>578</v>
      </c>
      <c r="E967" s="490">
        <v>45554</v>
      </c>
    </row>
    <row r="968" spans="1:5">
      <c r="A968">
        <v>241002</v>
      </c>
      <c r="B968" t="s">
        <v>239</v>
      </c>
      <c r="C968" t="s">
        <v>2217</v>
      </c>
      <c r="D968" t="s">
        <v>2218</v>
      </c>
      <c r="E968" s="490">
        <v>45566</v>
      </c>
    </row>
    <row r="969" spans="1:5">
      <c r="A969">
        <v>211109</v>
      </c>
      <c r="B969" t="s">
        <v>50</v>
      </c>
      <c r="C969" t="s">
        <v>1498</v>
      </c>
      <c r="D969" t="s">
        <v>1499</v>
      </c>
      <c r="E969" s="490">
        <v>45566</v>
      </c>
    </row>
    <row r="970" spans="1:5">
      <c r="A970">
        <v>231120</v>
      </c>
      <c r="B970" t="s">
        <v>1773</v>
      </c>
      <c r="C970" t="s">
        <v>2047</v>
      </c>
      <c r="D970" t="s">
        <v>607</v>
      </c>
      <c r="E970" s="490">
        <v>45566</v>
      </c>
    </row>
    <row r="971" spans="1:5">
      <c r="A971">
        <v>241001</v>
      </c>
      <c r="B971" t="s">
        <v>211</v>
      </c>
      <c r="C971" t="s">
        <v>1656</v>
      </c>
      <c r="D971" t="s">
        <v>2216</v>
      </c>
      <c r="E971" s="490">
        <v>45566</v>
      </c>
    </row>
    <row r="972" spans="1:5">
      <c r="A972">
        <v>241003</v>
      </c>
      <c r="B972" t="s">
        <v>1130</v>
      </c>
      <c r="C972" t="s">
        <v>2219</v>
      </c>
      <c r="D972" t="s">
        <v>2220</v>
      </c>
      <c r="E972" s="490">
        <v>45566</v>
      </c>
    </row>
    <row r="973" spans="1:5">
      <c r="A973">
        <v>241004</v>
      </c>
      <c r="B973" t="s">
        <v>76</v>
      </c>
      <c r="C973" t="s">
        <v>316</v>
      </c>
      <c r="D973" t="s">
        <v>2221</v>
      </c>
      <c r="E973" s="490">
        <v>45568</v>
      </c>
    </row>
    <row r="974" spans="1:5">
      <c r="A974">
        <v>241005</v>
      </c>
      <c r="B974" t="s">
        <v>178</v>
      </c>
      <c r="C974" t="s">
        <v>609</v>
      </c>
      <c r="D974" t="s">
        <v>610</v>
      </c>
      <c r="E974" s="490">
        <v>45572</v>
      </c>
    </row>
    <row r="975" spans="1:5">
      <c r="A975">
        <v>241006</v>
      </c>
      <c r="B975" t="s">
        <v>1495</v>
      </c>
      <c r="C975" t="s">
        <v>2222</v>
      </c>
      <c r="D975" t="s">
        <v>2223</v>
      </c>
      <c r="E975" s="490">
        <v>45582</v>
      </c>
    </row>
    <row r="976" spans="1:5">
      <c r="A976">
        <v>241007</v>
      </c>
      <c r="B976" t="s">
        <v>1183</v>
      </c>
      <c r="C976" t="s">
        <v>2224</v>
      </c>
      <c r="D976" t="s">
        <v>2225</v>
      </c>
      <c r="E976" s="490">
        <v>45583</v>
      </c>
    </row>
    <row r="977" spans="1:5">
      <c r="A977">
        <v>241009</v>
      </c>
      <c r="B977" t="s">
        <v>178</v>
      </c>
      <c r="C977" t="s">
        <v>611</v>
      </c>
      <c r="D977" t="s">
        <v>612</v>
      </c>
      <c r="E977" s="490">
        <v>45586</v>
      </c>
    </row>
    <row r="978" spans="1:5">
      <c r="A978">
        <v>241008</v>
      </c>
      <c r="B978" t="s">
        <v>1705</v>
      </c>
      <c r="C978" t="s">
        <v>2196</v>
      </c>
      <c r="D978" t="s">
        <v>2226</v>
      </c>
      <c r="E978" s="490">
        <v>45586</v>
      </c>
    </row>
    <row r="979" spans="1:5">
      <c r="A979">
        <v>241010</v>
      </c>
      <c r="B979" t="s">
        <v>178</v>
      </c>
      <c r="C979" t="s">
        <v>613</v>
      </c>
      <c r="D979" t="s">
        <v>614</v>
      </c>
      <c r="E979" s="490">
        <v>45588</v>
      </c>
    </row>
    <row r="980" spans="1:5">
      <c r="A980">
        <v>211016</v>
      </c>
      <c r="B980" t="s">
        <v>211</v>
      </c>
      <c r="C980" t="s">
        <v>1452</v>
      </c>
      <c r="D980" t="s">
        <v>1453</v>
      </c>
      <c r="E980" s="490">
        <v>45597</v>
      </c>
    </row>
    <row r="981" spans="1:5">
      <c r="A981">
        <v>231101</v>
      </c>
      <c r="B981" t="s">
        <v>1079</v>
      </c>
      <c r="C981" t="s">
        <v>884</v>
      </c>
      <c r="D981" t="s">
        <v>885</v>
      </c>
      <c r="E981" s="490">
        <v>45597</v>
      </c>
    </row>
    <row r="982" spans="1:5">
      <c r="A982">
        <v>210422</v>
      </c>
      <c r="B982" t="s">
        <v>1116</v>
      </c>
      <c r="C982" t="s">
        <v>1272</v>
      </c>
      <c r="D982" t="s">
        <v>1273</v>
      </c>
      <c r="E982" s="490">
        <v>45597</v>
      </c>
    </row>
    <row r="983" spans="1:5">
      <c r="A983">
        <v>241101</v>
      </c>
      <c r="B983" t="s">
        <v>1106</v>
      </c>
      <c r="C983" t="s">
        <v>2227</v>
      </c>
      <c r="D983" t="s">
        <v>2228</v>
      </c>
      <c r="E983" s="490">
        <v>45600</v>
      </c>
    </row>
    <row r="984" spans="1:5">
      <c r="A984" t="s">
        <v>2810</v>
      </c>
      <c r="B984" t="s">
        <v>829</v>
      </c>
      <c r="C984" t="s">
        <v>619</v>
      </c>
      <c r="D984" t="s">
        <v>2242</v>
      </c>
      <c r="E984" s="490">
        <v>45600</v>
      </c>
    </row>
    <row r="985" spans="1:5">
      <c r="A985" t="s">
        <v>2811</v>
      </c>
      <c r="B985" t="s">
        <v>829</v>
      </c>
      <c r="C985" t="s">
        <v>2258</v>
      </c>
      <c r="D985" t="s">
        <v>621</v>
      </c>
      <c r="E985" s="490">
        <v>45600</v>
      </c>
    </row>
    <row r="986" spans="1:5">
      <c r="A986">
        <v>241102</v>
      </c>
      <c r="B986" t="s">
        <v>178</v>
      </c>
      <c r="C986" t="s">
        <v>615</v>
      </c>
      <c r="D986" t="s">
        <v>616</v>
      </c>
      <c r="E986" s="490">
        <v>45602</v>
      </c>
    </row>
    <row r="987" spans="1:5">
      <c r="A987">
        <v>241103</v>
      </c>
      <c r="B987" t="s">
        <v>178</v>
      </c>
      <c r="C987" t="s">
        <v>622</v>
      </c>
      <c r="D987" t="s">
        <v>623</v>
      </c>
      <c r="E987" s="490">
        <v>45602</v>
      </c>
    </row>
    <row r="988" spans="1:5">
      <c r="A988">
        <v>241104</v>
      </c>
      <c r="B988" t="s">
        <v>178</v>
      </c>
      <c r="C988" t="s">
        <v>617</v>
      </c>
      <c r="D988" t="s">
        <v>618</v>
      </c>
      <c r="E988" s="490">
        <v>45602</v>
      </c>
    </row>
    <row r="989" spans="1:5">
      <c r="A989">
        <v>241105</v>
      </c>
      <c r="B989" t="s">
        <v>178</v>
      </c>
      <c r="C989" t="s">
        <v>369</v>
      </c>
      <c r="D989" t="s">
        <v>624</v>
      </c>
      <c r="E989" s="490">
        <v>45602</v>
      </c>
    </row>
    <row r="990" spans="1:5">
      <c r="A990" t="s">
        <v>2812</v>
      </c>
      <c r="B990" t="s">
        <v>829</v>
      </c>
      <c r="C990" t="s">
        <v>2259</v>
      </c>
      <c r="D990" t="s">
        <v>2260</v>
      </c>
      <c r="E990" s="490">
        <v>45617</v>
      </c>
    </row>
    <row r="991" spans="1:5">
      <c r="A991">
        <v>241106</v>
      </c>
      <c r="B991" t="s">
        <v>178</v>
      </c>
      <c r="C991" t="s">
        <v>2229</v>
      </c>
      <c r="D991" t="s">
        <v>2230</v>
      </c>
      <c r="E991" s="490">
        <v>45621</v>
      </c>
    </row>
    <row r="992" spans="1:5">
      <c r="A992">
        <v>241201</v>
      </c>
      <c r="B992" t="s">
        <v>264</v>
      </c>
      <c r="C992" t="s">
        <v>2231</v>
      </c>
      <c r="D992" t="s">
        <v>2232</v>
      </c>
      <c r="E992" s="490">
        <v>45629</v>
      </c>
    </row>
    <row r="993" spans="1:5">
      <c r="A993">
        <v>241202</v>
      </c>
      <c r="B993" t="s">
        <v>1103</v>
      </c>
      <c r="C993" t="s">
        <v>863</v>
      </c>
      <c r="D993" t="s">
        <v>864</v>
      </c>
      <c r="E993" s="490">
        <v>45631</v>
      </c>
    </row>
    <row r="994" spans="1:5">
      <c r="A994">
        <v>211012</v>
      </c>
      <c r="B994" t="s">
        <v>1192</v>
      </c>
      <c r="C994" t="s">
        <v>1444</v>
      </c>
      <c r="D994" t="s">
        <v>1445</v>
      </c>
      <c r="E994" s="490">
        <v>45635</v>
      </c>
    </row>
    <row r="995" spans="1:5">
      <c r="A995">
        <v>241207</v>
      </c>
      <c r="B995" t="s">
        <v>178</v>
      </c>
      <c r="C995" t="s">
        <v>2233</v>
      </c>
      <c r="D995" t="s">
        <v>2234</v>
      </c>
      <c r="E995" s="490">
        <v>45635</v>
      </c>
    </row>
    <row r="996" spans="1:5">
      <c r="A996">
        <v>241205</v>
      </c>
      <c r="B996" t="s">
        <v>1106</v>
      </c>
      <c r="C996" t="s">
        <v>865</v>
      </c>
      <c r="D996" t="s">
        <v>866</v>
      </c>
      <c r="E996" s="490">
        <v>45635</v>
      </c>
    </row>
    <row r="997" spans="1:5">
      <c r="A997">
        <v>241203</v>
      </c>
      <c r="B997" t="s">
        <v>1116</v>
      </c>
      <c r="C997" t="s">
        <v>878</v>
      </c>
      <c r="D997" t="s">
        <v>879</v>
      </c>
      <c r="E997" s="490">
        <v>45635</v>
      </c>
    </row>
    <row r="998" spans="1:5">
      <c r="A998">
        <v>241204</v>
      </c>
      <c r="B998" t="s">
        <v>76</v>
      </c>
      <c r="C998" t="s">
        <v>2235</v>
      </c>
      <c r="D998" t="s">
        <v>880</v>
      </c>
      <c r="E998" s="490">
        <v>45635</v>
      </c>
    </row>
    <row r="999" spans="1:5">
      <c r="A999">
        <v>241206</v>
      </c>
      <c r="B999" t="s">
        <v>178</v>
      </c>
      <c r="C999" t="s">
        <v>881</v>
      </c>
      <c r="D999" t="s">
        <v>882</v>
      </c>
      <c r="E999" s="490">
        <v>45636</v>
      </c>
    </row>
    <row r="1000" spans="1:5">
      <c r="A1000">
        <v>241209</v>
      </c>
      <c r="B1000" t="s">
        <v>1192</v>
      </c>
      <c r="C1000" t="s">
        <v>2238</v>
      </c>
      <c r="D1000" t="s">
        <v>2239</v>
      </c>
      <c r="E1000" s="490">
        <v>45642</v>
      </c>
    </row>
    <row r="1001" spans="1:5">
      <c r="A1001">
        <v>220206</v>
      </c>
      <c r="B1001" t="s">
        <v>178</v>
      </c>
      <c r="C1001" t="s">
        <v>1612</v>
      </c>
      <c r="D1001" t="s">
        <v>1613</v>
      </c>
      <c r="E1001" s="490">
        <v>45642</v>
      </c>
    </row>
    <row r="1002" spans="1:5">
      <c r="A1002">
        <v>241208</v>
      </c>
      <c r="B1002" t="s">
        <v>1079</v>
      </c>
      <c r="C1002" t="s">
        <v>2236</v>
      </c>
      <c r="D1002" t="s">
        <v>2237</v>
      </c>
      <c r="E1002" s="490">
        <v>45642</v>
      </c>
    </row>
    <row r="1003" spans="1:5">
      <c r="A1003">
        <v>241210</v>
      </c>
      <c r="B1003" t="s">
        <v>1192</v>
      </c>
      <c r="C1003" t="s">
        <v>2240</v>
      </c>
      <c r="D1003" t="s">
        <v>2241</v>
      </c>
      <c r="E1003" s="490">
        <v>45642</v>
      </c>
    </row>
    <row r="1004" spans="1:5">
      <c r="A1004">
        <v>241217</v>
      </c>
      <c r="B1004" t="s">
        <v>1106</v>
      </c>
      <c r="C1004" t="s">
        <v>861</v>
      </c>
      <c r="D1004" t="s">
        <v>862</v>
      </c>
      <c r="E1004" s="490">
        <v>45643</v>
      </c>
    </row>
    <row r="1005" spans="1:5">
      <c r="A1005">
        <v>241215</v>
      </c>
      <c r="B1005" t="s">
        <v>1183</v>
      </c>
      <c r="C1005" t="s">
        <v>619</v>
      </c>
      <c r="D1005" t="s">
        <v>2242</v>
      </c>
      <c r="E1005" s="490">
        <v>45643</v>
      </c>
    </row>
    <row r="1006" spans="1:5">
      <c r="A1006">
        <v>241216</v>
      </c>
      <c r="B1006" t="s">
        <v>76</v>
      </c>
      <c r="C1006" t="s">
        <v>913</v>
      </c>
      <c r="D1006" t="s">
        <v>914</v>
      </c>
      <c r="E1006" s="490">
        <v>45643</v>
      </c>
    </row>
    <row r="1007" spans="1:5">
      <c r="A1007">
        <v>241211</v>
      </c>
      <c r="B1007" t="s">
        <v>1130</v>
      </c>
      <c r="C1007" t="s">
        <v>867</v>
      </c>
      <c r="D1007" t="s">
        <v>868</v>
      </c>
      <c r="E1007" s="490">
        <v>45643</v>
      </c>
    </row>
    <row r="1008" spans="1:5">
      <c r="A1008">
        <v>241212</v>
      </c>
      <c r="B1008" t="s">
        <v>1130</v>
      </c>
      <c r="C1008" t="s">
        <v>873</v>
      </c>
      <c r="D1008" t="s">
        <v>874</v>
      </c>
      <c r="E1008" s="490">
        <v>45643</v>
      </c>
    </row>
    <row r="1009" spans="1:5">
      <c r="A1009">
        <v>241213</v>
      </c>
      <c r="B1009" t="s">
        <v>1130</v>
      </c>
      <c r="C1009" t="s">
        <v>871</v>
      </c>
      <c r="D1009" t="s">
        <v>872</v>
      </c>
      <c r="E1009" s="490">
        <v>45643</v>
      </c>
    </row>
    <row r="1010" spans="1:5">
      <c r="A1010">
        <v>241214</v>
      </c>
      <c r="B1010" t="s">
        <v>1130</v>
      </c>
      <c r="C1010" t="s">
        <v>869</v>
      </c>
      <c r="D1010" t="s">
        <v>870</v>
      </c>
      <c r="E1010" s="490">
        <v>45643</v>
      </c>
    </row>
    <row r="1011" spans="1:5">
      <c r="A1011">
        <v>241218</v>
      </c>
      <c r="B1011" t="s">
        <v>1773</v>
      </c>
      <c r="C1011" t="s">
        <v>883</v>
      </c>
      <c r="D1011" t="s">
        <v>2243</v>
      </c>
      <c r="E1011" s="490">
        <v>45645</v>
      </c>
    </row>
    <row r="1012" spans="1:5">
      <c r="A1012">
        <v>211031</v>
      </c>
      <c r="B1012" t="s">
        <v>50</v>
      </c>
      <c r="C1012" t="s">
        <v>1307</v>
      </c>
      <c r="D1012" t="s">
        <v>1308</v>
      </c>
      <c r="E1012" s="490">
        <v>45649</v>
      </c>
    </row>
    <row r="1013" spans="1:5">
      <c r="A1013">
        <v>241219</v>
      </c>
      <c r="B1013" t="s">
        <v>178</v>
      </c>
      <c r="C1013" t="s">
        <v>2244</v>
      </c>
      <c r="D1013" t="s">
        <v>2245</v>
      </c>
      <c r="E1013" s="490">
        <v>45649</v>
      </c>
    </row>
    <row r="1014" spans="1:5">
      <c r="A1014">
        <v>241220</v>
      </c>
      <c r="B1014" t="s">
        <v>178</v>
      </c>
      <c r="C1014" t="s">
        <v>502</v>
      </c>
      <c r="D1014" t="s">
        <v>2246</v>
      </c>
      <c r="E1014" s="490">
        <v>45649</v>
      </c>
    </row>
    <row r="1015" spans="1:5">
      <c r="A1015">
        <v>20</v>
      </c>
      <c r="B1015" t="s">
        <v>2310</v>
      </c>
      <c r="C1015" t="s">
        <v>2319</v>
      </c>
      <c r="D1015" t="s">
        <v>2320</v>
      </c>
      <c r="E1015" s="490">
        <v>45658</v>
      </c>
    </row>
    <row r="1016" spans="1:5">
      <c r="A1016">
        <v>250101</v>
      </c>
      <c r="B1016" t="s">
        <v>1705</v>
      </c>
      <c r="C1016" t="s">
        <v>2247</v>
      </c>
      <c r="D1016" t="s">
        <v>2248</v>
      </c>
      <c r="E1016" s="490">
        <v>45663</v>
      </c>
    </row>
    <row r="1017" spans="1:5">
      <c r="A1017">
        <v>210305</v>
      </c>
      <c r="B1017" t="s">
        <v>1192</v>
      </c>
      <c r="C1017" t="s">
        <v>875</v>
      </c>
      <c r="D1017" t="s">
        <v>876</v>
      </c>
      <c r="E1017" s="490">
        <v>45663</v>
      </c>
    </row>
    <row r="1018" spans="1:5">
      <c r="A1018">
        <v>250102</v>
      </c>
      <c r="B1018" t="s">
        <v>1192</v>
      </c>
      <c r="C1018" t="s">
        <v>1516</v>
      </c>
      <c r="D1018" t="s">
        <v>1517</v>
      </c>
      <c r="E1018" s="490">
        <v>45665</v>
      </c>
    </row>
    <row r="1019" spans="1:5">
      <c r="A1019">
        <v>210118</v>
      </c>
      <c r="B1019" t="s">
        <v>178</v>
      </c>
      <c r="C1019" t="s">
        <v>1167</v>
      </c>
      <c r="D1019" t="s">
        <v>1168</v>
      </c>
      <c r="E1019" s="490">
        <v>45670</v>
      </c>
    </row>
    <row r="1020" spans="1:5">
      <c r="A1020">
        <v>250103</v>
      </c>
      <c r="B1020" t="s">
        <v>178</v>
      </c>
      <c r="C1020" t="s">
        <v>898</v>
      </c>
      <c r="D1020" t="s">
        <v>899</v>
      </c>
      <c r="E1020" s="490">
        <v>45671</v>
      </c>
    </row>
    <row r="1021" spans="1:5">
      <c r="A1021">
        <v>250104</v>
      </c>
      <c r="B1021" t="s">
        <v>178</v>
      </c>
      <c r="C1021" t="s">
        <v>900</v>
      </c>
      <c r="D1021" t="s">
        <v>901</v>
      </c>
      <c r="E1021" s="490">
        <v>45671</v>
      </c>
    </row>
    <row r="1022" spans="1:5">
      <c r="A1022">
        <v>250105</v>
      </c>
      <c r="B1022" t="s">
        <v>178</v>
      </c>
      <c r="C1022" t="s">
        <v>902</v>
      </c>
      <c r="D1022" t="s">
        <v>903</v>
      </c>
      <c r="E1022" s="490">
        <v>45671</v>
      </c>
    </row>
    <row r="1023" spans="1:5">
      <c r="A1023">
        <v>250106</v>
      </c>
      <c r="B1023" t="s">
        <v>1705</v>
      </c>
      <c r="C1023" t="s">
        <v>917</v>
      </c>
      <c r="D1023" t="s">
        <v>918</v>
      </c>
      <c r="E1023" s="490">
        <v>45672</v>
      </c>
    </row>
    <row r="1024" spans="1:5">
      <c r="A1024" t="s">
        <v>2813</v>
      </c>
      <c r="B1024" t="s">
        <v>124</v>
      </c>
      <c r="C1024" t="s">
        <v>2421</v>
      </c>
      <c r="D1024" t="s">
        <v>908</v>
      </c>
      <c r="E1024" s="490">
        <v>45672</v>
      </c>
    </row>
    <row r="1025" spans="1:5">
      <c r="A1025">
        <v>250112</v>
      </c>
      <c r="B1025" t="s">
        <v>178</v>
      </c>
      <c r="C1025" t="s">
        <v>904</v>
      </c>
      <c r="D1025" t="s">
        <v>905</v>
      </c>
      <c r="E1025" s="490">
        <v>45673</v>
      </c>
    </row>
    <row r="1026" spans="1:5">
      <c r="A1026">
        <v>250113</v>
      </c>
      <c r="B1026" t="s">
        <v>178</v>
      </c>
      <c r="C1026" t="s">
        <v>906</v>
      </c>
      <c r="D1026" t="s">
        <v>907</v>
      </c>
      <c r="E1026" s="490">
        <v>45673</v>
      </c>
    </row>
    <row r="1027" spans="1:5">
      <c r="A1027">
        <v>250107</v>
      </c>
      <c r="B1027" t="s">
        <v>1106</v>
      </c>
      <c r="C1027" t="s">
        <v>886</v>
      </c>
      <c r="D1027" t="s">
        <v>887</v>
      </c>
      <c r="E1027" s="490">
        <v>45673</v>
      </c>
    </row>
    <row r="1028" spans="1:5">
      <c r="A1028">
        <v>250108</v>
      </c>
      <c r="B1028" t="s">
        <v>1183</v>
      </c>
      <c r="C1028" t="s">
        <v>888</v>
      </c>
      <c r="D1028" t="s">
        <v>889</v>
      </c>
      <c r="E1028" s="490">
        <v>45673</v>
      </c>
    </row>
    <row r="1029" spans="1:5">
      <c r="A1029">
        <v>250109</v>
      </c>
      <c r="B1029" t="s">
        <v>1183</v>
      </c>
      <c r="C1029" t="s">
        <v>890</v>
      </c>
      <c r="D1029" t="s">
        <v>891</v>
      </c>
      <c r="E1029" s="490">
        <v>45673</v>
      </c>
    </row>
    <row r="1030" spans="1:5">
      <c r="A1030">
        <v>250110</v>
      </c>
      <c r="B1030" t="s">
        <v>1130</v>
      </c>
      <c r="C1030" t="s">
        <v>895</v>
      </c>
      <c r="D1030" t="s">
        <v>896</v>
      </c>
      <c r="E1030" s="490">
        <v>45673</v>
      </c>
    </row>
    <row r="1031" spans="1:5">
      <c r="A1031">
        <v>250111</v>
      </c>
      <c r="B1031" t="s">
        <v>1130</v>
      </c>
      <c r="C1031" t="s">
        <v>923</v>
      </c>
      <c r="D1031" t="s">
        <v>924</v>
      </c>
      <c r="E1031" s="490">
        <v>45673</v>
      </c>
    </row>
    <row r="1032" spans="1:5">
      <c r="A1032">
        <v>250114</v>
      </c>
      <c r="B1032" t="s">
        <v>1773</v>
      </c>
      <c r="C1032" t="s">
        <v>910</v>
      </c>
      <c r="D1032" t="s">
        <v>911</v>
      </c>
      <c r="E1032" s="490">
        <v>45674</v>
      </c>
    </row>
    <row r="1033" spans="1:5">
      <c r="A1033">
        <v>230210</v>
      </c>
      <c r="B1033" t="s">
        <v>50</v>
      </c>
      <c r="C1033" t="s">
        <v>1901</v>
      </c>
      <c r="D1033" t="s">
        <v>1902</v>
      </c>
      <c r="E1033" s="490">
        <v>45677</v>
      </c>
    </row>
    <row r="1034" spans="1:5">
      <c r="A1034">
        <v>250116</v>
      </c>
      <c r="B1034" t="s">
        <v>1705</v>
      </c>
      <c r="C1034" t="s">
        <v>921</v>
      </c>
      <c r="D1034" t="s">
        <v>922</v>
      </c>
      <c r="E1034" s="490">
        <v>45678</v>
      </c>
    </row>
    <row r="1035" spans="1:5">
      <c r="A1035">
        <v>250115</v>
      </c>
      <c r="B1035" t="s">
        <v>1705</v>
      </c>
      <c r="C1035" t="s">
        <v>919</v>
      </c>
      <c r="D1035" t="s">
        <v>920</v>
      </c>
      <c r="E1035" s="490">
        <v>45678</v>
      </c>
    </row>
    <row r="1036" spans="1:5">
      <c r="A1036">
        <v>250117</v>
      </c>
      <c r="B1036" t="s">
        <v>1103</v>
      </c>
      <c r="C1036" t="s">
        <v>892</v>
      </c>
      <c r="D1036" t="s">
        <v>893</v>
      </c>
      <c r="E1036" s="490">
        <v>45680</v>
      </c>
    </row>
    <row r="1037" spans="1:5">
      <c r="A1037">
        <v>250118</v>
      </c>
      <c r="B1037" t="s">
        <v>178</v>
      </c>
      <c r="C1037" t="s">
        <v>2249</v>
      </c>
      <c r="D1037" t="s">
        <v>2250</v>
      </c>
      <c r="E1037" s="490">
        <v>45685</v>
      </c>
    </row>
    <row r="1038" spans="1:5">
      <c r="A1038">
        <v>250119</v>
      </c>
      <c r="B1038" t="s">
        <v>178</v>
      </c>
      <c r="C1038" t="s">
        <v>342</v>
      </c>
      <c r="D1038" t="s">
        <v>909</v>
      </c>
      <c r="E1038" s="490">
        <v>45685</v>
      </c>
    </row>
    <row r="1039" spans="1:5">
      <c r="A1039">
        <v>250201</v>
      </c>
      <c r="B1039" t="s">
        <v>1099</v>
      </c>
      <c r="C1039" t="s">
        <v>2251</v>
      </c>
      <c r="D1039" t="s">
        <v>2252</v>
      </c>
      <c r="E1039" s="490">
        <v>45691</v>
      </c>
    </row>
    <row r="1040" spans="1:5">
      <c r="A1040">
        <v>250207</v>
      </c>
      <c r="B1040" t="s">
        <v>178</v>
      </c>
      <c r="C1040" t="s">
        <v>968</v>
      </c>
      <c r="D1040" t="s">
        <v>969</v>
      </c>
      <c r="E1040" s="490">
        <v>45698</v>
      </c>
    </row>
    <row r="1041" spans="1:5">
      <c r="A1041">
        <v>250208</v>
      </c>
      <c r="B1041" t="s">
        <v>178</v>
      </c>
      <c r="C1041" t="s">
        <v>966</v>
      </c>
      <c r="D1041" t="s">
        <v>967</v>
      </c>
      <c r="E1041" s="490">
        <v>45698</v>
      </c>
    </row>
    <row r="1042" spans="1:5">
      <c r="A1042">
        <v>250209</v>
      </c>
      <c r="B1042" t="s">
        <v>178</v>
      </c>
      <c r="C1042" t="s">
        <v>974</v>
      </c>
      <c r="D1042" t="s">
        <v>975</v>
      </c>
      <c r="E1042" s="490">
        <v>45698</v>
      </c>
    </row>
    <row r="1043" spans="1:5">
      <c r="A1043">
        <v>250210</v>
      </c>
      <c r="B1043" t="s">
        <v>178</v>
      </c>
      <c r="C1043" t="s">
        <v>976</v>
      </c>
      <c r="D1043" t="s">
        <v>977</v>
      </c>
      <c r="E1043" s="490">
        <v>45698</v>
      </c>
    </row>
    <row r="1044" spans="1:5">
      <c r="A1044">
        <v>250211</v>
      </c>
      <c r="B1044" t="s">
        <v>178</v>
      </c>
      <c r="C1044" t="s">
        <v>972</v>
      </c>
      <c r="D1044" t="s">
        <v>973</v>
      </c>
      <c r="E1044" s="490">
        <v>45698</v>
      </c>
    </row>
    <row r="1045" spans="1:5">
      <c r="A1045">
        <v>250212</v>
      </c>
      <c r="B1045" t="s">
        <v>178</v>
      </c>
      <c r="C1045" t="s">
        <v>970</v>
      </c>
      <c r="D1045" t="s">
        <v>971</v>
      </c>
      <c r="E1045" s="490">
        <v>45698</v>
      </c>
    </row>
    <row r="1046" spans="1:5">
      <c r="A1046">
        <v>250205</v>
      </c>
      <c r="B1046" t="s">
        <v>1183</v>
      </c>
      <c r="C1046" t="s">
        <v>927</v>
      </c>
      <c r="D1046" t="s">
        <v>928</v>
      </c>
      <c r="E1046" s="490">
        <v>45698</v>
      </c>
    </row>
    <row r="1047" spans="1:5">
      <c r="A1047">
        <v>250206</v>
      </c>
      <c r="B1047" t="s">
        <v>1106</v>
      </c>
      <c r="C1047" t="s">
        <v>929</v>
      </c>
      <c r="D1047" t="s">
        <v>930</v>
      </c>
      <c r="E1047" s="490">
        <v>45698</v>
      </c>
    </row>
    <row r="1048" spans="1:5">
      <c r="A1048">
        <v>250202</v>
      </c>
      <c r="B1048" t="s">
        <v>1130</v>
      </c>
      <c r="C1048" t="s">
        <v>939</v>
      </c>
      <c r="D1048" t="s">
        <v>940</v>
      </c>
      <c r="E1048" s="490">
        <v>45698</v>
      </c>
    </row>
    <row r="1049" spans="1:5">
      <c r="A1049">
        <v>250203</v>
      </c>
      <c r="B1049" t="s">
        <v>1130</v>
      </c>
      <c r="C1049" t="s">
        <v>943</v>
      </c>
      <c r="D1049" t="s">
        <v>944</v>
      </c>
      <c r="E1049" s="490">
        <v>45698</v>
      </c>
    </row>
    <row r="1050" spans="1:5">
      <c r="A1050">
        <v>250204</v>
      </c>
      <c r="B1050" t="s">
        <v>1130</v>
      </c>
      <c r="C1050" t="s">
        <v>945</v>
      </c>
      <c r="D1050" t="s">
        <v>946</v>
      </c>
      <c r="E1050" s="490">
        <v>45698</v>
      </c>
    </row>
    <row r="1051" spans="1:5">
      <c r="A1051">
        <v>250213</v>
      </c>
      <c r="B1051" t="s">
        <v>1705</v>
      </c>
      <c r="C1051" t="s">
        <v>2253</v>
      </c>
      <c r="D1051" t="s">
        <v>2254</v>
      </c>
      <c r="E1051" s="490">
        <v>45698</v>
      </c>
    </row>
    <row r="1052" spans="1:5">
      <c r="A1052">
        <v>250214</v>
      </c>
      <c r="B1052" t="s">
        <v>1705</v>
      </c>
      <c r="C1052" t="s">
        <v>958</v>
      </c>
      <c r="D1052" t="s">
        <v>959</v>
      </c>
      <c r="E1052" s="490">
        <v>45698</v>
      </c>
    </row>
    <row r="1053" spans="1:5">
      <c r="A1053">
        <v>250215</v>
      </c>
      <c r="B1053" t="s">
        <v>1130</v>
      </c>
      <c r="C1053" t="s">
        <v>953</v>
      </c>
      <c r="D1053" t="s">
        <v>954</v>
      </c>
      <c r="E1053" s="490">
        <v>45700</v>
      </c>
    </row>
    <row r="1054" spans="1:5">
      <c r="A1054">
        <v>250216</v>
      </c>
      <c r="B1054" t="s">
        <v>1130</v>
      </c>
      <c r="C1054" t="s">
        <v>950</v>
      </c>
      <c r="D1054" t="s">
        <v>951</v>
      </c>
      <c r="E1054" s="490">
        <v>45700</v>
      </c>
    </row>
    <row r="1055" spans="1:5">
      <c r="A1055">
        <v>250217</v>
      </c>
      <c r="B1055" t="s">
        <v>1130</v>
      </c>
      <c r="C1055" t="s">
        <v>941</v>
      </c>
      <c r="D1055" t="s">
        <v>942</v>
      </c>
      <c r="E1055" s="490">
        <v>45700</v>
      </c>
    </row>
    <row r="1056" spans="1:5">
      <c r="A1056">
        <v>250218</v>
      </c>
      <c r="B1056" t="s">
        <v>1130</v>
      </c>
      <c r="C1056" t="s">
        <v>948</v>
      </c>
      <c r="D1056" t="s">
        <v>949</v>
      </c>
      <c r="E1056" s="490">
        <v>45700</v>
      </c>
    </row>
    <row r="1057" spans="1:5">
      <c r="A1057">
        <v>250219</v>
      </c>
      <c r="B1057" t="s">
        <v>1130</v>
      </c>
      <c r="C1057" t="s">
        <v>955</v>
      </c>
      <c r="D1057" t="s">
        <v>956</v>
      </c>
      <c r="E1057" s="490">
        <v>45700</v>
      </c>
    </row>
    <row r="1058" spans="1:5">
      <c r="A1058">
        <v>250220</v>
      </c>
      <c r="B1058" t="s">
        <v>1705</v>
      </c>
      <c r="C1058" t="s">
        <v>2255</v>
      </c>
      <c r="D1058" t="s">
        <v>2256</v>
      </c>
      <c r="E1058" s="490">
        <v>45701</v>
      </c>
    </row>
    <row r="1059" spans="1:5">
      <c r="A1059">
        <v>250221</v>
      </c>
      <c r="B1059" t="s">
        <v>1705</v>
      </c>
      <c r="C1059" t="s">
        <v>2257</v>
      </c>
      <c r="D1059" t="s">
        <v>960</v>
      </c>
      <c r="E1059" s="490">
        <v>45701</v>
      </c>
    </row>
    <row r="1060" spans="1:5">
      <c r="A1060">
        <v>230603</v>
      </c>
      <c r="B1060" t="s">
        <v>1192</v>
      </c>
      <c r="C1060" t="s">
        <v>305</v>
      </c>
      <c r="D1060" t="s">
        <v>306</v>
      </c>
      <c r="E1060" s="490">
        <v>45705</v>
      </c>
    </row>
    <row r="1061" spans="1:5">
      <c r="A1061">
        <v>211011</v>
      </c>
      <c r="B1061" t="s">
        <v>1106</v>
      </c>
      <c r="C1061" t="s">
        <v>476</v>
      </c>
      <c r="D1061" t="s">
        <v>1443</v>
      </c>
      <c r="E1061" s="490">
        <v>45705</v>
      </c>
    </row>
    <row r="1062" spans="1:5">
      <c r="A1062">
        <v>250222</v>
      </c>
      <c r="B1062" t="s">
        <v>1705</v>
      </c>
      <c r="C1062" t="s">
        <v>961</v>
      </c>
      <c r="D1062" t="s">
        <v>962</v>
      </c>
      <c r="E1062" s="490">
        <v>45705</v>
      </c>
    </row>
    <row r="1063" spans="1:5">
      <c r="A1063">
        <v>210416</v>
      </c>
      <c r="B1063" t="s">
        <v>1130</v>
      </c>
      <c r="C1063" t="s">
        <v>1258</v>
      </c>
      <c r="D1063" t="s">
        <v>1259</v>
      </c>
      <c r="E1063" s="490">
        <v>45707</v>
      </c>
    </row>
    <row r="1064" spans="1:5">
      <c r="A1064">
        <v>250223</v>
      </c>
      <c r="B1064" t="s">
        <v>1103</v>
      </c>
      <c r="C1064" t="s">
        <v>931</v>
      </c>
      <c r="D1064" t="s">
        <v>932</v>
      </c>
      <c r="E1064" s="490">
        <v>45707</v>
      </c>
    </row>
    <row r="1065" spans="1:5">
      <c r="A1065">
        <v>250224</v>
      </c>
      <c r="B1065" t="s">
        <v>1103</v>
      </c>
      <c r="C1065" t="s">
        <v>933</v>
      </c>
      <c r="D1065" t="s">
        <v>934</v>
      </c>
      <c r="E1065" s="490">
        <v>45707</v>
      </c>
    </row>
    <row r="1066" spans="1:5">
      <c r="A1066" t="s">
        <v>2814</v>
      </c>
      <c r="B1066" t="s">
        <v>92</v>
      </c>
      <c r="C1066" t="s">
        <v>2422</v>
      </c>
      <c r="D1066" t="s">
        <v>2423</v>
      </c>
      <c r="E1066" s="490">
        <v>45707</v>
      </c>
    </row>
    <row r="1067" spans="1:5">
      <c r="A1067">
        <v>250225</v>
      </c>
      <c r="B1067" t="s">
        <v>178</v>
      </c>
      <c r="C1067" t="s">
        <v>978</v>
      </c>
      <c r="D1067" t="s">
        <v>979</v>
      </c>
      <c r="E1067" s="490">
        <v>45709</v>
      </c>
    </row>
    <row r="1068" spans="1:5">
      <c r="A1068">
        <v>220303</v>
      </c>
      <c r="B1068" t="s">
        <v>1116</v>
      </c>
      <c r="C1068" t="s">
        <v>392</v>
      </c>
      <c r="D1068" t="s">
        <v>393</v>
      </c>
      <c r="E1068" s="490">
        <v>45712</v>
      </c>
    </row>
    <row r="1069" spans="1:5">
      <c r="A1069">
        <v>230910</v>
      </c>
      <c r="B1069" t="s">
        <v>1705</v>
      </c>
      <c r="C1069" t="s">
        <v>378</v>
      </c>
      <c r="D1069" t="s">
        <v>379</v>
      </c>
      <c r="E1069" s="490">
        <v>45719</v>
      </c>
    </row>
    <row r="1070" spans="1:5">
      <c r="A1070">
        <v>210301</v>
      </c>
      <c r="B1070" t="s">
        <v>1116</v>
      </c>
      <c r="C1070" t="s">
        <v>1195</v>
      </c>
      <c r="D1070" t="s">
        <v>1196</v>
      </c>
      <c r="E1070" s="490">
        <v>45719</v>
      </c>
    </row>
    <row r="1071" spans="1:5">
      <c r="A1071" t="s">
        <v>2815</v>
      </c>
      <c r="B1071" t="s">
        <v>124</v>
      </c>
      <c r="C1071" t="s">
        <v>1009</v>
      </c>
      <c r="D1071" t="s">
        <v>1010</v>
      </c>
      <c r="E1071" s="490">
        <v>45719</v>
      </c>
    </row>
    <row r="1072" spans="1:5">
      <c r="A1072" t="s">
        <v>2816</v>
      </c>
      <c r="B1072" t="s">
        <v>124</v>
      </c>
      <c r="C1072" t="s">
        <v>1011</v>
      </c>
      <c r="D1072" t="s">
        <v>1012</v>
      </c>
      <c r="E1072" s="490">
        <v>45719</v>
      </c>
    </row>
    <row r="1073" spans="1:5">
      <c r="A1073" t="s">
        <v>2817</v>
      </c>
      <c r="B1073" t="s">
        <v>124</v>
      </c>
      <c r="C1073" t="s">
        <v>1013</v>
      </c>
      <c r="D1073" t="s">
        <v>1014</v>
      </c>
      <c r="E1073" s="490">
        <v>45719</v>
      </c>
    </row>
    <row r="1074" spans="1:5">
      <c r="A1074" t="s">
        <v>2818</v>
      </c>
      <c r="B1074" t="s">
        <v>124</v>
      </c>
      <c r="C1074" t="s">
        <v>1015</v>
      </c>
      <c r="D1074" t="s">
        <v>1016</v>
      </c>
      <c r="E1074" s="490">
        <v>45719</v>
      </c>
    </row>
    <row r="1075" spans="1:5">
      <c r="A1075" t="s">
        <v>2819</v>
      </c>
      <c r="B1075" t="s">
        <v>124</v>
      </c>
      <c r="C1075" t="s">
        <v>1017</v>
      </c>
      <c r="D1075" t="s">
        <v>1018</v>
      </c>
      <c r="E1075" s="490">
        <v>45719</v>
      </c>
    </row>
    <row r="1076" spans="1:5">
      <c r="A1076" t="s">
        <v>2820</v>
      </c>
      <c r="B1076" t="s">
        <v>124</v>
      </c>
      <c r="C1076" t="s">
        <v>1019</v>
      </c>
      <c r="D1076" t="s">
        <v>1020</v>
      </c>
      <c r="E1076" s="490">
        <v>45719</v>
      </c>
    </row>
    <row r="1077" spans="1:5">
      <c r="A1077" t="s">
        <v>2821</v>
      </c>
      <c r="B1077" t="s">
        <v>124</v>
      </c>
      <c r="C1077" t="s">
        <v>1021</v>
      </c>
      <c r="D1077" t="s">
        <v>1022</v>
      </c>
      <c r="E1077" s="490">
        <v>45719</v>
      </c>
    </row>
    <row r="1078" spans="1:5">
      <c r="A1078" t="s">
        <v>2822</v>
      </c>
      <c r="B1078" t="s">
        <v>124</v>
      </c>
      <c r="C1078" t="s">
        <v>1023</v>
      </c>
      <c r="D1078" t="s">
        <v>1024</v>
      </c>
      <c r="E1078" s="490">
        <v>45719</v>
      </c>
    </row>
    <row r="1079" spans="1:5">
      <c r="A1079" t="s">
        <v>2823</v>
      </c>
      <c r="B1079" t="s">
        <v>124</v>
      </c>
      <c r="C1079" t="s">
        <v>1025</v>
      </c>
      <c r="D1079" t="s">
        <v>1026</v>
      </c>
      <c r="E1079" s="490">
        <v>45719</v>
      </c>
    </row>
    <row r="1080" spans="1:5">
      <c r="A1080">
        <v>210108</v>
      </c>
      <c r="B1080" t="s">
        <v>1116</v>
      </c>
      <c r="C1080" t="s">
        <v>1149</v>
      </c>
      <c r="D1080" t="s">
        <v>1150</v>
      </c>
      <c r="E1080" s="490">
        <v>45721</v>
      </c>
    </row>
    <row r="1081" spans="1:5">
      <c r="A1081">
        <v>250301</v>
      </c>
      <c r="B1081" t="s">
        <v>178</v>
      </c>
      <c r="C1081" t="s">
        <v>2258</v>
      </c>
      <c r="D1081" t="s">
        <v>621</v>
      </c>
      <c r="E1081" s="490">
        <v>45726</v>
      </c>
    </row>
    <row r="1082" spans="1:5">
      <c r="A1082">
        <v>250302</v>
      </c>
      <c r="B1082" t="s">
        <v>178</v>
      </c>
      <c r="C1082" t="s">
        <v>2259</v>
      </c>
      <c r="D1082" t="s">
        <v>2260</v>
      </c>
      <c r="E1082" s="490">
        <v>45726</v>
      </c>
    </row>
    <row r="1083" spans="1:5">
      <c r="A1083">
        <v>210404</v>
      </c>
      <c r="B1083" t="s">
        <v>1192</v>
      </c>
      <c r="C1083" t="s">
        <v>240</v>
      </c>
      <c r="D1083" t="s">
        <v>241</v>
      </c>
      <c r="E1083" s="490">
        <v>45726</v>
      </c>
    </row>
    <row r="1084" spans="1:5">
      <c r="A1084">
        <v>250303</v>
      </c>
      <c r="B1084" t="s">
        <v>264</v>
      </c>
      <c r="C1084" t="s">
        <v>986</v>
      </c>
      <c r="D1084" t="s">
        <v>987</v>
      </c>
      <c r="E1084" s="490">
        <v>45733</v>
      </c>
    </row>
    <row r="1085" spans="1:5">
      <c r="A1085">
        <v>250305</v>
      </c>
      <c r="B1085" t="s">
        <v>1192</v>
      </c>
      <c r="C1085" t="s">
        <v>2263</v>
      </c>
      <c r="D1085" t="s">
        <v>2264</v>
      </c>
      <c r="E1085" s="490">
        <v>45735</v>
      </c>
    </row>
    <row r="1086" spans="1:5">
      <c r="A1086">
        <v>250306</v>
      </c>
      <c r="B1086" t="s">
        <v>1192</v>
      </c>
      <c r="C1086" t="s">
        <v>999</v>
      </c>
      <c r="D1086" t="s">
        <v>1000</v>
      </c>
      <c r="E1086" s="490">
        <v>45735</v>
      </c>
    </row>
    <row r="1087" spans="1:5">
      <c r="A1087">
        <v>250304</v>
      </c>
      <c r="B1087" t="s">
        <v>1192</v>
      </c>
      <c r="C1087" t="s">
        <v>2261</v>
      </c>
      <c r="D1087" t="s">
        <v>2262</v>
      </c>
      <c r="E1087" s="490">
        <v>45735</v>
      </c>
    </row>
    <row r="1088" spans="1:5">
      <c r="A1088">
        <v>250310</v>
      </c>
      <c r="B1088" t="s">
        <v>1183</v>
      </c>
      <c r="C1088" t="s">
        <v>2265</v>
      </c>
      <c r="D1088" t="s">
        <v>2266</v>
      </c>
      <c r="E1088" s="490">
        <v>45736</v>
      </c>
    </row>
    <row r="1089" spans="1:5">
      <c r="A1089">
        <v>250307</v>
      </c>
      <c r="B1089" t="s">
        <v>1130</v>
      </c>
      <c r="C1089" t="s">
        <v>994</v>
      </c>
      <c r="D1089" t="s">
        <v>995</v>
      </c>
      <c r="E1089" s="490">
        <v>45736</v>
      </c>
    </row>
    <row r="1090" spans="1:5">
      <c r="A1090">
        <v>250308</v>
      </c>
      <c r="B1090" t="s">
        <v>1130</v>
      </c>
      <c r="C1090" t="s">
        <v>990</v>
      </c>
      <c r="D1090" t="s">
        <v>991</v>
      </c>
      <c r="E1090" s="490">
        <v>45736</v>
      </c>
    </row>
    <row r="1091" spans="1:5">
      <c r="A1091">
        <v>250309</v>
      </c>
      <c r="B1091" t="s">
        <v>1130</v>
      </c>
      <c r="C1091" t="s">
        <v>2267</v>
      </c>
      <c r="D1091" t="s">
        <v>992</v>
      </c>
      <c r="E1091" s="490">
        <v>45736</v>
      </c>
    </row>
    <row r="1092" spans="1:5">
      <c r="A1092" t="s">
        <v>2824</v>
      </c>
      <c r="B1092" t="s">
        <v>92</v>
      </c>
      <c r="C1092" t="s">
        <v>1040</v>
      </c>
      <c r="D1092" t="s">
        <v>1041</v>
      </c>
      <c r="E1092" s="490">
        <v>45742</v>
      </c>
    </row>
    <row r="1093" spans="1:5">
      <c r="A1093">
        <v>250404</v>
      </c>
      <c r="B1093" t="s">
        <v>1106</v>
      </c>
      <c r="C1093" t="s">
        <v>1027</v>
      </c>
      <c r="D1093" t="s">
        <v>1028</v>
      </c>
      <c r="E1093" s="490">
        <v>45748</v>
      </c>
    </row>
    <row r="1094" spans="1:5">
      <c r="A1094">
        <v>250405</v>
      </c>
      <c r="B1094" t="s">
        <v>1106</v>
      </c>
      <c r="C1094" t="s">
        <v>2268</v>
      </c>
      <c r="D1094" t="s">
        <v>2269</v>
      </c>
      <c r="E1094" s="490">
        <v>45748</v>
      </c>
    </row>
    <row r="1095" spans="1:5">
      <c r="A1095">
        <v>250401</v>
      </c>
      <c r="B1095" t="s">
        <v>1198</v>
      </c>
      <c r="C1095" t="s">
        <v>2270</v>
      </c>
      <c r="D1095" t="s">
        <v>2271</v>
      </c>
      <c r="E1095" s="490">
        <v>45748</v>
      </c>
    </row>
    <row r="1096" spans="1:5">
      <c r="A1096">
        <v>250403</v>
      </c>
      <c r="B1096" t="s">
        <v>1192</v>
      </c>
      <c r="C1096" t="s">
        <v>2272</v>
      </c>
      <c r="D1096" t="s">
        <v>2273</v>
      </c>
      <c r="E1096" s="490">
        <v>45748</v>
      </c>
    </row>
    <row r="1097" spans="1:5">
      <c r="A1097">
        <v>201202</v>
      </c>
      <c r="B1097" t="s">
        <v>1116</v>
      </c>
      <c r="C1097" t="s">
        <v>1117</v>
      </c>
      <c r="D1097" t="s">
        <v>1118</v>
      </c>
      <c r="E1097" s="490">
        <v>45748</v>
      </c>
    </row>
    <row r="1098" spans="1:5">
      <c r="A1098">
        <v>250402</v>
      </c>
      <c r="B1098" t="s">
        <v>1192</v>
      </c>
      <c r="C1098" t="s">
        <v>1057</v>
      </c>
      <c r="D1098" t="s">
        <v>1058</v>
      </c>
      <c r="E1098" s="490">
        <v>45748</v>
      </c>
    </row>
    <row r="1099" spans="1:5">
      <c r="A1099" t="s">
        <v>2825</v>
      </c>
      <c r="B1099" t="s">
        <v>92</v>
      </c>
      <c r="C1099" t="s">
        <v>2424</v>
      </c>
      <c r="D1099" t="s">
        <v>2425</v>
      </c>
      <c r="E1099" s="490">
        <v>45748</v>
      </c>
    </row>
    <row r="1100" spans="1:5">
      <c r="A1100">
        <v>250406</v>
      </c>
      <c r="B1100" t="s">
        <v>1130</v>
      </c>
      <c r="C1100" t="s">
        <v>2274</v>
      </c>
      <c r="D1100" t="s">
        <v>2275</v>
      </c>
      <c r="E1100" s="490">
        <v>45749</v>
      </c>
    </row>
    <row r="1101" spans="1:5">
      <c r="A1101">
        <v>250407</v>
      </c>
      <c r="B1101" t="s">
        <v>178</v>
      </c>
      <c r="C1101" t="s">
        <v>1033</v>
      </c>
      <c r="D1101" t="s">
        <v>1034</v>
      </c>
      <c r="E1101" s="490">
        <v>45755</v>
      </c>
    </row>
    <row r="1102" spans="1:5">
      <c r="A1102">
        <v>250408</v>
      </c>
      <c r="B1102" t="s">
        <v>1593</v>
      </c>
      <c r="C1102" t="s">
        <v>2276</v>
      </c>
      <c r="D1102" t="s">
        <v>2277</v>
      </c>
      <c r="E1102" s="490">
        <v>45758</v>
      </c>
    </row>
    <row r="1103" spans="1:5">
      <c r="A1103">
        <v>250409</v>
      </c>
      <c r="B1103" t="s">
        <v>206</v>
      </c>
      <c r="C1103" t="s">
        <v>2278</v>
      </c>
      <c r="D1103" t="s">
        <v>1030</v>
      </c>
      <c r="E1103" s="490">
        <v>45759</v>
      </c>
    </row>
    <row r="1104" spans="1:5">
      <c r="A1104">
        <v>250410</v>
      </c>
      <c r="B1104" t="s">
        <v>1773</v>
      </c>
      <c r="C1104" t="s">
        <v>1037</v>
      </c>
      <c r="D1104" t="s">
        <v>1038</v>
      </c>
      <c r="E1104" s="490">
        <v>45762</v>
      </c>
    </row>
    <row r="1105" spans="1:5">
      <c r="A1105" t="s">
        <v>2826</v>
      </c>
      <c r="B1105" t="s">
        <v>92</v>
      </c>
      <c r="C1105" t="s">
        <v>2426</v>
      </c>
      <c r="D1105" t="s">
        <v>1036</v>
      </c>
      <c r="E1105" s="490">
        <v>45763</v>
      </c>
    </row>
    <row r="1106" spans="1:5">
      <c r="A1106" t="s">
        <v>2827</v>
      </c>
      <c r="B1106" t="s">
        <v>92</v>
      </c>
      <c r="C1106" t="s">
        <v>2427</v>
      </c>
      <c r="D1106" t="s">
        <v>2428</v>
      </c>
      <c r="E1106" s="490">
        <v>45763</v>
      </c>
    </row>
    <row r="1107" spans="1:5">
      <c r="A1107">
        <v>210911</v>
      </c>
      <c r="B1107" t="s">
        <v>1106</v>
      </c>
      <c r="C1107" t="s">
        <v>164</v>
      </c>
      <c r="D1107" t="s">
        <v>165</v>
      </c>
      <c r="E1107" s="490">
        <v>45768</v>
      </c>
    </row>
    <row r="1108" spans="1:5">
      <c r="A1108">
        <v>250411</v>
      </c>
      <c r="B1108" t="s">
        <v>211</v>
      </c>
      <c r="C1108" t="s">
        <v>2279</v>
      </c>
      <c r="D1108" t="s">
        <v>2280</v>
      </c>
      <c r="E1108" s="490">
        <v>45769</v>
      </c>
    </row>
    <row r="1109" spans="1:5">
      <c r="A1109">
        <v>250501</v>
      </c>
      <c r="B1109" t="s">
        <v>178</v>
      </c>
      <c r="C1109" t="s">
        <v>1035</v>
      </c>
      <c r="D1109" t="s">
        <v>2281</v>
      </c>
      <c r="E1109" s="490">
        <v>45782</v>
      </c>
    </row>
    <row r="1110" spans="1:5">
      <c r="A1110">
        <v>220125</v>
      </c>
      <c r="B1110" t="s">
        <v>1116</v>
      </c>
      <c r="C1110" t="s">
        <v>1055</v>
      </c>
      <c r="D1110" t="s">
        <v>1056</v>
      </c>
      <c r="E1110" s="490">
        <v>45783</v>
      </c>
    </row>
    <row r="1111" spans="1:5">
      <c r="A1111">
        <v>250505</v>
      </c>
      <c r="B1111" t="s">
        <v>206</v>
      </c>
      <c r="C1111" t="s">
        <v>1048</v>
      </c>
      <c r="D1111" t="s">
        <v>1049</v>
      </c>
      <c r="E1111" s="490">
        <v>45783</v>
      </c>
    </row>
    <row r="1112" spans="1:5">
      <c r="A1112">
        <v>250504</v>
      </c>
      <c r="B1112" t="s">
        <v>206</v>
      </c>
      <c r="C1112" t="s">
        <v>1046</v>
      </c>
      <c r="D1112" t="s">
        <v>1047</v>
      </c>
      <c r="E1112" s="490">
        <v>45783</v>
      </c>
    </row>
    <row r="1113" spans="1:5">
      <c r="A1113">
        <v>250502</v>
      </c>
      <c r="B1113" t="s">
        <v>1116</v>
      </c>
      <c r="C1113" t="s">
        <v>1051</v>
      </c>
      <c r="D1113" t="s">
        <v>1052</v>
      </c>
      <c r="E1113" s="490">
        <v>45783</v>
      </c>
    </row>
    <row r="1114" spans="1:5">
      <c r="A1114">
        <v>231112</v>
      </c>
      <c r="B1114" t="s">
        <v>1192</v>
      </c>
      <c r="C1114" t="s">
        <v>462</v>
      </c>
      <c r="D1114" t="s">
        <v>463</v>
      </c>
      <c r="E1114" s="490">
        <v>45783</v>
      </c>
    </row>
    <row r="1115" spans="1:5">
      <c r="A1115">
        <v>250503</v>
      </c>
      <c r="B1115" t="s">
        <v>1192</v>
      </c>
      <c r="C1115" t="s">
        <v>1053</v>
      </c>
      <c r="D1115" t="s">
        <v>1054</v>
      </c>
      <c r="E1115" s="490">
        <v>45783</v>
      </c>
    </row>
    <row r="1116" spans="1:5">
      <c r="A1116">
        <v>220209</v>
      </c>
      <c r="B1116" t="s">
        <v>1103</v>
      </c>
      <c r="C1116" t="s">
        <v>33</v>
      </c>
      <c r="D1116" t="s">
        <v>34</v>
      </c>
      <c r="E1116" s="490">
        <v>45789</v>
      </c>
    </row>
    <row r="1117" spans="1:5">
      <c r="A1117">
        <v>250506</v>
      </c>
      <c r="B1117" t="s">
        <v>76</v>
      </c>
      <c r="C1117" t="s">
        <v>2282</v>
      </c>
      <c r="D1117" t="s">
        <v>2283</v>
      </c>
      <c r="E1117" s="490">
        <v>45789</v>
      </c>
    </row>
    <row r="1118" spans="1:5">
      <c r="A1118">
        <v>250507</v>
      </c>
      <c r="B1118" t="s">
        <v>76</v>
      </c>
      <c r="C1118" t="s">
        <v>2284</v>
      </c>
      <c r="D1118" t="s">
        <v>2285</v>
      </c>
      <c r="E1118" s="490">
        <v>45789</v>
      </c>
    </row>
    <row r="1119" spans="1:5">
      <c r="A1119">
        <v>220802</v>
      </c>
      <c r="B1119" t="s">
        <v>239</v>
      </c>
      <c r="C1119" t="s">
        <v>53</v>
      </c>
      <c r="D1119" t="s">
        <v>54</v>
      </c>
      <c r="E1119" s="490">
        <v>45796</v>
      </c>
    </row>
    <row r="1120" spans="1:5">
      <c r="A1120" t="s">
        <v>2829</v>
      </c>
      <c r="B1120" t="s">
        <v>92</v>
      </c>
      <c r="C1120" t="s">
        <v>2429</v>
      </c>
      <c r="D1120" t="s">
        <v>2430</v>
      </c>
      <c r="E1120" s="490">
        <v>45797</v>
      </c>
    </row>
    <row r="1121" spans="1:5">
      <c r="A1121" t="s">
        <v>2830</v>
      </c>
      <c r="B1121" t="s">
        <v>92</v>
      </c>
      <c r="C1121" t="s">
        <v>1064</v>
      </c>
      <c r="D1121" t="s">
        <v>1065</v>
      </c>
      <c r="E1121" s="490">
        <v>45797</v>
      </c>
    </row>
    <row r="1122" spans="1:5">
      <c r="A1122" t="s">
        <v>2831</v>
      </c>
      <c r="B1122" t="s">
        <v>92</v>
      </c>
      <c r="C1122" t="s">
        <v>2431</v>
      </c>
      <c r="D1122" t="s">
        <v>2432</v>
      </c>
      <c r="E1122" s="490">
        <v>45797</v>
      </c>
    </row>
    <row r="1123" spans="1:5">
      <c r="A1123" t="s">
        <v>2828</v>
      </c>
      <c r="B1123" t="s">
        <v>829</v>
      </c>
      <c r="C1123" t="s">
        <v>1386</v>
      </c>
      <c r="D1123" t="s">
        <v>1387</v>
      </c>
      <c r="E1123" s="490">
        <v>45798</v>
      </c>
    </row>
    <row r="1124" spans="1:5">
      <c r="A1124">
        <v>221009</v>
      </c>
      <c r="B1124" t="s">
        <v>50</v>
      </c>
      <c r="C1124" t="s">
        <v>162</v>
      </c>
      <c r="D1124" t="s">
        <v>163</v>
      </c>
      <c r="E1124" s="490">
        <v>45799</v>
      </c>
    </row>
    <row r="1125" spans="1:5">
      <c r="A1125">
        <v>250508</v>
      </c>
      <c r="B1125" t="s">
        <v>211</v>
      </c>
      <c r="C1125" t="s">
        <v>620</v>
      </c>
      <c r="D1125" t="s">
        <v>621</v>
      </c>
      <c r="E1125" s="490">
        <v>45804</v>
      </c>
    </row>
    <row r="1126" spans="1:5">
      <c r="A1126">
        <v>250601</v>
      </c>
      <c r="B1126" t="s">
        <v>76</v>
      </c>
      <c r="C1126" t="s">
        <v>1066</v>
      </c>
      <c r="D1126" t="s">
        <v>1067</v>
      </c>
      <c r="E1126" s="490">
        <v>45810</v>
      </c>
    </row>
    <row r="1127" spans="1:5">
      <c r="A1127">
        <v>250602</v>
      </c>
      <c r="B1127" t="s">
        <v>76</v>
      </c>
      <c r="C1127" t="s">
        <v>1068</v>
      </c>
      <c r="D1127" t="s">
        <v>1069</v>
      </c>
      <c r="E1127" s="490">
        <v>45810</v>
      </c>
    </row>
    <row r="1128" spans="1:5">
      <c r="A1128">
        <v>221001</v>
      </c>
      <c r="B1128" t="s">
        <v>212</v>
      </c>
      <c r="C1128" t="s">
        <v>511</v>
      </c>
      <c r="D1128" t="s">
        <v>512</v>
      </c>
      <c r="E1128" s="490">
        <v>45810</v>
      </c>
    </row>
    <row r="1129" spans="1:5">
      <c r="A1129">
        <v>250606</v>
      </c>
      <c r="B1129" t="s">
        <v>1106</v>
      </c>
      <c r="C1129" t="s">
        <v>2290</v>
      </c>
      <c r="D1129" t="s">
        <v>2291</v>
      </c>
      <c r="E1129" s="490">
        <v>45810</v>
      </c>
    </row>
    <row r="1130" spans="1:5">
      <c r="A1130">
        <v>250603</v>
      </c>
      <c r="B1130" t="s">
        <v>1103</v>
      </c>
      <c r="C1130" t="s">
        <v>2286</v>
      </c>
      <c r="D1130" t="s">
        <v>2287</v>
      </c>
      <c r="E1130" s="490">
        <v>45812</v>
      </c>
    </row>
    <row r="1131" spans="1:5">
      <c r="A1131">
        <v>250604</v>
      </c>
      <c r="B1131" t="s">
        <v>1103</v>
      </c>
      <c r="C1131" t="s">
        <v>2288</v>
      </c>
      <c r="D1131" t="s">
        <v>2289</v>
      </c>
      <c r="E1131" s="490">
        <v>45812</v>
      </c>
    </row>
    <row r="1132" spans="1:5">
      <c r="A1132">
        <v>250605</v>
      </c>
      <c r="B1132" t="s">
        <v>1130</v>
      </c>
      <c r="C1132" t="s">
        <v>1062</v>
      </c>
      <c r="D1132" t="s">
        <v>1063</v>
      </c>
      <c r="E1132" s="490">
        <v>45817</v>
      </c>
    </row>
    <row r="1133" spans="1:5">
      <c r="A1133">
        <v>210812</v>
      </c>
      <c r="B1133" t="s">
        <v>211</v>
      </c>
      <c r="C1133" t="s">
        <v>1381</v>
      </c>
      <c r="D1133" t="s">
        <v>1382</v>
      </c>
      <c r="E1133" s="490">
        <v>45826</v>
      </c>
    </row>
    <row r="1134" spans="1:5">
      <c r="A1134">
        <v>250607</v>
      </c>
      <c r="B1134" t="s">
        <v>1130</v>
      </c>
      <c r="C1134" t="s">
        <v>1060</v>
      </c>
      <c r="D1134" t="s">
        <v>1061</v>
      </c>
      <c r="E1134" s="490">
        <v>45828</v>
      </c>
    </row>
    <row r="1135" spans="1:5">
      <c r="A1135">
        <v>250608</v>
      </c>
      <c r="B1135" t="s">
        <v>1103</v>
      </c>
      <c r="C1135" t="s">
        <v>2424</v>
      </c>
      <c r="D1135" t="s">
        <v>2425</v>
      </c>
      <c r="E1135" s="490">
        <v>45838</v>
      </c>
    </row>
    <row r="1136" spans="1:5">
      <c r="A1136">
        <v>240709</v>
      </c>
      <c r="B1136" t="s">
        <v>50</v>
      </c>
      <c r="C1136" t="s">
        <v>541</v>
      </c>
      <c r="D1136" t="s">
        <v>542</v>
      </c>
      <c r="E1136" s="490">
        <v>45839</v>
      </c>
    </row>
    <row r="1137" spans="1:5">
      <c r="A1137">
        <v>231003</v>
      </c>
      <c r="B1137" t="s">
        <v>211</v>
      </c>
      <c r="C1137" t="s">
        <v>1071</v>
      </c>
      <c r="D1137" t="s">
        <v>1072</v>
      </c>
      <c r="E1137" s="490">
        <v>45839</v>
      </c>
    </row>
    <row r="1138" spans="1:5">
      <c r="A1138">
        <v>250701</v>
      </c>
      <c r="B1138" t="s">
        <v>211</v>
      </c>
      <c r="C1138" t="s">
        <v>2535</v>
      </c>
      <c r="D1138" t="s">
        <v>2536</v>
      </c>
      <c r="E1138" s="490">
        <v>45839</v>
      </c>
    </row>
    <row r="1139" spans="1:5">
      <c r="A1139">
        <v>250702</v>
      </c>
      <c r="B1139" t="s">
        <v>1773</v>
      </c>
      <c r="C1139" t="s">
        <v>2537</v>
      </c>
      <c r="D1139" t="s">
        <v>2538</v>
      </c>
      <c r="E1139" s="490">
        <v>45840</v>
      </c>
    </row>
    <row r="1140" spans="1:5">
      <c r="A1140">
        <v>210610</v>
      </c>
      <c r="B1140" t="s">
        <v>1106</v>
      </c>
      <c r="C1140" t="s">
        <v>219</v>
      </c>
      <c r="D1140" t="s">
        <v>220</v>
      </c>
      <c r="E1140" s="490">
        <v>45845</v>
      </c>
    </row>
    <row r="1141" spans="1:5">
      <c r="A1141">
        <v>250703</v>
      </c>
      <c r="B1141" t="s">
        <v>1106</v>
      </c>
      <c r="C1141" t="s">
        <v>2539</v>
      </c>
      <c r="D1141" t="s">
        <v>2540</v>
      </c>
      <c r="E1141" s="490">
        <v>45845</v>
      </c>
    </row>
    <row r="1142" spans="1:5">
      <c r="A1142">
        <v>220501</v>
      </c>
      <c r="B1142" t="s">
        <v>1875</v>
      </c>
      <c r="C1142" t="s">
        <v>1703</v>
      </c>
      <c r="D1142" t="s">
        <v>1704</v>
      </c>
      <c r="E1142" s="490">
        <v>45846</v>
      </c>
    </row>
    <row r="1143" spans="1:5">
      <c r="A1143">
        <v>250705</v>
      </c>
      <c r="B1143" t="s">
        <v>1079</v>
      </c>
      <c r="C1143" t="s">
        <v>2541</v>
      </c>
      <c r="D1143" t="s">
        <v>2542</v>
      </c>
      <c r="E1143" s="490">
        <v>45859</v>
      </c>
    </row>
    <row r="1144" spans="1:5">
      <c r="A1144">
        <v>250704</v>
      </c>
      <c r="B1144" t="s">
        <v>1192</v>
      </c>
      <c r="C1144" t="s">
        <v>2549</v>
      </c>
      <c r="D1144" t="s">
        <v>2550</v>
      </c>
      <c r="E1144" s="490">
        <v>45859</v>
      </c>
    </row>
    <row r="1145" spans="1:5">
      <c r="A1145">
        <v>250707</v>
      </c>
      <c r="B1145" t="s">
        <v>1705</v>
      </c>
      <c r="C1145" t="s">
        <v>432</v>
      </c>
      <c r="D1145" t="s">
        <v>433</v>
      </c>
      <c r="E1145" s="490">
        <v>45860</v>
      </c>
    </row>
    <row r="1146" spans="1:5">
      <c r="A1146">
        <v>250706</v>
      </c>
      <c r="B1146" t="s">
        <v>1705</v>
      </c>
      <c r="C1146" t="s">
        <v>2551</v>
      </c>
      <c r="D1146" t="s">
        <v>2552</v>
      </c>
      <c r="E1146" s="490">
        <v>45860</v>
      </c>
    </row>
    <row r="1147" spans="1:5">
      <c r="A1147">
        <v>250708</v>
      </c>
      <c r="B1147" t="s">
        <v>1130</v>
      </c>
      <c r="C1147" t="s">
        <v>2543</v>
      </c>
      <c r="D1147" t="s">
        <v>2544</v>
      </c>
      <c r="E1147" s="490">
        <v>45861</v>
      </c>
    </row>
    <row r="1148" spans="1:5">
      <c r="A1148">
        <v>211217</v>
      </c>
      <c r="B1148" t="s">
        <v>211</v>
      </c>
      <c r="C1148" t="s">
        <v>1539</v>
      </c>
      <c r="D1148" t="s">
        <v>1540</v>
      </c>
      <c r="E1148" s="490">
        <v>45862</v>
      </c>
    </row>
    <row r="1149" spans="1:5">
      <c r="A1149">
        <v>240405</v>
      </c>
      <c r="B1149" t="s">
        <v>211</v>
      </c>
      <c r="C1149" t="s">
        <v>2128</v>
      </c>
      <c r="D1149" t="s">
        <v>2129</v>
      </c>
      <c r="E1149" s="490">
        <v>45867</v>
      </c>
    </row>
    <row r="1150" spans="1:5">
      <c r="A1150">
        <v>240909</v>
      </c>
      <c r="B1150" t="s">
        <v>211</v>
      </c>
      <c r="C1150" t="s">
        <v>570</v>
      </c>
      <c r="D1150" t="s">
        <v>571</v>
      </c>
      <c r="E1150" s="490">
        <v>45867</v>
      </c>
    </row>
    <row r="1151" spans="1:5">
      <c r="A1151">
        <v>250709</v>
      </c>
      <c r="B1151" t="s">
        <v>178</v>
      </c>
      <c r="C1151" t="s">
        <v>2553</v>
      </c>
      <c r="D1151" t="s">
        <v>2554</v>
      </c>
      <c r="E1151" s="490">
        <v>45867</v>
      </c>
    </row>
    <row r="1152" spans="1:5">
      <c r="A1152">
        <v>250801</v>
      </c>
      <c r="B1152" t="s">
        <v>1593</v>
      </c>
      <c r="C1152" t="s">
        <v>2555</v>
      </c>
      <c r="D1152" t="s">
        <v>2556</v>
      </c>
      <c r="E1152" s="490">
        <v>45870</v>
      </c>
    </row>
    <row r="1153" spans="1:5">
      <c r="A1153">
        <v>230701</v>
      </c>
      <c r="B1153" t="s">
        <v>212</v>
      </c>
      <c r="C1153" t="s">
        <v>307</v>
      </c>
      <c r="D1153" t="s">
        <v>308</v>
      </c>
      <c r="E1153" s="490">
        <v>45870</v>
      </c>
    </row>
    <row r="1154" spans="1:5">
      <c r="A1154">
        <v>21</v>
      </c>
      <c r="B1154" t="s">
        <v>2292</v>
      </c>
      <c r="C1154" t="s">
        <v>2533</v>
      </c>
      <c r="D1154" t="s">
        <v>2534</v>
      </c>
      <c r="E1154" s="490">
        <v>45870</v>
      </c>
    </row>
    <row r="1155" spans="1:5">
      <c r="A1155">
        <v>220211</v>
      </c>
      <c r="B1155" t="s">
        <v>1593</v>
      </c>
      <c r="C1155" t="s">
        <v>1549</v>
      </c>
      <c r="D1155" t="s">
        <v>1550</v>
      </c>
      <c r="E1155" s="490">
        <v>45873</v>
      </c>
    </row>
    <row r="1156" spans="1:5">
      <c r="A1156">
        <v>250802</v>
      </c>
      <c r="B1156" t="s">
        <v>1130</v>
      </c>
      <c r="C1156" t="s">
        <v>2557</v>
      </c>
      <c r="D1156" t="s">
        <v>2558</v>
      </c>
      <c r="E1156" s="490">
        <v>45873</v>
      </c>
    </row>
    <row r="1157" spans="1:5">
      <c r="A1157">
        <v>250803</v>
      </c>
      <c r="B1157" t="s">
        <v>1130</v>
      </c>
      <c r="C1157" t="s">
        <v>2559</v>
      </c>
      <c r="D1157" t="s">
        <v>2560</v>
      </c>
      <c r="E1157" s="490">
        <v>45873</v>
      </c>
    </row>
    <row r="1158" spans="1:5">
      <c r="A1158">
        <v>250804</v>
      </c>
      <c r="B1158" t="s">
        <v>1130</v>
      </c>
      <c r="C1158" t="s">
        <v>2561</v>
      </c>
      <c r="D1158" t="s">
        <v>2562</v>
      </c>
      <c r="E1158" s="490">
        <v>45873</v>
      </c>
    </row>
    <row r="1159" spans="1:5">
      <c r="A1159">
        <v>210501</v>
      </c>
      <c r="B1159" t="s">
        <v>178</v>
      </c>
      <c r="C1159" t="s">
        <v>1281</v>
      </c>
      <c r="D1159" t="s">
        <v>356</v>
      </c>
      <c r="E1159" s="490">
        <v>45887</v>
      </c>
    </row>
    <row r="1160" spans="1:5">
      <c r="A1160">
        <v>210110</v>
      </c>
      <c r="B1160" t="s">
        <v>1106</v>
      </c>
      <c r="C1160" t="s">
        <v>474</v>
      </c>
      <c r="D1160" t="s">
        <v>475</v>
      </c>
      <c r="E1160" s="490">
        <v>45887</v>
      </c>
    </row>
    <row r="1161" spans="1:5">
      <c r="A1161">
        <v>250806</v>
      </c>
      <c r="B1161" t="s">
        <v>1705</v>
      </c>
      <c r="C1161" t="s">
        <v>2567</v>
      </c>
      <c r="D1161" t="s">
        <v>2568</v>
      </c>
      <c r="E1161" s="490">
        <v>45887</v>
      </c>
    </row>
    <row r="1162" spans="1:5">
      <c r="A1162">
        <v>250805</v>
      </c>
      <c r="B1162" t="s">
        <v>206</v>
      </c>
      <c r="C1162" t="s">
        <v>2565</v>
      </c>
      <c r="D1162" t="s">
        <v>2566</v>
      </c>
      <c r="E1162" s="490">
        <v>45887</v>
      </c>
    </row>
    <row r="1163" spans="1:5">
      <c r="A1163">
        <v>230402</v>
      </c>
      <c r="B1163" t="s">
        <v>239</v>
      </c>
      <c r="C1163" t="s">
        <v>1400</v>
      </c>
      <c r="D1163" t="s">
        <v>1944</v>
      </c>
      <c r="E1163" s="490">
        <v>45887</v>
      </c>
    </row>
    <row r="1164" spans="1:5">
      <c r="A1164">
        <v>250808</v>
      </c>
      <c r="B1164" t="s">
        <v>1096</v>
      </c>
      <c r="C1164" t="s">
        <v>2571</v>
      </c>
      <c r="D1164" t="s">
        <v>2572</v>
      </c>
      <c r="E1164" s="490">
        <v>45890</v>
      </c>
    </row>
    <row r="1165" spans="1:5">
      <c r="A1165">
        <v>250807</v>
      </c>
      <c r="B1165" t="s">
        <v>1705</v>
      </c>
      <c r="C1165" t="s">
        <v>2569</v>
      </c>
      <c r="D1165" t="s">
        <v>2570</v>
      </c>
      <c r="E1165" s="490">
        <v>45890</v>
      </c>
    </row>
    <row r="1166" spans="1:5">
      <c r="A1166">
        <v>221010</v>
      </c>
      <c r="B1166" t="s">
        <v>1705</v>
      </c>
      <c r="C1166" t="s">
        <v>168</v>
      </c>
      <c r="D1166" t="s">
        <v>169</v>
      </c>
      <c r="E1166" s="490">
        <v>45894</v>
      </c>
    </row>
    <row r="1167" spans="1:5">
      <c r="A1167">
        <v>240801</v>
      </c>
      <c r="B1167" t="s">
        <v>1705</v>
      </c>
      <c r="C1167" t="s">
        <v>2171</v>
      </c>
      <c r="D1167" t="s">
        <v>2172</v>
      </c>
      <c r="E1167" s="490">
        <v>45894</v>
      </c>
    </row>
    <row r="1168" spans="1:5">
      <c r="A1168" t="s">
        <v>2832</v>
      </c>
      <c r="B1168" t="s">
        <v>2585</v>
      </c>
      <c r="C1168" t="s">
        <v>966</v>
      </c>
      <c r="D1168" t="s">
        <v>967</v>
      </c>
      <c r="E1168" s="490">
        <v>45895</v>
      </c>
    </row>
    <row r="1169" spans="1:5">
      <c r="A1169">
        <v>250809</v>
      </c>
      <c r="B1169" t="s">
        <v>211</v>
      </c>
      <c r="C1169" t="s">
        <v>2563</v>
      </c>
      <c r="D1169" t="s">
        <v>2564</v>
      </c>
      <c r="E1169" s="490">
        <v>45896</v>
      </c>
    </row>
    <row r="1170" spans="1:5">
      <c r="A1170">
        <v>220121</v>
      </c>
      <c r="B1170" t="s">
        <v>1103</v>
      </c>
      <c r="C1170" t="s">
        <v>103</v>
      </c>
      <c r="D1170" t="s">
        <v>104</v>
      </c>
      <c r="E1170" s="490">
        <v>45901</v>
      </c>
    </row>
    <row r="1171" spans="1:5">
      <c r="A1171">
        <v>220317</v>
      </c>
      <c r="B1171" t="s">
        <v>178</v>
      </c>
      <c r="C1171" t="s">
        <v>35</v>
      </c>
      <c r="D1171" t="s">
        <v>959</v>
      </c>
      <c r="E1171" s="490">
        <v>45901</v>
      </c>
    </row>
    <row r="1172" spans="1:5">
      <c r="A1172">
        <v>250901</v>
      </c>
      <c r="B1172" t="s">
        <v>211</v>
      </c>
      <c r="C1172" t="s">
        <v>2573</v>
      </c>
      <c r="D1172" t="s">
        <v>2574</v>
      </c>
      <c r="E1172" s="490">
        <v>45902</v>
      </c>
    </row>
    <row r="1173" spans="1:5">
      <c r="A1173">
        <v>250902</v>
      </c>
      <c r="B1173" t="s">
        <v>2596</v>
      </c>
      <c r="C1173" t="s">
        <v>2582</v>
      </c>
      <c r="D1173" t="s">
        <v>2583</v>
      </c>
      <c r="E1173" s="490">
        <v>45908</v>
      </c>
    </row>
    <row r="1174" spans="1:5">
      <c r="A1174">
        <v>250903</v>
      </c>
      <c r="B1174" t="s">
        <v>1079</v>
      </c>
      <c r="C1174" t="s">
        <v>2586</v>
      </c>
      <c r="D1174" t="s">
        <v>2587</v>
      </c>
      <c r="E1174" s="490">
        <v>45915</v>
      </c>
    </row>
    <row r="1175" spans="1:5">
      <c r="A1175">
        <v>250904</v>
      </c>
      <c r="B1175" t="s">
        <v>1183</v>
      </c>
      <c r="C1175" t="s">
        <v>2588</v>
      </c>
      <c r="D1175" t="s">
        <v>2589</v>
      </c>
      <c r="E1175" s="490">
        <v>45916</v>
      </c>
    </row>
    <row r="1176" spans="1:5">
      <c r="A1176">
        <v>250905</v>
      </c>
      <c r="B1176" t="s">
        <v>1130</v>
      </c>
      <c r="C1176" t="s">
        <v>2590</v>
      </c>
      <c r="D1176" t="s">
        <v>2591</v>
      </c>
      <c r="E1176" s="490">
        <v>45923</v>
      </c>
    </row>
    <row r="1177" spans="1:5">
      <c r="A1177">
        <v>250906</v>
      </c>
      <c r="B1177" t="s">
        <v>1130</v>
      </c>
      <c r="C1177" t="s">
        <v>2592</v>
      </c>
      <c r="D1177" t="s">
        <v>2593</v>
      </c>
      <c r="E1177" s="490">
        <v>45923</v>
      </c>
    </row>
    <row r="1178" spans="1:5">
      <c r="A1178">
        <v>251001</v>
      </c>
      <c r="B1178" t="s">
        <v>1705</v>
      </c>
      <c r="C1178" t="s">
        <v>2597</v>
      </c>
      <c r="D1178" t="s">
        <v>2598</v>
      </c>
      <c r="E1178" s="490">
        <v>45931</v>
      </c>
    </row>
    <row r="1179" spans="1:5">
      <c r="A1179">
        <v>251002</v>
      </c>
      <c r="B1179" t="s">
        <v>1356</v>
      </c>
      <c r="C1179" t="s">
        <v>2599</v>
      </c>
      <c r="D1179" t="s">
        <v>2600</v>
      </c>
      <c r="E1179" s="490">
        <v>45937</v>
      </c>
    </row>
    <row r="1180" spans="1:5">
      <c r="A1180">
        <v>251003</v>
      </c>
      <c r="B1180" t="s">
        <v>2601</v>
      </c>
      <c r="C1180" t="s">
        <v>2602</v>
      </c>
      <c r="D1180" t="s">
        <v>2603</v>
      </c>
      <c r="E1180" s="490">
        <v>45937</v>
      </c>
    </row>
    <row r="1181" spans="1:5">
      <c r="A1181">
        <v>241201</v>
      </c>
      <c r="B1181" t="s">
        <v>1705</v>
      </c>
      <c r="C1181" t="s">
        <v>2231</v>
      </c>
      <c r="D1181" t="s">
        <v>2232</v>
      </c>
      <c r="E1181" s="490">
        <v>45943</v>
      </c>
    </row>
    <row r="1182" spans="1:5">
      <c r="A1182">
        <v>251004</v>
      </c>
      <c r="B1182" t="s">
        <v>264</v>
      </c>
      <c r="C1182" t="s">
        <v>2604</v>
      </c>
      <c r="D1182" t="s">
        <v>2605</v>
      </c>
      <c r="E1182" s="490">
        <v>45943</v>
      </c>
    </row>
    <row r="1183" spans="1:5">
      <c r="A1183">
        <v>251005</v>
      </c>
      <c r="B1183" t="s">
        <v>178</v>
      </c>
      <c r="C1183" t="s">
        <v>2606</v>
      </c>
      <c r="D1183" t="s">
        <v>2607</v>
      </c>
      <c r="E1183" s="490">
        <v>45943</v>
      </c>
    </row>
    <row r="1184" spans="1:5">
      <c r="A1184">
        <v>251006</v>
      </c>
      <c r="B1184" t="s">
        <v>178</v>
      </c>
      <c r="C1184" t="s">
        <v>2608</v>
      </c>
      <c r="D1184" t="s">
        <v>2609</v>
      </c>
      <c r="E1184" s="490">
        <v>45943</v>
      </c>
    </row>
    <row r="1185" spans="1:5">
      <c r="A1185">
        <v>251007</v>
      </c>
      <c r="B1185" t="s">
        <v>2601</v>
      </c>
      <c r="C1185" t="s">
        <v>2610</v>
      </c>
      <c r="D1185" t="s">
        <v>2611</v>
      </c>
      <c r="E1185" s="490">
        <v>45944</v>
      </c>
    </row>
    <row r="1186" spans="1:5">
      <c r="A1186">
        <v>251008</v>
      </c>
      <c r="B1186" t="s">
        <v>1079</v>
      </c>
      <c r="C1186" t="s">
        <v>2612</v>
      </c>
      <c r="D1186" t="s">
        <v>2613</v>
      </c>
      <c r="E1186" s="490">
        <v>45945</v>
      </c>
    </row>
    <row r="1187" spans="1:5">
      <c r="A1187">
        <v>251009</v>
      </c>
      <c r="B1187" t="s">
        <v>1875</v>
      </c>
      <c r="C1187" t="s">
        <v>481</v>
      </c>
      <c r="D1187" t="s">
        <v>2614</v>
      </c>
      <c r="E1187" s="490">
        <v>45951</v>
      </c>
    </row>
    <row r="1188" spans="1:5">
      <c r="A1188">
        <v>251010</v>
      </c>
      <c r="B1188" t="s">
        <v>1130</v>
      </c>
      <c r="C1188" t="s">
        <v>2615</v>
      </c>
      <c r="D1188" t="s">
        <v>2616</v>
      </c>
      <c r="E1188" s="490">
        <v>45951</v>
      </c>
    </row>
    <row r="1189" spans="1:5">
      <c r="A1189">
        <v>210405</v>
      </c>
      <c r="B1189" t="s">
        <v>239</v>
      </c>
      <c r="C1189" t="s">
        <v>1235</v>
      </c>
      <c r="D1189" t="s">
        <v>1236</v>
      </c>
      <c r="E1189" s="490">
        <v>45952</v>
      </c>
    </row>
    <row r="1190" spans="1:5">
      <c r="A1190">
        <v>251011</v>
      </c>
      <c r="B1190" t="s">
        <v>1875</v>
      </c>
      <c r="C1190" t="s">
        <v>2617</v>
      </c>
      <c r="D1190" t="s">
        <v>2618</v>
      </c>
      <c r="E1190" s="490">
        <v>45957</v>
      </c>
    </row>
    <row r="1191" spans="1:5">
      <c r="A1191">
        <v>251101</v>
      </c>
      <c r="B1191" t="s">
        <v>1079</v>
      </c>
      <c r="C1191" t="s">
        <v>2619</v>
      </c>
      <c r="D1191" t="s">
        <v>2620</v>
      </c>
      <c r="E1191" s="490">
        <v>45964</v>
      </c>
    </row>
    <row r="1192" spans="1:5">
      <c r="A1192">
        <v>251102</v>
      </c>
      <c r="B1192" t="s">
        <v>1079</v>
      </c>
      <c r="C1192" t="s">
        <v>2621</v>
      </c>
      <c r="D1192" t="s">
        <v>2622</v>
      </c>
      <c r="E1192" s="490">
        <v>45964</v>
      </c>
    </row>
    <row r="1193" spans="1:5">
      <c r="A1193">
        <v>251103</v>
      </c>
      <c r="B1193" t="s">
        <v>1106</v>
      </c>
      <c r="C1193" t="s">
        <v>2627</v>
      </c>
      <c r="D1193" t="s">
        <v>2628</v>
      </c>
      <c r="E1193" s="490">
        <v>45964</v>
      </c>
    </row>
    <row r="1194" spans="1:5">
      <c r="A1194">
        <v>251104</v>
      </c>
      <c r="B1194" t="s">
        <v>239</v>
      </c>
      <c r="C1194" t="s">
        <v>2629</v>
      </c>
      <c r="D1194" t="s">
        <v>2630</v>
      </c>
      <c r="E1194" s="490">
        <v>45964</v>
      </c>
    </row>
    <row r="1195" spans="1:5">
      <c r="A1195">
        <v>220107</v>
      </c>
      <c r="B1195" t="s">
        <v>239</v>
      </c>
      <c r="C1195" t="s">
        <v>1555</v>
      </c>
      <c r="D1195" t="s">
        <v>1556</v>
      </c>
      <c r="E1195" s="490">
        <v>45966</v>
      </c>
    </row>
    <row r="1196" spans="1:5">
      <c r="A1196" t="s">
        <v>2833</v>
      </c>
      <c r="B1196" t="s">
        <v>829</v>
      </c>
      <c r="C1196" t="s">
        <v>2059</v>
      </c>
      <c r="D1196" t="s">
        <v>2060</v>
      </c>
      <c r="E1196" s="490">
        <v>45968</v>
      </c>
    </row>
    <row r="1197" spans="1:5">
      <c r="A1197" t="s">
        <v>2834</v>
      </c>
      <c r="B1197" t="s">
        <v>829</v>
      </c>
      <c r="C1197" t="s">
        <v>2625</v>
      </c>
      <c r="D1197" t="s">
        <v>2626</v>
      </c>
      <c r="E1197" s="490">
        <v>45971</v>
      </c>
    </row>
    <row r="1198" spans="1:5">
      <c r="A1198">
        <v>251105</v>
      </c>
      <c r="B1198" t="s">
        <v>1130</v>
      </c>
      <c r="C1198" t="s">
        <v>2631</v>
      </c>
      <c r="D1198" t="s">
        <v>2632</v>
      </c>
      <c r="E1198" s="490">
        <v>45973</v>
      </c>
    </row>
    <row r="1199" spans="1:5">
      <c r="A1199">
        <v>251106</v>
      </c>
      <c r="B1199" t="s">
        <v>1130</v>
      </c>
      <c r="C1199" t="s">
        <v>2633</v>
      </c>
      <c r="D1199" t="s">
        <v>2634</v>
      </c>
      <c r="E1199" s="490">
        <v>45973</v>
      </c>
    </row>
    <row r="1200" spans="1:5">
      <c r="A1200">
        <v>251107</v>
      </c>
      <c r="B1200" t="s">
        <v>1130</v>
      </c>
      <c r="C1200" t="s">
        <v>2635</v>
      </c>
      <c r="D1200" t="s">
        <v>2636</v>
      </c>
      <c r="E1200" s="490">
        <v>45973</v>
      </c>
    </row>
    <row r="1201" spans="1:5">
      <c r="A1201">
        <v>251108</v>
      </c>
      <c r="B1201" t="s">
        <v>178</v>
      </c>
      <c r="C1201" t="s">
        <v>2637</v>
      </c>
      <c r="D1201" t="s">
        <v>2638</v>
      </c>
      <c r="E1201" s="490">
        <v>45973</v>
      </c>
    </row>
    <row r="1202" spans="1:5">
      <c r="A1202">
        <v>251109</v>
      </c>
      <c r="B1202" t="s">
        <v>178</v>
      </c>
      <c r="C1202" t="s">
        <v>2639</v>
      </c>
      <c r="D1202" t="s">
        <v>2640</v>
      </c>
      <c r="E1202" s="490">
        <v>45973</v>
      </c>
    </row>
    <row r="1203" spans="1:5">
      <c r="A1203">
        <v>211201</v>
      </c>
      <c r="B1203" t="s">
        <v>1183</v>
      </c>
      <c r="C1203" t="s">
        <v>1508</v>
      </c>
      <c r="D1203" t="s">
        <v>1509</v>
      </c>
      <c r="E1203" s="490">
        <v>45978</v>
      </c>
    </row>
    <row r="1204" spans="1:5">
      <c r="A1204" t="s">
        <v>2835</v>
      </c>
      <c r="B1204" t="s">
        <v>2585</v>
      </c>
      <c r="C1204" t="s">
        <v>2651</v>
      </c>
      <c r="D1204" t="s">
        <v>2652</v>
      </c>
      <c r="E1204" s="490">
        <v>45978</v>
      </c>
    </row>
    <row r="1205" spans="1:5">
      <c r="A1205" t="s">
        <v>2836</v>
      </c>
      <c r="B1205" t="s">
        <v>2585</v>
      </c>
      <c r="C1205" t="s">
        <v>2655</v>
      </c>
      <c r="D1205" t="s">
        <v>2656</v>
      </c>
      <c r="E1205" s="490">
        <v>45978</v>
      </c>
    </row>
    <row r="1206" spans="1:5">
      <c r="A1206" t="s">
        <v>2837</v>
      </c>
      <c r="B1206" t="s">
        <v>2585</v>
      </c>
      <c r="C1206" t="s">
        <v>2653</v>
      </c>
      <c r="D1206" t="s">
        <v>2654</v>
      </c>
      <c r="E1206" s="490">
        <v>45978</v>
      </c>
    </row>
    <row r="1207" spans="1:5">
      <c r="A1207">
        <v>251110</v>
      </c>
      <c r="B1207" t="s">
        <v>2601</v>
      </c>
      <c r="C1207" t="s">
        <v>2641</v>
      </c>
      <c r="D1207" t="s">
        <v>2642</v>
      </c>
      <c r="E1207" s="490">
        <v>45979</v>
      </c>
    </row>
    <row r="1208" spans="1:5">
      <c r="A1208">
        <v>251201</v>
      </c>
      <c r="B1208" t="s">
        <v>1705</v>
      </c>
      <c r="C1208" t="s">
        <v>2663</v>
      </c>
      <c r="D1208" t="s">
        <v>2664</v>
      </c>
      <c r="E1208" s="490">
        <v>45993</v>
      </c>
    </row>
    <row r="1209" spans="1:5">
      <c r="A1209">
        <v>221002</v>
      </c>
      <c r="B1209" t="s">
        <v>212</v>
      </c>
      <c r="C1209" t="s">
        <v>1828</v>
      </c>
      <c r="D1209" t="s">
        <v>1829</v>
      </c>
      <c r="E1209" s="490">
        <v>45999</v>
      </c>
    </row>
    <row r="1210" spans="1:5">
      <c r="A1210">
        <v>251202</v>
      </c>
      <c r="B1210" t="s">
        <v>1103</v>
      </c>
      <c r="C1210" t="s">
        <v>2625</v>
      </c>
      <c r="D1210" t="s">
        <v>2626</v>
      </c>
      <c r="E1210" s="490">
        <v>46000</v>
      </c>
    </row>
    <row r="1211" spans="1:5">
      <c r="A1211">
        <v>251203</v>
      </c>
      <c r="B1211" t="s">
        <v>76</v>
      </c>
      <c r="C1211" t="s">
        <v>2678</v>
      </c>
      <c r="D1211" t="s">
        <v>2679</v>
      </c>
      <c r="E1211" s="490">
        <v>46006</v>
      </c>
    </row>
    <row r="1212" spans="1:5">
      <c r="A1212">
        <v>251204</v>
      </c>
      <c r="B1212" t="s">
        <v>76</v>
      </c>
      <c r="C1212" t="s">
        <v>2680</v>
      </c>
      <c r="D1212" t="s">
        <v>2681</v>
      </c>
      <c r="E1212" s="490">
        <v>46006</v>
      </c>
    </row>
    <row r="1213" spans="1:5">
      <c r="A1213">
        <v>251205</v>
      </c>
      <c r="B1213" t="s">
        <v>76</v>
      </c>
      <c r="C1213" t="s">
        <v>2682</v>
      </c>
      <c r="D1213" t="s">
        <v>2683</v>
      </c>
      <c r="E1213" s="490">
        <v>46006</v>
      </c>
    </row>
    <row r="1214" spans="1:5">
      <c r="A1214" t="s">
        <v>2838</v>
      </c>
      <c r="B1214" t="s">
        <v>2585</v>
      </c>
      <c r="C1214" t="s">
        <v>2687</v>
      </c>
      <c r="D1214" t="s">
        <v>2688</v>
      </c>
      <c r="E1214" s="490">
        <v>46006</v>
      </c>
    </row>
    <row r="1215" spans="1:5">
      <c r="A1215" t="s">
        <v>2839</v>
      </c>
      <c r="B1215" t="s">
        <v>2585</v>
      </c>
      <c r="C1215" t="s">
        <v>2689</v>
      </c>
      <c r="D1215" t="s">
        <v>2690</v>
      </c>
      <c r="E1215" s="490">
        <v>46006</v>
      </c>
    </row>
    <row r="1216" spans="1:5">
      <c r="A1216" t="s">
        <v>2840</v>
      </c>
      <c r="B1216" t="s">
        <v>2585</v>
      </c>
      <c r="C1216" t="s">
        <v>2691</v>
      </c>
      <c r="D1216" t="s">
        <v>2692</v>
      </c>
      <c r="E1216" s="490">
        <v>46006</v>
      </c>
    </row>
    <row r="1217" spans="1:5">
      <c r="A1217">
        <v>251206</v>
      </c>
      <c r="B1217" t="s">
        <v>1103</v>
      </c>
      <c r="C1217" t="s">
        <v>2666</v>
      </c>
      <c r="D1217" t="s">
        <v>2667</v>
      </c>
      <c r="E1217" s="490">
        <v>46008</v>
      </c>
    </row>
    <row r="1218" spans="1:5">
      <c r="A1218">
        <v>251207</v>
      </c>
      <c r="B1218" t="s">
        <v>178</v>
      </c>
      <c r="C1218" t="s">
        <v>2669</v>
      </c>
      <c r="D1218" t="s">
        <v>2670</v>
      </c>
      <c r="E1218" s="490">
        <v>46009</v>
      </c>
    </row>
    <row r="1219" spans="1:5">
      <c r="A1219">
        <v>251208</v>
      </c>
      <c r="B1219" t="s">
        <v>178</v>
      </c>
      <c r="C1219" t="s">
        <v>2671</v>
      </c>
      <c r="D1219" t="s">
        <v>2672</v>
      </c>
      <c r="E1219" s="490">
        <v>46009</v>
      </c>
    </row>
    <row r="1220" spans="1:5">
      <c r="A1220">
        <v>251209</v>
      </c>
      <c r="B1220" t="s">
        <v>178</v>
      </c>
      <c r="C1220" t="s">
        <v>2673</v>
      </c>
      <c r="D1220" t="s">
        <v>2674</v>
      </c>
      <c r="E1220" s="490">
        <v>46009</v>
      </c>
    </row>
    <row r="1221" spans="1:5">
      <c r="A1221">
        <v>251210</v>
      </c>
      <c r="B1221" t="s">
        <v>178</v>
      </c>
      <c r="C1221" t="s">
        <v>2675</v>
      </c>
      <c r="D1221" t="s">
        <v>2676</v>
      </c>
      <c r="E1221" s="490">
        <v>46009</v>
      </c>
    </row>
    <row r="1222" spans="1:5">
      <c r="A1222">
        <v>251211</v>
      </c>
      <c r="B1222" t="s">
        <v>1103</v>
      </c>
      <c r="C1222" t="s">
        <v>2685</v>
      </c>
      <c r="D1222" t="s">
        <v>2686</v>
      </c>
      <c r="E1222" s="490">
        <v>46013</v>
      </c>
    </row>
    <row r="1223" spans="1:5">
      <c r="A1223">
        <v>251212</v>
      </c>
      <c r="B1223" t="s">
        <v>1192</v>
      </c>
      <c r="C1223" t="s">
        <v>1473</v>
      </c>
      <c r="D1223" t="s">
        <v>1474</v>
      </c>
      <c r="E1223" s="490">
        <v>46013</v>
      </c>
    </row>
    <row r="1224" spans="1:5">
      <c r="B1224" t="s">
        <v>1192</v>
      </c>
      <c r="C1224" t="s">
        <v>2693</v>
      </c>
      <c r="D1224" t="s">
        <v>2694</v>
      </c>
      <c r="E1224" s="490">
        <v>46028</v>
      </c>
    </row>
    <row r="1225" spans="1:5">
      <c r="B1225" t="s">
        <v>2601</v>
      </c>
      <c r="C1225" t="s">
        <v>2695</v>
      </c>
      <c r="D1225" t="s">
        <v>2696</v>
      </c>
      <c r="E1225" s="490">
        <v>46034</v>
      </c>
    </row>
    <row r="1226" spans="1:5">
      <c r="B1226" t="s">
        <v>829</v>
      </c>
    </row>
    <row r="1227" spans="1:5">
      <c r="B1227" t="s">
        <v>829</v>
      </c>
    </row>
    <row r="1228" spans="1:5">
      <c r="B1228" t="s">
        <v>829</v>
      </c>
    </row>
    <row r="1229" spans="1:5">
      <c r="B1229" t="s">
        <v>829</v>
      </c>
    </row>
    <row r="1230" spans="1:5">
      <c r="B1230" t="s">
        <v>829</v>
      </c>
    </row>
    <row r="1231" spans="1:5">
      <c r="B1231" t="s">
        <v>829</v>
      </c>
    </row>
    <row r="1232" spans="1:5">
      <c r="B1232" t="s">
        <v>829</v>
      </c>
    </row>
    <row r="1233" spans="1:4">
      <c r="B1233" t="s">
        <v>829</v>
      </c>
    </row>
    <row r="1234" spans="1:4">
      <c r="B1234" t="s">
        <v>829</v>
      </c>
    </row>
    <row r="1235" spans="1:4">
      <c r="B1235" t="s">
        <v>829</v>
      </c>
    </row>
    <row r="1236" spans="1:4">
      <c r="B1236" t="s">
        <v>829</v>
      </c>
    </row>
    <row r="1237" spans="1:4">
      <c r="B1237" t="s">
        <v>829</v>
      </c>
    </row>
    <row r="1238" spans="1:4">
      <c r="A1238" t="s">
        <v>2713</v>
      </c>
      <c r="B1238" t="s">
        <v>124</v>
      </c>
      <c r="C1238" t="s">
        <v>2347</v>
      </c>
      <c r="D1238" t="s">
        <v>2348</v>
      </c>
    </row>
    <row r="1239" spans="1:4">
      <c r="B1239" t="s">
        <v>829</v>
      </c>
    </row>
    <row r="1240" spans="1:4">
      <c r="B1240" t="s">
        <v>829</v>
      </c>
    </row>
    <row r="1241" spans="1:4">
      <c r="B1241" t="s">
        <v>829</v>
      </c>
    </row>
    <row r="1242" spans="1:4">
      <c r="B1242" t="s">
        <v>829</v>
      </c>
    </row>
    <row r="1243" spans="1:4">
      <c r="B1243" t="s">
        <v>829</v>
      </c>
    </row>
  </sheetData>
  <phoneticPr fontId="2"/>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2E5E6-7417-49FE-B05F-1E499F4586B2}">
  <sheetPr codeName="Sheet1">
    <pageSetUpPr fitToPage="1"/>
  </sheetPr>
  <dimension ref="A1:AM1214"/>
  <sheetViews>
    <sheetView tabSelected="1" view="pageBreakPreview" zoomScale="80" zoomScaleNormal="70" zoomScaleSheetLayoutView="80" workbookViewId="0">
      <pane ySplit="5" topLeftCell="A972" activePane="bottomLeft" state="frozen"/>
      <selection activeCell="I13" sqref="I13:I14"/>
      <selection pane="bottomLeft" activeCell="E985" sqref="E985"/>
    </sheetView>
  </sheetViews>
  <sheetFormatPr defaultColWidth="9" defaultRowHeight="24"/>
  <cols>
    <col min="1" max="1" width="11.75" style="146" customWidth="1"/>
    <col min="2" max="2" width="13.625" style="374" customWidth="1"/>
    <col min="3" max="3" width="10.5" style="13" customWidth="1"/>
    <col min="4" max="4" width="24" style="13" bestFit="1" customWidth="1"/>
    <col min="5" max="5" width="46.875" style="13" customWidth="1"/>
    <col min="6" max="6" width="43.5" style="13" customWidth="1"/>
    <col min="7" max="9" width="12.625" style="19" customWidth="1"/>
    <col min="10" max="10" width="12.125" style="61" hidden="1" customWidth="1"/>
    <col min="11" max="11" width="15" style="11" hidden="1" customWidth="1"/>
    <col min="12" max="12" width="21.375" style="11" hidden="1" customWidth="1"/>
    <col min="13" max="14" width="10.5" style="81" hidden="1" customWidth="1"/>
    <col min="15" max="15" width="16.375" style="130" hidden="1" customWidth="1"/>
    <col min="16" max="16" width="10.5" style="130" hidden="1" customWidth="1"/>
    <col min="17" max="17" width="15.5" style="130" hidden="1" customWidth="1"/>
    <col min="18" max="18" width="14.375" style="130" hidden="1" customWidth="1"/>
    <col min="19" max="21" width="11.625" style="130" hidden="1" customWidth="1"/>
    <col min="22" max="24" width="12.625" style="130" hidden="1" customWidth="1"/>
    <col min="25" max="25" width="12.625" style="408" hidden="1" customWidth="1"/>
    <col min="26" max="26" width="13" style="437" hidden="1" customWidth="1"/>
    <col min="27" max="27" width="12.25" style="437" hidden="1" customWidth="1"/>
    <col min="28" max="28" width="11" style="437" hidden="1" customWidth="1"/>
    <col min="29" max="29" width="12.25" style="464" hidden="1" customWidth="1"/>
    <col min="30" max="30" width="12.875" customWidth="1"/>
    <col min="31" max="31" width="12.625" bestFit="1" customWidth="1"/>
    <col min="32" max="32" width="12.625" style="25" bestFit="1" customWidth="1"/>
    <col min="33" max="33" width="11.75" style="518" customWidth="1"/>
    <col min="34" max="34" width="14" style="508" customWidth="1"/>
    <col min="35" max="35" width="14.75" style="448" customWidth="1"/>
  </cols>
  <sheetData>
    <row r="1" spans="1:39" hidden="1"/>
    <row r="2" spans="1:39" ht="36" hidden="1" customHeight="1">
      <c r="C2" s="45" t="s">
        <v>0</v>
      </c>
      <c r="D2" s="45"/>
      <c r="E2" s="45"/>
      <c r="F2" s="45"/>
    </row>
    <row r="3" spans="1:39" ht="36" hidden="1" customHeight="1"/>
    <row r="4" spans="1:39" ht="36" hidden="1" customHeight="1">
      <c r="C4" s="47"/>
      <c r="D4" s="47"/>
      <c r="E4" s="47"/>
      <c r="F4" s="47"/>
      <c r="J4" s="62"/>
    </row>
    <row r="5" spans="1:39" ht="24.75" customHeight="1">
      <c r="A5" s="228"/>
      <c r="B5" s="375"/>
      <c r="C5" s="122">
        <v>45397</v>
      </c>
      <c r="D5" s="85" t="s">
        <v>2531</v>
      </c>
      <c r="E5" s="85" t="s">
        <v>514</v>
      </c>
      <c r="F5" s="488">
        <f>SUBTOTAL(109, AI6:AI1560)</f>
        <v>9278273</v>
      </c>
      <c r="G5" s="231">
        <f>SUM(G6:G1205)</f>
        <v>10108474</v>
      </c>
      <c r="H5" s="234">
        <f>SUM(H6:H1205)</f>
        <v>10864099</v>
      </c>
      <c r="J5" s="62"/>
      <c r="K5" s="86">
        <v>45337</v>
      </c>
      <c r="L5" s="86">
        <v>45366</v>
      </c>
      <c r="M5" s="86">
        <v>45397</v>
      </c>
      <c r="N5" s="86">
        <v>45427</v>
      </c>
      <c r="O5" s="131">
        <v>45458</v>
      </c>
      <c r="P5" s="2">
        <v>45488</v>
      </c>
      <c r="Q5" s="2">
        <v>45519</v>
      </c>
      <c r="R5" s="2">
        <v>45552</v>
      </c>
      <c r="S5" s="2">
        <v>45580</v>
      </c>
      <c r="T5" s="2">
        <v>45611</v>
      </c>
      <c r="U5" s="2">
        <v>45641</v>
      </c>
      <c r="V5" s="2">
        <v>45672</v>
      </c>
      <c r="W5" s="2">
        <v>45703</v>
      </c>
      <c r="X5" s="2">
        <v>45731</v>
      </c>
      <c r="Y5" s="409">
        <v>45762</v>
      </c>
      <c r="Z5" s="409">
        <v>45792</v>
      </c>
      <c r="AA5" s="409">
        <v>45823</v>
      </c>
      <c r="AB5" s="409">
        <v>45853</v>
      </c>
      <c r="AC5" s="489">
        <v>45884</v>
      </c>
      <c r="AD5" s="490">
        <v>45915</v>
      </c>
      <c r="AE5" s="490">
        <v>45945</v>
      </c>
      <c r="AF5" s="535">
        <v>45976</v>
      </c>
      <c r="AG5" s="543">
        <v>46006</v>
      </c>
      <c r="AH5" s="549">
        <v>46037</v>
      </c>
      <c r="AI5" s="547">
        <v>46068</v>
      </c>
      <c r="AJ5" s="548"/>
      <c r="AK5" s="548"/>
      <c r="AL5" s="548"/>
      <c r="AM5" s="548"/>
    </row>
    <row r="6" spans="1:39" ht="19.5" customHeight="1">
      <c r="C6" s="47"/>
      <c r="D6" s="47"/>
      <c r="E6" s="47"/>
      <c r="F6" s="161"/>
      <c r="G6" s="10"/>
      <c r="H6" s="10"/>
      <c r="I6" s="10"/>
      <c r="J6" s="62"/>
      <c r="K6" s="10"/>
      <c r="L6" s="10"/>
      <c r="M6" s="88"/>
      <c r="N6" s="88"/>
      <c r="O6" s="88"/>
      <c r="P6" s="88"/>
      <c r="Q6" s="88"/>
      <c r="R6" s="88"/>
      <c r="S6" s="88"/>
      <c r="T6" s="88"/>
      <c r="U6" s="88"/>
      <c r="V6" s="88"/>
      <c r="W6" s="88"/>
      <c r="X6" s="88"/>
      <c r="Y6" s="410"/>
      <c r="Z6" s="438"/>
      <c r="AA6" s="438"/>
      <c r="AB6" s="438"/>
    </row>
    <row r="7" spans="1:39" ht="19.5" customHeight="1">
      <c r="C7" s="36"/>
      <c r="D7" s="36"/>
      <c r="E7" s="36" t="s">
        <v>403</v>
      </c>
      <c r="F7" s="162"/>
      <c r="G7" s="10">
        <v>41000</v>
      </c>
      <c r="H7" s="10">
        <v>46000</v>
      </c>
      <c r="I7" s="10"/>
      <c r="J7" s="62"/>
      <c r="K7" s="10"/>
      <c r="L7" s="10"/>
      <c r="M7" s="88"/>
      <c r="N7" s="88"/>
      <c r="O7" s="88"/>
      <c r="P7" s="88"/>
      <c r="Q7" s="88"/>
      <c r="R7" s="88"/>
      <c r="S7" s="88"/>
      <c r="T7" s="88"/>
      <c r="U7" s="88"/>
      <c r="V7" s="88"/>
      <c r="W7" s="88"/>
      <c r="X7" s="88"/>
      <c r="Y7" s="410"/>
      <c r="Z7" s="438"/>
      <c r="AA7" s="438"/>
      <c r="AB7" s="438"/>
    </row>
    <row r="8" spans="1:39" ht="19.5" customHeight="1">
      <c r="A8" s="145" t="s">
        <v>1</v>
      </c>
      <c r="B8" s="376" t="s">
        <v>529</v>
      </c>
      <c r="C8" s="20" t="s">
        <v>2</v>
      </c>
      <c r="D8" s="20" t="s">
        <v>2532</v>
      </c>
      <c r="E8" s="20" t="s">
        <v>2433</v>
      </c>
      <c r="F8" s="163"/>
      <c r="G8" s="11" t="s">
        <v>628</v>
      </c>
      <c r="H8" s="11"/>
      <c r="I8" s="11" t="s">
        <v>3</v>
      </c>
      <c r="J8" s="93"/>
      <c r="K8" s="91"/>
      <c r="L8" s="91"/>
      <c r="M8" s="92"/>
      <c r="N8" s="92"/>
      <c r="O8" s="92"/>
      <c r="P8" s="92"/>
      <c r="Q8" s="92"/>
      <c r="R8" s="92"/>
      <c r="S8" s="92"/>
      <c r="T8" s="92"/>
      <c r="U8" s="92"/>
      <c r="V8" s="92"/>
      <c r="W8" s="92"/>
      <c r="X8" s="92"/>
      <c r="Y8" s="411"/>
      <c r="Z8" s="439"/>
      <c r="AA8" s="439"/>
      <c r="AB8" s="439"/>
    </row>
    <row r="9" spans="1:39" ht="19.5" hidden="1" customHeight="1">
      <c r="A9" s="145">
        <v>45225</v>
      </c>
      <c r="B9" s="376">
        <v>45850</v>
      </c>
      <c r="C9" s="20">
        <v>17</v>
      </c>
      <c r="D9" s="20" t="str">
        <f t="shared" ref="D9:D72" si="0">IF(C9="","",_xlfn.XLOOKUP(C9,社員№,派遣先,"",0,-1))</f>
        <v>名古屋</v>
      </c>
      <c r="E9" s="20" t="str">
        <f t="shared" ref="E9:E72" si="1">IF(C9="","",_xlfn.XLOOKUP(C9,社員№,氏名,"",0,-1))</f>
        <v>NGUYEN THI HOAI</v>
      </c>
      <c r="F9" s="20" t="str">
        <f t="shared" ref="F9:F72" si="2">IF(C9="","",_xlfn.XLOOKUP(C9,社員№,カナ,"",0,-1))</f>
        <v>グエン　ティ　ホアイ</v>
      </c>
      <c r="G9" s="11"/>
      <c r="H9" s="11"/>
      <c r="I9" s="11">
        <v>36000</v>
      </c>
      <c r="J9" s="63"/>
      <c r="K9" s="11">
        <v>36000</v>
      </c>
      <c r="L9" s="11">
        <v>36000</v>
      </c>
      <c r="M9" s="81">
        <v>36000</v>
      </c>
      <c r="N9" s="81">
        <v>36000</v>
      </c>
      <c r="O9" s="130">
        <v>36000</v>
      </c>
      <c r="P9" s="130">
        <v>36000</v>
      </c>
      <c r="Q9" s="130">
        <v>36000</v>
      </c>
      <c r="R9" s="130">
        <v>36000</v>
      </c>
      <c r="S9" s="130">
        <v>36000</v>
      </c>
      <c r="T9" s="130">
        <v>36000</v>
      </c>
      <c r="U9" s="130">
        <v>36000</v>
      </c>
      <c r="V9" s="130">
        <v>36000</v>
      </c>
      <c r="W9" s="130">
        <v>36000</v>
      </c>
      <c r="X9" s="130">
        <v>36000</v>
      </c>
      <c r="Y9" s="408">
        <v>36000</v>
      </c>
      <c r="Z9" s="437">
        <v>36000</v>
      </c>
      <c r="AA9" s="437">
        <v>36000</v>
      </c>
      <c r="AB9" s="437">
        <v>36000</v>
      </c>
      <c r="AC9" s="448">
        <v>0</v>
      </c>
    </row>
    <row r="10" spans="1:39" ht="19.5" customHeight="1">
      <c r="A10" s="145">
        <v>45857</v>
      </c>
      <c r="B10" s="376"/>
      <c r="C10" s="123">
        <v>220501</v>
      </c>
      <c r="D10" s="20" t="str">
        <f t="shared" ref="D10" si="3">IF(C10="","",_xlfn.XLOOKUP(C10,社員№,派遣先,"",0,-1))</f>
        <v>加藤木材工業 春日井</v>
      </c>
      <c r="E10" s="20" t="str">
        <f t="shared" ref="E10" si="4">IF(C10="","",_xlfn.XLOOKUP(C10,社員№,氏名,"",0,-1))</f>
        <v>PHAN VAN CUONG</v>
      </c>
      <c r="F10" s="20" t="str">
        <f t="shared" ref="F10" si="5">IF(C10="","",_xlfn.XLOOKUP(C10,社員№,カナ,"",0,-1))</f>
        <v>ハン　バン　クオン</v>
      </c>
      <c r="G10" s="11"/>
      <c r="H10" s="11"/>
      <c r="I10" s="11"/>
      <c r="J10" s="63"/>
      <c r="O10" s="81"/>
      <c r="P10" s="81"/>
      <c r="Q10" s="81"/>
      <c r="R10" s="81"/>
      <c r="S10" s="81"/>
      <c r="T10" s="81"/>
      <c r="U10" s="81"/>
      <c r="V10" s="81"/>
      <c r="W10" s="81"/>
      <c r="X10" s="81"/>
      <c r="Y10" s="413"/>
      <c r="Z10" s="441"/>
      <c r="AA10" s="441"/>
      <c r="AB10" s="441"/>
      <c r="AC10" s="448">
        <v>33080</v>
      </c>
      <c r="AD10" s="1">
        <v>46000</v>
      </c>
      <c r="AE10" s="518">
        <v>46000</v>
      </c>
      <c r="AF10" s="522">
        <v>46000</v>
      </c>
      <c r="AG10" s="522">
        <v>46000</v>
      </c>
      <c r="AH10" s="508">
        <v>46000</v>
      </c>
      <c r="AI10" s="448">
        <v>46000</v>
      </c>
    </row>
    <row r="11" spans="1:39" ht="19.5" customHeight="1">
      <c r="C11" s="47"/>
      <c r="D11" s="47"/>
      <c r="E11" s="47"/>
      <c r="F11" s="161"/>
      <c r="G11" s="10"/>
      <c r="H11" s="10"/>
      <c r="I11" s="10"/>
      <c r="J11" s="62"/>
      <c r="K11" s="10"/>
      <c r="L11" s="10"/>
      <c r="M11" s="88"/>
      <c r="N11" s="88"/>
      <c r="O11" s="88"/>
      <c r="P11" s="88"/>
      <c r="Q11" s="88"/>
      <c r="R11" s="88"/>
      <c r="S11" s="88"/>
      <c r="T11" s="88"/>
      <c r="U11" s="88"/>
      <c r="V11" s="88"/>
      <c r="W11" s="88"/>
      <c r="X11" s="88"/>
      <c r="Y11" s="410"/>
      <c r="Z11" s="438"/>
      <c r="AA11" s="438"/>
      <c r="AB11" s="438"/>
    </row>
    <row r="12" spans="1:39" ht="19.5" customHeight="1">
      <c r="C12" s="36"/>
      <c r="D12" s="36"/>
      <c r="E12" s="36" t="s">
        <v>431</v>
      </c>
      <c r="F12" s="162"/>
      <c r="G12" s="10">
        <v>54200</v>
      </c>
      <c r="H12" s="10">
        <v>49200</v>
      </c>
      <c r="I12" s="10"/>
      <c r="J12" s="62"/>
      <c r="K12" s="10"/>
      <c r="L12" s="10"/>
      <c r="M12" s="88"/>
      <c r="N12" s="88"/>
      <c r="O12" s="88"/>
      <c r="P12" s="88"/>
      <c r="Q12" s="88"/>
      <c r="R12" s="88"/>
      <c r="S12" s="88"/>
      <c r="T12" s="88"/>
      <c r="U12" s="88"/>
      <c r="V12" s="88"/>
      <c r="W12" s="88"/>
      <c r="X12" s="88"/>
      <c r="Y12" s="410"/>
      <c r="Z12" s="438"/>
      <c r="AA12" s="438"/>
      <c r="AB12" s="438"/>
    </row>
    <row r="13" spans="1:39" ht="19.5" customHeight="1">
      <c r="A13" s="145" t="s">
        <v>1</v>
      </c>
      <c r="B13" s="376" t="s">
        <v>529</v>
      </c>
      <c r="C13" s="20" t="s">
        <v>2</v>
      </c>
      <c r="D13" s="20" t="s">
        <v>2532</v>
      </c>
      <c r="E13" s="20" t="s">
        <v>2433</v>
      </c>
      <c r="F13" s="163"/>
      <c r="G13" s="11" t="s">
        <v>628</v>
      </c>
      <c r="H13" s="11"/>
      <c r="I13" s="11" t="s">
        <v>3</v>
      </c>
      <c r="J13" s="93"/>
      <c r="K13" s="91"/>
      <c r="L13" s="91"/>
      <c r="M13" s="92"/>
      <c r="N13" s="92"/>
      <c r="O13" s="92"/>
      <c r="P13" s="92"/>
      <c r="Q13" s="92"/>
      <c r="R13" s="92"/>
      <c r="S13" s="92"/>
      <c r="T13" s="92"/>
      <c r="U13" s="92"/>
      <c r="V13" s="92"/>
      <c r="W13" s="92"/>
      <c r="X13" s="92"/>
      <c r="Y13" s="411"/>
      <c r="Z13" s="439"/>
      <c r="AA13" s="439"/>
      <c r="AB13" s="439"/>
    </row>
    <row r="14" spans="1:39" ht="19.5" customHeight="1">
      <c r="A14" s="145"/>
      <c r="B14" s="376"/>
      <c r="C14" s="20">
        <v>15</v>
      </c>
      <c r="D14" s="20" t="str">
        <f t="shared" si="0"/>
        <v>岡山</v>
      </c>
      <c r="E14" s="20" t="str">
        <f t="shared" si="1"/>
        <v>LUU VAN PHUONG</v>
      </c>
      <c r="F14" s="20" t="str">
        <f t="shared" si="2"/>
        <v>ルウ　バン　フォン</v>
      </c>
      <c r="G14" s="11"/>
      <c r="H14" s="11"/>
      <c r="I14" s="11">
        <v>49200</v>
      </c>
      <c r="J14" s="94"/>
      <c r="K14" s="78">
        <v>49200</v>
      </c>
      <c r="L14" s="78">
        <v>49200</v>
      </c>
      <c r="M14" s="87">
        <v>49200</v>
      </c>
      <c r="N14" s="87">
        <v>49200</v>
      </c>
      <c r="O14" s="132">
        <v>49200</v>
      </c>
      <c r="P14" s="132">
        <v>49200</v>
      </c>
      <c r="Q14" s="132">
        <v>49200</v>
      </c>
      <c r="R14" s="132">
        <v>49200</v>
      </c>
      <c r="S14" s="132">
        <v>49200</v>
      </c>
      <c r="T14" s="132">
        <v>49200</v>
      </c>
      <c r="U14" s="132">
        <v>49200</v>
      </c>
      <c r="V14" s="132">
        <v>49200</v>
      </c>
      <c r="W14" s="132">
        <v>49200</v>
      </c>
      <c r="X14" s="132">
        <v>49200</v>
      </c>
      <c r="Y14" s="412">
        <v>49200</v>
      </c>
      <c r="Z14" s="440">
        <v>49200</v>
      </c>
      <c r="AA14" s="440">
        <v>49200</v>
      </c>
      <c r="AB14" s="440">
        <v>49200</v>
      </c>
      <c r="AC14" s="440">
        <v>49200</v>
      </c>
      <c r="AD14" s="437">
        <v>49200</v>
      </c>
      <c r="AE14" s="437">
        <v>49200</v>
      </c>
      <c r="AF14" s="437">
        <v>49200</v>
      </c>
      <c r="AG14" s="437">
        <v>49200</v>
      </c>
      <c r="AH14" s="437">
        <v>49200</v>
      </c>
      <c r="AI14" s="448">
        <v>49200</v>
      </c>
    </row>
    <row r="15" spans="1:39" ht="19.5" customHeight="1">
      <c r="C15" s="47"/>
      <c r="D15" s="47"/>
      <c r="E15" s="47"/>
      <c r="F15" s="161"/>
      <c r="G15" s="10"/>
      <c r="H15" s="10"/>
      <c r="I15" s="10"/>
      <c r="J15" s="62"/>
      <c r="K15" s="10"/>
      <c r="L15" s="10"/>
      <c r="M15" s="88"/>
      <c r="N15" s="88"/>
      <c r="O15" s="88"/>
      <c r="P15" s="88"/>
      <c r="Q15" s="88"/>
      <c r="R15" s="88"/>
      <c r="S15" s="88"/>
      <c r="T15" s="88"/>
      <c r="U15" s="88"/>
      <c r="V15" s="88"/>
      <c r="W15" s="88"/>
      <c r="X15" s="88"/>
      <c r="Y15" s="410"/>
      <c r="Z15" s="438"/>
      <c r="AA15" s="438"/>
      <c r="AB15" s="438"/>
    </row>
    <row r="16" spans="1:39" ht="19.5" customHeight="1">
      <c r="C16" s="47"/>
      <c r="D16" s="47"/>
      <c r="E16" s="47"/>
      <c r="F16" s="161"/>
      <c r="G16" s="10"/>
      <c r="H16" s="10"/>
      <c r="I16" s="10"/>
      <c r="J16" s="62"/>
      <c r="K16" s="10"/>
      <c r="L16" s="10"/>
      <c r="M16" s="88"/>
      <c r="N16" s="88"/>
      <c r="O16" s="88"/>
      <c r="P16" s="88"/>
      <c r="Q16" s="88"/>
      <c r="R16" s="88"/>
      <c r="S16" s="88"/>
      <c r="T16" s="88"/>
      <c r="U16" s="88"/>
      <c r="V16" s="88"/>
      <c r="W16" s="88"/>
      <c r="X16" s="88"/>
      <c r="Y16" s="410"/>
      <c r="Z16" s="438"/>
      <c r="AA16" s="438"/>
      <c r="AB16" s="438"/>
    </row>
    <row r="17" spans="1:36" ht="24.75" customHeight="1">
      <c r="C17" s="41"/>
      <c r="D17" s="41"/>
      <c r="E17" s="41" t="s">
        <v>4</v>
      </c>
      <c r="F17" s="164"/>
      <c r="G17" s="210">
        <v>62000</v>
      </c>
      <c r="H17" s="210">
        <f>22400*3</f>
        <v>67200</v>
      </c>
      <c r="I17" s="210" t="s">
        <v>587</v>
      </c>
      <c r="K17" s="10"/>
      <c r="L17" s="10"/>
      <c r="M17" s="88"/>
      <c r="N17" s="88"/>
      <c r="O17" s="88"/>
      <c r="P17" s="88"/>
      <c r="Q17" s="88"/>
      <c r="R17" s="88"/>
      <c r="S17" s="88"/>
      <c r="T17" s="88"/>
      <c r="U17" s="88"/>
      <c r="V17" s="88"/>
      <c r="W17" s="88"/>
      <c r="X17" s="88"/>
      <c r="Y17" s="410"/>
      <c r="Z17" s="438"/>
      <c r="AA17" s="438"/>
      <c r="AB17" s="438"/>
    </row>
    <row r="18" spans="1:36" ht="24.75" customHeight="1">
      <c r="A18" s="145" t="s">
        <v>1</v>
      </c>
      <c r="B18" s="376" t="s">
        <v>529</v>
      </c>
      <c r="C18" s="27" t="s">
        <v>2</v>
      </c>
      <c r="D18" s="27" t="s">
        <v>2532</v>
      </c>
      <c r="E18" s="27" t="s">
        <v>2433</v>
      </c>
      <c r="F18" s="165"/>
      <c r="G18" s="11" t="s">
        <v>628</v>
      </c>
      <c r="H18" s="11"/>
      <c r="I18" s="11" t="s">
        <v>3</v>
      </c>
      <c r="J18" s="64"/>
      <c r="K18" s="89"/>
      <c r="L18" s="91"/>
      <c r="M18" s="92"/>
      <c r="N18" s="92"/>
      <c r="O18" s="92"/>
      <c r="P18" s="92"/>
      <c r="Q18" s="92"/>
      <c r="R18" s="92"/>
      <c r="S18" s="92"/>
      <c r="T18" s="92"/>
      <c r="U18" s="92"/>
      <c r="V18" s="92"/>
      <c r="W18" s="92"/>
      <c r="X18" s="92"/>
      <c r="Y18" s="411"/>
      <c r="Z18" s="439"/>
      <c r="AA18" s="439"/>
      <c r="AB18" s="439"/>
    </row>
    <row r="19" spans="1:36">
      <c r="A19" s="145">
        <v>44827</v>
      </c>
      <c r="B19" s="376"/>
      <c r="C19" s="27">
        <v>220921</v>
      </c>
      <c r="D19" s="20" t="str">
        <f t="shared" si="0"/>
        <v>ピーエムアイ</v>
      </c>
      <c r="E19" s="20" t="str">
        <f t="shared" si="1"/>
        <v>HO DINH DUONG</v>
      </c>
      <c r="F19" s="20" t="str">
        <f t="shared" si="2"/>
        <v>ホー　ディン　ズオン</v>
      </c>
      <c r="G19" s="11"/>
      <c r="H19" s="11"/>
      <c r="I19" s="11">
        <v>22400</v>
      </c>
      <c r="J19" s="65"/>
      <c r="K19" s="11">
        <v>22400</v>
      </c>
      <c r="L19" s="11">
        <v>22400</v>
      </c>
      <c r="M19" s="81">
        <v>22400</v>
      </c>
      <c r="N19" s="81">
        <v>22400</v>
      </c>
      <c r="O19" s="81">
        <v>22400</v>
      </c>
      <c r="P19" s="81">
        <v>22400</v>
      </c>
      <c r="Q19" s="81">
        <v>22400</v>
      </c>
      <c r="R19" s="81">
        <v>22400</v>
      </c>
      <c r="S19" s="81">
        <v>22400</v>
      </c>
      <c r="T19" s="81">
        <v>22400</v>
      </c>
      <c r="U19" s="81">
        <v>22400</v>
      </c>
      <c r="V19" s="81">
        <v>22400</v>
      </c>
      <c r="W19" s="81">
        <v>22400</v>
      </c>
      <c r="X19" s="81">
        <v>22400</v>
      </c>
      <c r="Y19" s="413">
        <v>22400</v>
      </c>
      <c r="Z19" s="441">
        <v>22400</v>
      </c>
      <c r="AA19" s="441">
        <v>22400</v>
      </c>
      <c r="AB19" s="441">
        <v>22400</v>
      </c>
      <c r="AC19" s="448">
        <v>22400</v>
      </c>
      <c r="AD19" s="448">
        <v>22400</v>
      </c>
      <c r="AE19" s="508">
        <v>22400</v>
      </c>
      <c r="AF19" s="508">
        <v>22400</v>
      </c>
      <c r="AG19" s="508">
        <v>22400</v>
      </c>
      <c r="AH19" s="508">
        <v>22400</v>
      </c>
      <c r="AI19" s="448">
        <v>22400</v>
      </c>
    </row>
    <row r="20" spans="1:36">
      <c r="A20" s="145">
        <v>44967</v>
      </c>
      <c r="B20" s="376">
        <v>45827</v>
      </c>
      <c r="C20" s="27">
        <v>230205</v>
      </c>
      <c r="D20" s="20" t="str">
        <f t="shared" ref="D20:D21" si="6">IF(C20="","",_xlfn.XLOOKUP(C20,社員№,派遣先,"",0,-1))</f>
        <v>ピーエムアイ</v>
      </c>
      <c r="E20" s="20" t="str">
        <f t="shared" ref="E20:E21" si="7">IF(C20="","",_xlfn.XLOOKUP(C20,社員№,氏名,"",0,-1))</f>
        <v>NGUYEN TRUONG GIANG</v>
      </c>
      <c r="F20" s="20" t="str">
        <f t="shared" ref="F20:F21" si="8">IF(C20="","",_xlfn.XLOOKUP(C20,社員№,カナ,"",0,-1))</f>
        <v>グエン　トゥオン　ジャン</v>
      </c>
      <c r="G20" s="11"/>
      <c r="H20" s="11"/>
      <c r="I20" s="11">
        <v>22400</v>
      </c>
      <c r="J20" s="65"/>
      <c r="K20" s="11">
        <v>22400</v>
      </c>
      <c r="L20" s="11">
        <v>22400</v>
      </c>
      <c r="M20" s="81">
        <v>22400</v>
      </c>
      <c r="N20" s="81">
        <v>22400</v>
      </c>
      <c r="O20" s="81">
        <v>22400</v>
      </c>
      <c r="P20" s="81">
        <v>22400</v>
      </c>
      <c r="Q20" s="81">
        <v>22400</v>
      </c>
      <c r="R20" s="81">
        <v>22400</v>
      </c>
      <c r="S20" s="81">
        <v>22400</v>
      </c>
      <c r="T20" s="81">
        <v>22400</v>
      </c>
      <c r="U20" s="81">
        <v>22400</v>
      </c>
      <c r="V20" s="81">
        <v>22400</v>
      </c>
      <c r="W20" s="81">
        <v>22400</v>
      </c>
      <c r="X20" s="81">
        <v>22400</v>
      </c>
      <c r="Y20" s="413">
        <v>22400</v>
      </c>
      <c r="Z20" s="441">
        <v>22400</v>
      </c>
      <c r="AA20" s="441">
        <v>22400</v>
      </c>
      <c r="AB20" s="441">
        <f>22400+20000</f>
        <v>42400</v>
      </c>
      <c r="AC20" s="448">
        <v>0</v>
      </c>
      <c r="AD20" s="448">
        <v>0</v>
      </c>
      <c r="AE20" s="508">
        <v>0</v>
      </c>
      <c r="AF20" s="508">
        <v>0</v>
      </c>
    </row>
    <row r="21" spans="1:36">
      <c r="A21" s="145">
        <v>45953</v>
      </c>
      <c r="B21" s="376">
        <v>46054</v>
      </c>
      <c r="C21" s="20">
        <v>251101</v>
      </c>
      <c r="D21" s="20" t="str">
        <f t="shared" si="6"/>
        <v>ピーエムアイ</v>
      </c>
      <c r="E21" s="20" t="str">
        <f t="shared" si="7"/>
        <v>VU QUANG HUNG</v>
      </c>
      <c r="F21" s="20" t="str">
        <f t="shared" si="8"/>
        <v>ヴ　クアン　フン</v>
      </c>
      <c r="G21" s="11"/>
      <c r="H21" s="11"/>
      <c r="I21" s="11">
        <v>22400</v>
      </c>
      <c r="J21" s="65"/>
      <c r="O21" s="81"/>
      <c r="P21" s="81"/>
      <c r="Q21" s="81"/>
      <c r="R21" s="81"/>
      <c r="S21" s="81"/>
      <c r="T21" s="81"/>
      <c r="U21" s="81"/>
      <c r="V21" s="81"/>
      <c r="W21" s="81"/>
      <c r="X21" s="81"/>
      <c r="Y21" s="413"/>
      <c r="Z21" s="441"/>
      <c r="AA21" s="441"/>
      <c r="AB21" s="441"/>
      <c r="AC21" s="448"/>
      <c r="AD21" s="1"/>
      <c r="AE21" s="1"/>
      <c r="AF21" s="536">
        <v>6500</v>
      </c>
      <c r="AG21" s="522">
        <v>28900</v>
      </c>
      <c r="AH21" s="508">
        <v>22400</v>
      </c>
      <c r="AI21" s="448">
        <v>22400</v>
      </c>
      <c r="AJ21" s="479">
        <v>0</v>
      </c>
    </row>
    <row r="22" spans="1:36">
      <c r="A22" s="145">
        <v>46055</v>
      </c>
      <c r="B22" s="376"/>
      <c r="C22" s="20"/>
      <c r="D22" s="20"/>
      <c r="E22" s="27" t="s">
        <v>2903</v>
      </c>
      <c r="F22" s="27" t="s">
        <v>2904</v>
      </c>
      <c r="G22" s="11"/>
      <c r="H22" s="11"/>
      <c r="I22" s="11"/>
      <c r="J22" s="65"/>
      <c r="O22" s="81"/>
      <c r="P22" s="81"/>
      <c r="Q22" s="81"/>
      <c r="R22" s="81"/>
      <c r="S22" s="81"/>
      <c r="T22" s="81"/>
      <c r="U22" s="81"/>
      <c r="V22" s="81"/>
      <c r="W22" s="81"/>
      <c r="X22" s="81"/>
      <c r="Y22" s="413"/>
      <c r="Z22" s="441"/>
      <c r="AA22" s="441"/>
      <c r="AB22" s="441"/>
      <c r="AC22" s="448"/>
      <c r="AD22" s="1"/>
      <c r="AE22" s="1"/>
      <c r="AF22" s="537"/>
    </row>
    <row r="23" spans="1:36">
      <c r="C23" s="47"/>
      <c r="G23" s="10"/>
      <c r="H23" s="10"/>
      <c r="I23" s="10"/>
      <c r="J23" s="74"/>
      <c r="K23" s="10"/>
      <c r="L23" s="10"/>
      <c r="M23" s="88"/>
      <c r="N23" s="88"/>
      <c r="O23" s="88"/>
      <c r="P23" s="88"/>
      <c r="Q23" s="88"/>
      <c r="R23" s="88"/>
      <c r="S23" s="88"/>
      <c r="T23" s="88"/>
      <c r="U23" s="88"/>
      <c r="V23" s="88"/>
      <c r="W23" s="88"/>
      <c r="X23" s="88"/>
      <c r="Y23" s="410"/>
      <c r="Z23" s="438"/>
      <c r="AA23" s="438"/>
      <c r="AB23" s="438"/>
      <c r="AF23" s="538"/>
    </row>
    <row r="24" spans="1:36">
      <c r="A24" s="147"/>
      <c r="C24" s="41"/>
      <c r="D24" s="41"/>
      <c r="E24" s="41" t="s">
        <v>5</v>
      </c>
      <c r="F24" s="164"/>
      <c r="G24" s="213">
        <v>50000</v>
      </c>
      <c r="H24" s="213">
        <v>59000</v>
      </c>
      <c r="I24" s="213" t="s">
        <v>584</v>
      </c>
      <c r="J24" s="74" t="s">
        <v>993</v>
      </c>
      <c r="K24" s="10"/>
      <c r="L24" s="10"/>
      <c r="M24" s="88"/>
      <c r="N24" s="88"/>
      <c r="O24" s="88"/>
      <c r="P24" s="88"/>
      <c r="Q24" s="88"/>
      <c r="R24" s="88"/>
      <c r="S24" s="88"/>
      <c r="T24" s="88"/>
      <c r="U24" s="88"/>
      <c r="V24" s="88"/>
      <c r="W24" s="88"/>
      <c r="X24" s="88"/>
      <c r="Y24" s="410"/>
      <c r="Z24" s="438"/>
      <c r="AA24" s="438"/>
      <c r="AB24" s="438"/>
    </row>
    <row r="25" spans="1:36">
      <c r="A25" s="148" t="s">
        <v>1</v>
      </c>
      <c r="B25" s="377" t="s">
        <v>529</v>
      </c>
      <c r="C25" s="27" t="s">
        <v>2</v>
      </c>
      <c r="D25" s="27" t="s">
        <v>2532</v>
      </c>
      <c r="E25" s="27" t="s">
        <v>2433</v>
      </c>
      <c r="F25" s="165"/>
      <c r="G25" s="89" t="s">
        <v>628</v>
      </c>
      <c r="H25" s="89"/>
      <c r="I25" s="89" t="s">
        <v>3</v>
      </c>
      <c r="J25" s="96"/>
      <c r="K25" s="10"/>
      <c r="L25" s="10"/>
      <c r="M25" s="88"/>
      <c r="N25" s="88"/>
      <c r="O25" s="88"/>
      <c r="P25" s="88"/>
      <c r="Q25" s="88"/>
      <c r="R25" s="88"/>
      <c r="S25" s="88"/>
      <c r="T25" s="88"/>
      <c r="U25" s="88"/>
      <c r="V25" s="88"/>
      <c r="W25" s="88"/>
      <c r="X25" s="88"/>
      <c r="Y25" s="410"/>
      <c r="Z25" s="438"/>
      <c r="AA25" s="438"/>
      <c r="AB25" s="438"/>
    </row>
    <row r="26" spans="1:36">
      <c r="A26" s="148">
        <v>44135</v>
      </c>
      <c r="B26" s="377"/>
      <c r="C26" s="27">
        <v>200901</v>
      </c>
      <c r="D26" s="20" t="str">
        <f t="shared" si="0"/>
        <v>ピーエムアイ</v>
      </c>
      <c r="E26" s="20" t="str">
        <f t="shared" si="1"/>
        <v>VU VAN THANG</v>
      </c>
      <c r="F26" s="20" t="str">
        <f t="shared" si="2"/>
        <v>ヴ　ヴァン　タン</v>
      </c>
      <c r="G26" s="23"/>
      <c r="H26" s="23"/>
      <c r="I26" s="23">
        <v>29500</v>
      </c>
      <c r="J26" s="66"/>
      <c r="K26" s="11">
        <v>29500</v>
      </c>
      <c r="L26" s="11">
        <v>29500</v>
      </c>
      <c r="M26" s="81">
        <v>29500</v>
      </c>
      <c r="N26" s="81">
        <v>29500</v>
      </c>
      <c r="O26" s="130">
        <v>29500</v>
      </c>
      <c r="P26" s="130">
        <v>29500</v>
      </c>
      <c r="Q26" s="130">
        <v>29500</v>
      </c>
      <c r="R26" s="130">
        <v>29500</v>
      </c>
      <c r="S26" s="130">
        <v>29500</v>
      </c>
      <c r="T26" s="130">
        <v>29500</v>
      </c>
      <c r="U26" s="81">
        <v>29500</v>
      </c>
      <c r="V26" s="81">
        <v>29500</v>
      </c>
      <c r="W26" s="81">
        <f>11419+12258</f>
        <v>23677</v>
      </c>
      <c r="X26" s="81">
        <f>29500+5823</f>
        <v>35323</v>
      </c>
      <c r="Y26" s="413">
        <v>29500</v>
      </c>
      <c r="Z26" s="441">
        <v>29500</v>
      </c>
      <c r="AA26" s="441">
        <v>29500</v>
      </c>
      <c r="AB26" s="441">
        <v>29500</v>
      </c>
      <c r="AC26" s="443">
        <v>29500</v>
      </c>
      <c r="AD26" s="443">
        <v>29500</v>
      </c>
      <c r="AE26" s="493">
        <v>29500</v>
      </c>
      <c r="AF26" s="493">
        <v>29500</v>
      </c>
      <c r="AG26" s="493">
        <v>29500</v>
      </c>
      <c r="AH26" s="493">
        <v>29500</v>
      </c>
      <c r="AI26" s="493">
        <v>29500</v>
      </c>
    </row>
    <row r="27" spans="1:36" hidden="1">
      <c r="A27" s="145">
        <v>45639</v>
      </c>
      <c r="B27" s="376">
        <v>45773</v>
      </c>
      <c r="C27" s="27">
        <v>241208</v>
      </c>
      <c r="D27" s="20" t="str">
        <f t="shared" ref="D27:D28" si="9">IF(C27="","",_xlfn.XLOOKUP(C27,社員№,派遣先,"",0,-1))</f>
        <v>ピーエムアイ</v>
      </c>
      <c r="E27" s="20" t="str">
        <f t="shared" ref="E27:E28" si="10">IF(C27="","",_xlfn.XLOOKUP(C27,社員№,氏名,"",0,-1))</f>
        <v>LE VAN QUANG</v>
      </c>
      <c r="F27" s="20" t="str">
        <f t="shared" ref="F27:F28" si="11">IF(C27="","",_xlfn.XLOOKUP(C27,社員№,カナ,"",0,-1))</f>
        <v>レ　ヴァン　クアン</v>
      </c>
      <c r="G27" s="11"/>
      <c r="H27" s="11"/>
      <c r="I27" s="11">
        <v>29500</v>
      </c>
      <c r="J27" s="65"/>
      <c r="O27" s="81"/>
      <c r="P27" s="81"/>
      <c r="Q27" s="81"/>
      <c r="R27" s="81"/>
      <c r="S27" s="81"/>
      <c r="T27" s="81"/>
      <c r="U27" s="81"/>
      <c r="V27" s="82">
        <v>18081</v>
      </c>
      <c r="W27" s="82">
        <f>11419+12258</f>
        <v>23677</v>
      </c>
      <c r="X27" s="81">
        <f>29500+5823</f>
        <v>35323</v>
      </c>
      <c r="Y27" s="413">
        <f>29500+20000</f>
        <v>49500</v>
      </c>
      <c r="Z27" s="442">
        <v>29500</v>
      </c>
      <c r="AA27" s="442">
        <v>0</v>
      </c>
      <c r="AB27" s="442">
        <v>0</v>
      </c>
      <c r="AC27" s="448">
        <v>0</v>
      </c>
      <c r="AD27" s="443">
        <v>29500</v>
      </c>
      <c r="AE27" s="493">
        <v>29500</v>
      </c>
      <c r="AF27" s="493">
        <v>29500</v>
      </c>
      <c r="AG27" s="493">
        <v>29500</v>
      </c>
      <c r="AH27" s="493">
        <v>29500</v>
      </c>
      <c r="AI27" s="493">
        <v>29500</v>
      </c>
    </row>
    <row r="28" spans="1:36">
      <c r="A28" s="145">
        <v>45778</v>
      </c>
      <c r="B28" s="376"/>
      <c r="C28" s="20">
        <v>240319</v>
      </c>
      <c r="D28" s="20" t="str">
        <f t="shared" si="9"/>
        <v>ピーエムアイ</v>
      </c>
      <c r="E28" s="20" t="str">
        <f t="shared" si="10"/>
        <v>PHAN VAN HAI</v>
      </c>
      <c r="F28" s="20" t="str">
        <f t="shared" si="11"/>
        <v>ファン　ヴァン　ハイ</v>
      </c>
      <c r="G28" s="11"/>
      <c r="H28" s="11"/>
      <c r="I28" s="11"/>
      <c r="J28" s="65"/>
      <c r="O28" s="81"/>
      <c r="P28" s="81"/>
      <c r="Q28" s="81"/>
      <c r="R28" s="81"/>
      <c r="S28" s="81"/>
      <c r="T28" s="81"/>
      <c r="U28" s="81"/>
      <c r="V28" s="81"/>
      <c r="W28" s="81"/>
      <c r="X28" s="81"/>
      <c r="Y28" s="413"/>
      <c r="Z28" s="441"/>
      <c r="AA28" s="446">
        <v>29500</v>
      </c>
      <c r="AB28" s="446">
        <v>29500</v>
      </c>
      <c r="AC28" s="448">
        <v>29500</v>
      </c>
      <c r="AD28" s="443">
        <v>29500</v>
      </c>
      <c r="AE28" s="493">
        <v>29500</v>
      </c>
      <c r="AF28" s="493">
        <v>29500</v>
      </c>
      <c r="AG28" s="493">
        <v>29500</v>
      </c>
      <c r="AH28" s="493">
        <v>29500</v>
      </c>
      <c r="AI28" s="493">
        <v>29500</v>
      </c>
    </row>
    <row r="29" spans="1:36">
      <c r="C29" s="47"/>
      <c r="F29" s="160"/>
      <c r="G29" s="91"/>
      <c r="H29" s="91"/>
      <c r="I29" s="91"/>
      <c r="J29" s="74"/>
      <c r="K29" s="10"/>
      <c r="L29" s="10"/>
      <c r="M29" s="88"/>
      <c r="N29" s="88"/>
      <c r="O29" s="88"/>
      <c r="P29" s="88"/>
      <c r="Q29" s="88"/>
      <c r="R29" s="88"/>
      <c r="S29" s="88"/>
      <c r="T29" s="88"/>
      <c r="U29" s="88"/>
      <c r="V29" s="88"/>
      <c r="W29" s="88"/>
      <c r="X29" s="88"/>
      <c r="Y29" s="410"/>
      <c r="Z29" s="438"/>
      <c r="AA29" s="438"/>
      <c r="AB29" s="438"/>
    </row>
    <row r="30" spans="1:36">
      <c r="A30" s="147"/>
      <c r="C30" s="41"/>
      <c r="D30" s="41"/>
      <c r="E30" s="41" t="s">
        <v>196</v>
      </c>
      <c r="F30" s="164"/>
      <c r="G30" s="213">
        <v>54000</v>
      </c>
      <c r="H30" s="213">
        <v>59000</v>
      </c>
      <c r="I30" s="213" t="s">
        <v>584</v>
      </c>
      <c r="J30" s="74"/>
      <c r="K30" s="10"/>
      <c r="L30" s="10"/>
      <c r="M30" s="88"/>
      <c r="N30" s="88"/>
      <c r="O30" s="88"/>
      <c r="P30" s="88"/>
      <c r="Q30" s="88"/>
      <c r="R30" s="88"/>
      <c r="S30" s="88"/>
      <c r="T30" s="88"/>
      <c r="U30" s="88"/>
      <c r="V30" s="88"/>
      <c r="W30" s="88"/>
      <c r="X30" s="88"/>
      <c r="Y30" s="410"/>
      <c r="Z30" s="438"/>
      <c r="AA30" s="438"/>
      <c r="AB30" s="438"/>
    </row>
    <row r="31" spans="1:36">
      <c r="A31" s="145" t="s">
        <v>1</v>
      </c>
      <c r="B31" s="376" t="s">
        <v>529</v>
      </c>
      <c r="C31" s="27" t="s">
        <v>2</v>
      </c>
      <c r="D31" s="27" t="s">
        <v>2532</v>
      </c>
      <c r="E31" s="27" t="s">
        <v>2433</v>
      </c>
      <c r="F31" s="165"/>
      <c r="G31" s="11" t="s">
        <v>628</v>
      </c>
      <c r="H31" s="11"/>
      <c r="I31" s="11" t="s">
        <v>3</v>
      </c>
      <c r="J31" s="90"/>
      <c r="K31" s="91"/>
      <c r="L31" s="91"/>
      <c r="M31" s="92"/>
      <c r="N31" s="88"/>
      <c r="O31" s="88"/>
      <c r="P31" s="88"/>
      <c r="Q31" s="88"/>
      <c r="R31" s="88"/>
      <c r="S31" s="88"/>
      <c r="T31" s="88"/>
      <c r="U31" s="88"/>
      <c r="V31" s="88"/>
      <c r="W31" s="88"/>
      <c r="X31" s="88"/>
      <c r="Y31" s="410"/>
      <c r="Z31" s="438"/>
      <c r="AA31" s="438"/>
      <c r="AB31" s="438"/>
    </row>
    <row r="32" spans="1:36" hidden="1">
      <c r="A32" s="145">
        <v>44938</v>
      </c>
      <c r="B32" s="376">
        <v>45869</v>
      </c>
      <c r="C32" s="27">
        <v>230104</v>
      </c>
      <c r="D32" s="20" t="str">
        <f t="shared" si="0"/>
        <v>ピーエムアイ</v>
      </c>
      <c r="E32" s="20" t="str">
        <f t="shared" si="1"/>
        <v>LE THI HIEN</v>
      </c>
      <c r="F32" s="20" t="str">
        <f t="shared" si="2"/>
        <v>レー　ティ　ヒエン</v>
      </c>
      <c r="G32" s="11"/>
      <c r="H32" s="11"/>
      <c r="I32" s="11">
        <v>29500</v>
      </c>
      <c r="J32" s="65"/>
      <c r="K32" s="11">
        <v>29500</v>
      </c>
      <c r="L32" s="11">
        <v>29500</v>
      </c>
      <c r="M32" s="81">
        <v>29500</v>
      </c>
      <c r="N32" s="81">
        <v>29500</v>
      </c>
      <c r="O32" s="130">
        <v>29500</v>
      </c>
      <c r="P32" s="130">
        <v>29500</v>
      </c>
      <c r="Q32" s="130">
        <v>29500</v>
      </c>
      <c r="R32" s="130">
        <v>29500</v>
      </c>
      <c r="S32" s="130">
        <v>29500</v>
      </c>
      <c r="T32" s="130">
        <v>29500</v>
      </c>
      <c r="U32" s="130">
        <v>29500</v>
      </c>
      <c r="V32" s="130">
        <v>29500</v>
      </c>
      <c r="W32" s="130">
        <v>29500</v>
      </c>
      <c r="X32" s="130">
        <v>29500</v>
      </c>
      <c r="Y32" s="408">
        <v>29500</v>
      </c>
      <c r="Z32" s="437">
        <v>29500</v>
      </c>
      <c r="AA32" s="437">
        <v>29500</v>
      </c>
      <c r="AB32" s="437">
        <v>29500</v>
      </c>
      <c r="AC32" s="437">
        <v>49500</v>
      </c>
      <c r="AD32" s="443">
        <v>0</v>
      </c>
      <c r="AE32" s="443">
        <v>0</v>
      </c>
      <c r="AF32" s="493">
        <v>0</v>
      </c>
    </row>
    <row r="33" spans="1:35">
      <c r="A33" s="145">
        <v>44946</v>
      </c>
      <c r="B33" s="376">
        <v>45951</v>
      </c>
      <c r="C33" s="27">
        <v>230109</v>
      </c>
      <c r="D33" s="20" t="str">
        <f t="shared" ref="D33:D35" si="12">IF(C33="","",_xlfn.XLOOKUP(C33,社員№,派遣先,"",0,-1))</f>
        <v>ピーエムアイ</v>
      </c>
      <c r="E33" s="20" t="str">
        <f t="shared" ref="E33:E35" si="13">IF(C33="","",_xlfn.XLOOKUP(C33,社員№,氏名,"",0,-1))</f>
        <v>NGUYEN THI HIEN</v>
      </c>
      <c r="F33" s="20" t="str">
        <f t="shared" ref="F33:F35" si="14">IF(C33="","",_xlfn.XLOOKUP(C33,社員№,カナ,"",0,-1))</f>
        <v>グエン　ティ　ヒエン</v>
      </c>
      <c r="G33" s="11"/>
      <c r="H33" s="11"/>
      <c r="I33" s="11">
        <v>29500</v>
      </c>
      <c r="J33" s="65"/>
      <c r="K33" s="11">
        <v>29500</v>
      </c>
      <c r="L33" s="11">
        <v>29500</v>
      </c>
      <c r="M33" s="81">
        <v>29500</v>
      </c>
      <c r="N33" s="81">
        <v>29500</v>
      </c>
      <c r="O33" s="130">
        <v>29500</v>
      </c>
      <c r="P33" s="130">
        <v>29500</v>
      </c>
      <c r="Q33" s="130">
        <v>29500</v>
      </c>
      <c r="R33" s="130">
        <v>29500</v>
      </c>
      <c r="S33" s="130">
        <v>29500</v>
      </c>
      <c r="T33" s="130">
        <v>29500</v>
      </c>
      <c r="U33" s="130">
        <v>29500</v>
      </c>
      <c r="V33" s="130">
        <v>29500</v>
      </c>
      <c r="W33" s="130">
        <v>29500</v>
      </c>
      <c r="X33" s="130">
        <v>29500</v>
      </c>
      <c r="Y33" s="408">
        <v>29500</v>
      </c>
      <c r="Z33" s="437">
        <v>29500</v>
      </c>
      <c r="AA33" s="437">
        <v>29500</v>
      </c>
      <c r="AB33" s="437">
        <v>29500</v>
      </c>
      <c r="AC33" s="437">
        <v>29500</v>
      </c>
      <c r="AD33" s="437">
        <v>29500</v>
      </c>
      <c r="AE33" s="437">
        <v>29500</v>
      </c>
      <c r="AF33" s="437">
        <v>29500</v>
      </c>
      <c r="AG33" s="493">
        <v>49500</v>
      </c>
    </row>
    <row r="34" spans="1:35">
      <c r="A34" s="228">
        <v>45886</v>
      </c>
      <c r="B34" s="375">
        <v>46022</v>
      </c>
      <c r="C34" s="43">
        <v>250705</v>
      </c>
      <c r="D34" s="20" t="str">
        <f t="shared" si="12"/>
        <v>ピーエムアイ</v>
      </c>
      <c r="E34" s="20" t="str">
        <f t="shared" si="13"/>
        <v>TRAN THU HUONG</v>
      </c>
      <c r="F34" s="20" t="str">
        <f t="shared" si="14"/>
        <v>チャン　トゥ　ホウオン</v>
      </c>
      <c r="G34" s="3"/>
      <c r="H34" s="3"/>
      <c r="I34" s="3"/>
      <c r="J34" s="71"/>
      <c r="K34" s="3"/>
      <c r="L34" s="3"/>
      <c r="M34" s="95"/>
      <c r="N34" s="95"/>
      <c r="O34" s="95"/>
      <c r="P34" s="95"/>
      <c r="Q34" s="95"/>
      <c r="R34" s="95"/>
      <c r="S34" s="95"/>
      <c r="T34" s="95"/>
      <c r="U34" s="95"/>
      <c r="V34" s="95"/>
      <c r="W34" s="95"/>
      <c r="X34" s="95"/>
      <c r="Y34" s="429"/>
      <c r="Z34" s="463"/>
      <c r="AA34" s="463"/>
      <c r="AB34" s="463"/>
      <c r="AC34" s="463"/>
      <c r="AD34" s="451">
        <v>40920</v>
      </c>
      <c r="AE34" s="451">
        <v>29500</v>
      </c>
      <c r="AF34" s="451">
        <v>29500</v>
      </c>
      <c r="AG34" s="493">
        <v>29500</v>
      </c>
      <c r="AH34" s="493">
        <v>29500</v>
      </c>
      <c r="AI34" s="448">
        <v>20000</v>
      </c>
    </row>
    <row r="35" spans="1:35">
      <c r="A35" s="145">
        <v>45953</v>
      </c>
      <c r="B35" s="376"/>
      <c r="C35" s="27">
        <v>251008</v>
      </c>
      <c r="D35" s="20" t="str">
        <f t="shared" si="12"/>
        <v>ピーエムアイ</v>
      </c>
      <c r="E35" s="20" t="str">
        <f t="shared" si="13"/>
        <v>PHAM THI NGOC ANH</v>
      </c>
      <c r="F35" s="20" t="str">
        <f t="shared" si="14"/>
        <v>ファム　ティ　ゴック　アイン</v>
      </c>
      <c r="G35" s="11"/>
      <c r="H35" s="11"/>
      <c r="I35" s="11"/>
      <c r="J35" s="65"/>
      <c r="O35" s="81"/>
      <c r="P35" s="81"/>
      <c r="Q35" s="81"/>
      <c r="R35" s="81"/>
      <c r="S35" s="81"/>
      <c r="T35" s="81"/>
      <c r="U35" s="81"/>
      <c r="V35" s="81"/>
      <c r="W35" s="81"/>
      <c r="X35" s="81"/>
      <c r="Y35" s="413"/>
      <c r="Z35" s="441"/>
      <c r="AA35" s="441"/>
      <c r="AB35" s="441"/>
      <c r="AC35" s="441"/>
      <c r="AD35" s="441"/>
      <c r="AE35" s="441"/>
      <c r="AF35" s="437"/>
      <c r="AG35" s="493">
        <v>29500</v>
      </c>
      <c r="AH35" s="493">
        <v>29500</v>
      </c>
      <c r="AI35" s="448">
        <v>29500</v>
      </c>
    </row>
    <row r="36" spans="1:35">
      <c r="F36" s="160"/>
      <c r="G36" s="10"/>
      <c r="H36" s="10"/>
      <c r="I36" s="10"/>
      <c r="J36" s="74"/>
      <c r="K36" s="10"/>
      <c r="L36" s="10"/>
      <c r="M36" s="88"/>
      <c r="N36" s="88"/>
      <c r="O36" s="88"/>
      <c r="P36" s="88"/>
      <c r="Q36" s="88"/>
      <c r="R36" s="88"/>
      <c r="S36" s="88"/>
      <c r="T36" s="88"/>
      <c r="U36" s="88"/>
      <c r="V36" s="88"/>
      <c r="W36" s="88"/>
      <c r="X36" s="88"/>
      <c r="Y36" s="410"/>
      <c r="Z36" s="438"/>
      <c r="AA36" s="438"/>
      <c r="AB36" s="438"/>
      <c r="AF36" s="538"/>
    </row>
    <row r="37" spans="1:35">
      <c r="C37" s="41"/>
      <c r="D37" s="41"/>
      <c r="E37" s="41" t="s">
        <v>263</v>
      </c>
      <c r="F37" s="164"/>
      <c r="G37" s="213">
        <v>54000</v>
      </c>
      <c r="H37" s="213">
        <v>59000</v>
      </c>
      <c r="I37" s="213" t="s">
        <v>584</v>
      </c>
      <c r="J37" s="74" t="s">
        <v>993</v>
      </c>
      <c r="K37" s="10"/>
      <c r="L37" s="10"/>
      <c r="M37" s="88"/>
      <c r="N37" s="88"/>
      <c r="O37" s="88"/>
      <c r="P37" s="88"/>
      <c r="Q37" s="88"/>
      <c r="R37" s="88"/>
      <c r="S37" s="88"/>
      <c r="T37" s="88"/>
      <c r="U37" s="88"/>
      <c r="V37" s="88"/>
      <c r="W37" s="88"/>
      <c r="X37" s="88"/>
      <c r="Y37" s="410"/>
      <c r="Z37" s="438"/>
      <c r="AA37" s="438"/>
      <c r="AB37" s="438"/>
    </row>
    <row r="38" spans="1:35">
      <c r="A38" s="145" t="s">
        <v>1</v>
      </c>
      <c r="B38" s="376" t="s">
        <v>529</v>
      </c>
      <c r="C38" s="27" t="s">
        <v>2</v>
      </c>
      <c r="D38" s="27" t="s">
        <v>2532</v>
      </c>
      <c r="E38" s="27" t="s">
        <v>2433</v>
      </c>
      <c r="F38" s="165"/>
      <c r="G38" s="11" t="s">
        <v>628</v>
      </c>
      <c r="H38" s="11"/>
      <c r="I38" s="11" t="s">
        <v>3</v>
      </c>
      <c r="J38" s="72"/>
      <c r="K38" s="91"/>
      <c r="L38" s="91"/>
      <c r="M38" s="92"/>
      <c r="N38" s="92"/>
      <c r="O38" s="92"/>
      <c r="P38" s="92"/>
      <c r="Q38" s="92"/>
      <c r="R38" s="92"/>
      <c r="S38" s="92"/>
      <c r="T38" s="92"/>
      <c r="U38" s="92"/>
      <c r="V38" s="92"/>
      <c r="W38" s="92"/>
      <c r="X38" s="92"/>
      <c r="Y38" s="411"/>
      <c r="Z38" s="439"/>
      <c r="AA38" s="439"/>
      <c r="AB38" s="439"/>
    </row>
    <row r="39" spans="1:35">
      <c r="A39" s="145">
        <v>45115</v>
      </c>
      <c r="B39" s="376">
        <v>46052</v>
      </c>
      <c r="C39" s="27">
        <v>220314</v>
      </c>
      <c r="D39" s="20" t="str">
        <f t="shared" si="0"/>
        <v>ピーエムアイ</v>
      </c>
      <c r="E39" s="20" t="str">
        <f t="shared" si="1"/>
        <v>HOANG TRUNG HIEU</v>
      </c>
      <c r="F39" s="20" t="str">
        <f t="shared" si="2"/>
        <v>ホアン　ツーン　ヒエウ</v>
      </c>
      <c r="G39" s="11"/>
      <c r="H39" s="11"/>
      <c r="I39" s="81">
        <v>29500</v>
      </c>
      <c r="J39" s="65"/>
      <c r="K39" s="11">
        <v>29500</v>
      </c>
      <c r="L39" s="11">
        <v>29500</v>
      </c>
      <c r="M39" s="81">
        <v>29500</v>
      </c>
      <c r="N39" s="81">
        <v>29500</v>
      </c>
      <c r="O39" s="81">
        <v>29500</v>
      </c>
      <c r="P39" s="81">
        <v>29500</v>
      </c>
      <c r="Q39" s="81">
        <v>29500</v>
      </c>
      <c r="R39" s="81">
        <v>29500</v>
      </c>
      <c r="S39" s="81">
        <v>29500</v>
      </c>
      <c r="T39" s="81">
        <v>29500</v>
      </c>
      <c r="U39" s="81">
        <v>29500</v>
      </c>
      <c r="V39" s="81">
        <v>29500</v>
      </c>
      <c r="W39" s="81">
        <v>29500</v>
      </c>
      <c r="X39" s="81">
        <v>29500</v>
      </c>
      <c r="Y39" s="413">
        <v>29500</v>
      </c>
      <c r="Z39" s="441">
        <v>29500</v>
      </c>
      <c r="AA39" s="441">
        <v>29500</v>
      </c>
      <c r="AB39" s="441">
        <v>29500</v>
      </c>
      <c r="AC39" s="441">
        <v>29500</v>
      </c>
      <c r="AD39" s="441">
        <v>29500</v>
      </c>
      <c r="AE39" s="437">
        <v>29500</v>
      </c>
      <c r="AF39" s="437">
        <v>29500</v>
      </c>
      <c r="AG39" s="437">
        <v>29500</v>
      </c>
      <c r="AH39" s="437">
        <v>29500</v>
      </c>
      <c r="AI39" s="487">
        <v>111826</v>
      </c>
    </row>
    <row r="40" spans="1:35">
      <c r="A40" s="145">
        <v>45752</v>
      </c>
      <c r="B40" s="376"/>
      <c r="C40" s="27">
        <v>240701</v>
      </c>
      <c r="D40" s="20" t="str">
        <f t="shared" ref="D40" si="15">IF(C40="","",_xlfn.XLOOKUP(C40,社員№,派遣先,"",0,-1))</f>
        <v>ピーエムアイ</v>
      </c>
      <c r="E40" s="20" t="str">
        <f t="shared" ref="E40" si="16">IF(C40="","",_xlfn.XLOOKUP(C40,社員№,氏名,"",0,-1))</f>
        <v>NGUYEN VAN THACH</v>
      </c>
      <c r="F40" s="20" t="str">
        <f t="shared" ref="F40" si="17">IF(C40="","",_xlfn.XLOOKUP(C40,社員№,カナ,"",0,-1))</f>
        <v>グエン　ヴァン　タック</v>
      </c>
      <c r="G40" s="11"/>
      <c r="H40" s="11"/>
      <c r="I40" s="11"/>
      <c r="J40" s="65"/>
      <c r="O40" s="81"/>
      <c r="P40" s="81"/>
      <c r="Q40" s="81"/>
      <c r="R40" s="81"/>
      <c r="S40" s="81"/>
      <c r="T40" s="81"/>
      <c r="U40" s="81"/>
      <c r="V40" s="81"/>
      <c r="W40" s="81"/>
      <c r="X40" s="81"/>
      <c r="Y40" s="413"/>
      <c r="Z40" s="441">
        <f>3167+24593</f>
        <v>27760</v>
      </c>
      <c r="AA40" s="441">
        <v>29500</v>
      </c>
      <c r="AB40" s="441">
        <v>29500</v>
      </c>
      <c r="AC40" s="441">
        <v>29500</v>
      </c>
      <c r="AD40" s="441">
        <v>29500</v>
      </c>
      <c r="AE40" s="437">
        <v>29500</v>
      </c>
      <c r="AF40" s="437">
        <v>29500</v>
      </c>
      <c r="AG40" s="437">
        <v>29500</v>
      </c>
      <c r="AH40" s="437">
        <v>29500</v>
      </c>
      <c r="AI40" s="437">
        <v>29500</v>
      </c>
    </row>
    <row r="41" spans="1:35">
      <c r="A41" s="145">
        <v>46054</v>
      </c>
      <c r="B41" s="376"/>
      <c r="C41" s="27">
        <v>251101</v>
      </c>
      <c r="D41" s="20" t="str">
        <f t="shared" ref="D41" si="18">IF(C41="","",_xlfn.XLOOKUP(C41,社員№,派遣先,"",0,-1))</f>
        <v>ピーエムアイ</v>
      </c>
      <c r="E41" s="20" t="str">
        <f t="shared" ref="E41" si="19">IF(C41="","",_xlfn.XLOOKUP(C41,社員№,氏名,"",0,-1))</f>
        <v>VU QUANG HUNG</v>
      </c>
      <c r="F41" s="20" t="str">
        <f t="shared" ref="F41" si="20">IF(C41="","",_xlfn.XLOOKUP(C41,社員№,カナ,"",0,-1))</f>
        <v>ヴ　クアン　フン</v>
      </c>
      <c r="G41" s="11"/>
      <c r="H41" s="11"/>
      <c r="I41" s="11"/>
      <c r="J41" s="65"/>
      <c r="O41" s="81"/>
      <c r="P41" s="81"/>
      <c r="Q41" s="81"/>
      <c r="R41" s="81"/>
      <c r="S41" s="81"/>
      <c r="T41" s="81"/>
      <c r="U41" s="81"/>
      <c r="V41" s="81"/>
      <c r="W41" s="81"/>
      <c r="X41" s="81"/>
      <c r="Y41" s="413"/>
      <c r="Z41" s="441"/>
      <c r="AA41" s="441"/>
      <c r="AB41" s="441"/>
      <c r="AC41" s="448"/>
      <c r="AD41" s="1"/>
      <c r="AE41" s="1"/>
      <c r="AF41" s="27"/>
    </row>
    <row r="42" spans="1:35">
      <c r="F42" s="160"/>
      <c r="G42" s="91"/>
      <c r="H42" s="91"/>
      <c r="I42" s="91"/>
      <c r="J42" s="74"/>
      <c r="K42" s="10"/>
      <c r="L42" s="10"/>
      <c r="M42" s="88"/>
      <c r="N42" s="88"/>
      <c r="O42" s="88"/>
      <c r="P42" s="88"/>
      <c r="Q42" s="88"/>
      <c r="R42" s="88"/>
      <c r="S42" s="88"/>
      <c r="T42" s="88"/>
      <c r="U42" s="88"/>
      <c r="V42" s="88"/>
      <c r="W42" s="88"/>
      <c r="X42" s="88"/>
      <c r="Y42" s="410"/>
      <c r="Z42" s="438"/>
      <c r="AA42" s="438"/>
      <c r="AB42" s="438"/>
      <c r="AF42" s="538"/>
    </row>
    <row r="43" spans="1:35">
      <c r="C43" s="41"/>
      <c r="D43" s="41"/>
      <c r="E43" s="41" t="s">
        <v>301</v>
      </c>
      <c r="F43" s="164"/>
      <c r="G43" s="213">
        <v>54000</v>
      </c>
      <c r="H43" s="213">
        <v>59000</v>
      </c>
      <c r="I43" s="213" t="s">
        <v>584</v>
      </c>
      <c r="J43" s="74" t="s">
        <v>993</v>
      </c>
      <c r="K43" s="10"/>
      <c r="L43" s="10"/>
      <c r="M43" s="88"/>
      <c r="N43" s="88"/>
      <c r="O43" s="88"/>
      <c r="P43" s="88"/>
      <c r="Q43" s="88"/>
      <c r="R43" s="88"/>
      <c r="S43" s="88"/>
      <c r="T43" s="88"/>
      <c r="U43" s="88"/>
      <c r="V43" s="88"/>
      <c r="W43" s="88"/>
      <c r="X43" s="88"/>
      <c r="Y43" s="410"/>
      <c r="Z43" s="438"/>
      <c r="AA43" s="438"/>
      <c r="AB43" s="438"/>
      <c r="AF43" s="538"/>
    </row>
    <row r="44" spans="1:35">
      <c r="A44" s="145" t="s">
        <v>1</v>
      </c>
      <c r="B44" s="376" t="s">
        <v>529</v>
      </c>
      <c r="C44" s="27" t="s">
        <v>2</v>
      </c>
      <c r="D44" s="27" t="s">
        <v>2532</v>
      </c>
      <c r="E44" s="27" t="s">
        <v>2433</v>
      </c>
      <c r="F44" s="165"/>
      <c r="G44" s="11" t="s">
        <v>628</v>
      </c>
      <c r="H44" s="11"/>
      <c r="I44" s="11" t="s">
        <v>3</v>
      </c>
      <c r="J44" s="90"/>
      <c r="K44" s="91"/>
      <c r="L44" s="91"/>
      <c r="M44" s="92"/>
      <c r="N44" s="88"/>
      <c r="O44" s="88"/>
      <c r="P44" s="88"/>
      <c r="Q44" s="88"/>
      <c r="R44" s="88"/>
      <c r="S44" s="88"/>
      <c r="T44" s="88"/>
      <c r="U44" s="88"/>
      <c r="V44" s="88"/>
      <c r="W44" s="88"/>
      <c r="X44" s="88"/>
      <c r="Y44" s="410"/>
      <c r="Z44" s="438"/>
      <c r="AA44" s="438"/>
      <c r="AB44" s="438"/>
    </row>
    <row r="45" spans="1:35">
      <c r="A45" s="145">
        <v>45216</v>
      </c>
      <c r="B45" s="376"/>
      <c r="C45" s="27">
        <v>231007</v>
      </c>
      <c r="D45" s="20" t="str">
        <f t="shared" si="0"/>
        <v>ピーエムアイ</v>
      </c>
      <c r="E45" s="20" t="str">
        <f t="shared" si="1"/>
        <v>DUONG THI THANH NGUYET</v>
      </c>
      <c r="F45" s="20" t="str">
        <f t="shared" si="2"/>
        <v>ズオン　ティ　タイン　グエット</v>
      </c>
      <c r="G45" s="11"/>
      <c r="H45" s="11"/>
      <c r="I45" s="11">
        <v>29500</v>
      </c>
      <c r="J45" s="65"/>
      <c r="K45" s="11">
        <v>29500</v>
      </c>
      <c r="L45" s="11">
        <v>29500</v>
      </c>
      <c r="M45" s="81">
        <v>29500</v>
      </c>
      <c r="N45" s="81">
        <v>29500</v>
      </c>
      <c r="O45" s="81">
        <v>29500</v>
      </c>
      <c r="P45" s="81">
        <v>29500</v>
      </c>
      <c r="Q45" s="81">
        <v>29500</v>
      </c>
      <c r="R45" s="81">
        <v>29500</v>
      </c>
      <c r="S45" s="81">
        <v>29500</v>
      </c>
      <c r="T45" s="81">
        <v>29500</v>
      </c>
      <c r="U45" s="81">
        <v>29500</v>
      </c>
      <c r="V45" s="81">
        <v>29500</v>
      </c>
      <c r="W45" s="81">
        <v>29500</v>
      </c>
      <c r="X45" s="81">
        <v>29500</v>
      </c>
      <c r="Y45" s="413">
        <v>29500</v>
      </c>
      <c r="Z45" s="441">
        <v>29500</v>
      </c>
      <c r="AA45" s="441">
        <v>29500</v>
      </c>
      <c r="AB45" s="441">
        <v>29500</v>
      </c>
      <c r="AC45" s="441">
        <v>29500</v>
      </c>
      <c r="AD45" s="441">
        <v>29500</v>
      </c>
      <c r="AE45" s="437">
        <v>29500</v>
      </c>
      <c r="AF45" s="437">
        <v>29500</v>
      </c>
      <c r="AG45" s="437">
        <v>29500</v>
      </c>
      <c r="AH45" s="437">
        <v>29500</v>
      </c>
      <c r="AI45" s="437">
        <v>29500</v>
      </c>
    </row>
    <row r="46" spans="1:35" hidden="1">
      <c r="A46" s="228">
        <v>45858</v>
      </c>
      <c r="B46" s="525">
        <v>45886</v>
      </c>
      <c r="C46" s="43">
        <v>250705</v>
      </c>
      <c r="D46" s="20" t="str">
        <f t="shared" ref="D46:D47" si="21">IF(C46="","",_xlfn.XLOOKUP(C46,社員№,派遣先,"",0,-1))</f>
        <v>ピーエムアイ</v>
      </c>
      <c r="E46" s="20" t="str">
        <f t="shared" ref="E46:E47" si="22">IF(C46="","",_xlfn.XLOOKUP(C46,社員№,氏名,"",0,-1))</f>
        <v>TRAN THU HUONG</v>
      </c>
      <c r="F46" s="20" t="str">
        <f t="shared" ref="F46:F47" si="23">IF(C46="","",_xlfn.XLOOKUP(C46,社員№,カナ,"",0,-1))</f>
        <v>チャン　トゥ　ホウオン</v>
      </c>
      <c r="G46" s="3"/>
      <c r="H46" s="3"/>
      <c r="I46" s="3"/>
      <c r="J46" s="71"/>
      <c r="K46" s="3"/>
      <c r="L46" s="3"/>
      <c r="M46" s="95"/>
      <c r="N46" s="95"/>
      <c r="O46" s="95"/>
      <c r="P46" s="95"/>
      <c r="Q46" s="95"/>
      <c r="R46" s="95"/>
      <c r="S46" s="95"/>
      <c r="T46" s="95"/>
      <c r="U46" s="95"/>
      <c r="V46" s="95"/>
      <c r="W46" s="95"/>
      <c r="X46" s="95"/>
      <c r="Y46" s="429"/>
      <c r="Z46" s="463"/>
      <c r="AA46" s="463"/>
      <c r="AB46" s="463"/>
      <c r="AC46" s="526">
        <v>11420</v>
      </c>
      <c r="AD46" s="491"/>
      <c r="AF46" s="539"/>
    </row>
    <row r="47" spans="1:35">
      <c r="A47" s="470">
        <v>45944</v>
      </c>
      <c r="B47" s="376">
        <v>45953</v>
      </c>
      <c r="C47" s="27">
        <v>251008</v>
      </c>
      <c r="D47" s="20" t="str">
        <f t="shared" si="21"/>
        <v>ピーエムアイ</v>
      </c>
      <c r="E47" s="20" t="str">
        <f t="shared" si="22"/>
        <v>PHAM THI NGOC ANH</v>
      </c>
      <c r="F47" s="20" t="str">
        <f t="shared" si="23"/>
        <v>ファム　ティ　ゴック　アイン</v>
      </c>
      <c r="G47" s="11"/>
      <c r="H47" s="11"/>
      <c r="I47" s="11"/>
      <c r="J47" s="65"/>
      <c r="O47" s="81"/>
      <c r="P47" s="81"/>
      <c r="Q47" s="81"/>
      <c r="R47" s="81"/>
      <c r="S47" s="81"/>
      <c r="T47" s="81"/>
      <c r="U47" s="81"/>
      <c r="V47" s="81"/>
      <c r="W47" s="81"/>
      <c r="X47" s="81"/>
      <c r="Y47" s="413"/>
      <c r="Z47" s="441"/>
      <c r="AA47" s="441"/>
      <c r="AB47" s="441"/>
      <c r="AC47" s="487"/>
      <c r="AD47" s="499"/>
      <c r="AE47" s="1"/>
      <c r="AF47" s="536">
        <v>17130</v>
      </c>
      <c r="AG47" s="522">
        <v>0</v>
      </c>
    </row>
    <row r="48" spans="1:35">
      <c r="F48" s="160"/>
      <c r="G48" s="10"/>
      <c r="H48" s="10"/>
      <c r="I48" s="10"/>
      <c r="J48" s="74"/>
      <c r="K48" s="10"/>
      <c r="L48" s="10"/>
      <c r="M48" s="88"/>
      <c r="N48" s="88"/>
      <c r="O48" s="88"/>
      <c r="P48" s="88"/>
      <c r="Q48" s="88"/>
      <c r="R48" s="88"/>
      <c r="S48" s="88"/>
      <c r="T48" s="88"/>
      <c r="U48" s="88"/>
      <c r="V48" s="88"/>
      <c r="W48" s="88"/>
      <c r="X48" s="88"/>
      <c r="Y48" s="410"/>
      <c r="Z48" s="438"/>
      <c r="AA48" s="438"/>
      <c r="AB48" s="438"/>
      <c r="AF48" s="538"/>
    </row>
    <row r="49" spans="1:35">
      <c r="C49" s="41"/>
      <c r="D49" s="41"/>
      <c r="E49" s="41" t="s">
        <v>2434</v>
      </c>
      <c r="F49" s="164"/>
      <c r="G49" s="213">
        <v>52000</v>
      </c>
      <c r="H49" s="213">
        <v>57000</v>
      </c>
      <c r="I49" s="213" t="s">
        <v>25</v>
      </c>
      <c r="J49" s="74"/>
      <c r="K49" s="10"/>
      <c r="L49" s="10"/>
      <c r="M49" s="88"/>
      <c r="N49" s="88"/>
      <c r="O49" s="88"/>
      <c r="P49" s="88"/>
      <c r="Q49" s="88"/>
      <c r="R49" s="88"/>
      <c r="S49" s="88"/>
      <c r="T49" s="88"/>
      <c r="U49" s="88"/>
      <c r="V49" s="88"/>
      <c r="W49" s="88"/>
      <c r="X49" s="88"/>
      <c r="Y49" s="410"/>
      <c r="Z49" s="438"/>
      <c r="AA49" s="438"/>
      <c r="AB49" s="438"/>
    </row>
    <row r="50" spans="1:35">
      <c r="A50" s="145" t="s">
        <v>1</v>
      </c>
      <c r="B50" s="376" t="s">
        <v>529</v>
      </c>
      <c r="C50" s="27" t="s">
        <v>2</v>
      </c>
      <c r="D50" s="27" t="s">
        <v>2532</v>
      </c>
      <c r="E50" s="27" t="s">
        <v>2433</v>
      </c>
      <c r="F50" s="165"/>
      <c r="G50" s="11" t="s">
        <v>628</v>
      </c>
      <c r="H50" s="11"/>
      <c r="I50" s="11" t="s">
        <v>3</v>
      </c>
      <c r="J50" s="90" t="s">
        <v>154</v>
      </c>
      <c r="K50" s="91"/>
      <c r="L50" s="91"/>
      <c r="M50" s="92"/>
      <c r="N50" s="88"/>
      <c r="O50" s="88"/>
      <c r="P50" s="88"/>
      <c r="Q50" s="88"/>
      <c r="R50" s="88"/>
      <c r="S50" s="88"/>
      <c r="T50" s="88"/>
      <c r="U50" s="88"/>
      <c r="V50" s="88"/>
      <c r="W50" s="88"/>
      <c r="X50" s="88"/>
      <c r="Y50" s="410"/>
      <c r="Z50" s="438"/>
      <c r="AA50" s="438"/>
      <c r="AB50" s="438"/>
    </row>
    <row r="51" spans="1:35">
      <c r="A51" s="145">
        <v>45207</v>
      </c>
      <c r="B51" s="376"/>
      <c r="C51" s="27">
        <v>231001</v>
      </c>
      <c r="D51" s="20" t="str">
        <f t="shared" si="0"/>
        <v>ピーエムアイ</v>
      </c>
      <c r="E51" s="20" t="str">
        <f t="shared" si="1"/>
        <v>VO MINH KHANG</v>
      </c>
      <c r="F51" s="20" t="str">
        <f t="shared" si="2"/>
        <v>ヴォ　ミン　カン</v>
      </c>
      <c r="G51" s="11"/>
      <c r="H51" s="11"/>
      <c r="I51" s="11">
        <v>28500</v>
      </c>
      <c r="J51" s="65">
        <v>19000</v>
      </c>
      <c r="K51" s="11">
        <v>28500</v>
      </c>
      <c r="L51" s="11">
        <v>28500</v>
      </c>
      <c r="M51" s="81">
        <v>28500</v>
      </c>
      <c r="N51" s="81">
        <v>28500</v>
      </c>
      <c r="O51" s="130">
        <v>28500</v>
      </c>
      <c r="P51" s="130">
        <v>19000</v>
      </c>
      <c r="Q51" s="130">
        <v>19000</v>
      </c>
      <c r="R51" s="130">
        <v>19000</v>
      </c>
      <c r="S51" s="130">
        <v>19000</v>
      </c>
      <c r="T51" s="130">
        <v>19000</v>
      </c>
      <c r="U51" s="130">
        <f>18367+1900</f>
        <v>20267</v>
      </c>
      <c r="V51" s="130">
        <v>28500</v>
      </c>
      <c r="W51" s="130">
        <v>28500</v>
      </c>
      <c r="X51" s="81">
        <f>18387+4903-10113</f>
        <v>13177</v>
      </c>
      <c r="Y51" s="413">
        <v>19000</v>
      </c>
      <c r="Z51" s="441">
        <v>19000</v>
      </c>
      <c r="AA51" s="441">
        <v>19000</v>
      </c>
      <c r="AB51" s="441">
        <v>19000</v>
      </c>
      <c r="AC51" s="441">
        <v>19000</v>
      </c>
      <c r="AD51" s="441">
        <v>19000</v>
      </c>
      <c r="AE51" s="437">
        <v>19000</v>
      </c>
      <c r="AF51" s="437">
        <v>19000</v>
      </c>
      <c r="AG51" s="437">
        <v>19000</v>
      </c>
      <c r="AH51" s="437">
        <v>19000</v>
      </c>
      <c r="AI51" s="437">
        <v>19000</v>
      </c>
    </row>
    <row r="52" spans="1:35">
      <c r="A52" s="145">
        <v>45670</v>
      </c>
      <c r="B52" s="376"/>
      <c r="C52" s="27">
        <v>231101</v>
      </c>
      <c r="D52" s="20" t="str">
        <f t="shared" si="0"/>
        <v>ピーエムアイ</v>
      </c>
      <c r="E52" s="20" t="str">
        <f t="shared" ref="E52:E53" si="24">IF(C52="","",_xlfn.XLOOKUP(C52,社員№,氏名,"",0,-1))</f>
        <v>PHAM DINH TUNG</v>
      </c>
      <c r="F52" s="20" t="str">
        <f t="shared" ref="F52:F53" si="25">IF(C52="","",_xlfn.XLOOKUP(C52,社員№,カナ,"",0,-1))</f>
        <v>ファム　ディン　トゥン</v>
      </c>
      <c r="G52" s="11"/>
      <c r="H52" s="11"/>
      <c r="I52" s="11"/>
      <c r="J52" s="65">
        <v>19000</v>
      </c>
      <c r="O52" s="81"/>
      <c r="P52" s="81"/>
      <c r="Q52" s="81"/>
      <c r="R52" s="81"/>
      <c r="S52" s="81"/>
      <c r="T52" s="81"/>
      <c r="U52" s="81"/>
      <c r="V52" s="81"/>
      <c r="W52" s="81">
        <v>12258</v>
      </c>
      <c r="X52" s="81">
        <f>18387+4903+12597+20000</f>
        <v>55887</v>
      </c>
      <c r="Y52" s="413">
        <v>19000</v>
      </c>
      <c r="Z52" s="441">
        <v>19000</v>
      </c>
      <c r="AA52" s="441">
        <v>19000</v>
      </c>
      <c r="AB52" s="441">
        <v>19000</v>
      </c>
      <c r="AC52" s="441">
        <v>19000</v>
      </c>
      <c r="AD52" s="441">
        <v>19000</v>
      </c>
      <c r="AE52" s="437">
        <v>19000</v>
      </c>
      <c r="AF52" s="437">
        <v>19000</v>
      </c>
      <c r="AG52" s="437">
        <v>19000</v>
      </c>
      <c r="AH52" s="437">
        <v>19000</v>
      </c>
      <c r="AI52" s="437">
        <v>19000</v>
      </c>
    </row>
    <row r="53" spans="1:35">
      <c r="A53" s="145">
        <v>45958</v>
      </c>
      <c r="B53" s="376"/>
      <c r="C53" s="27">
        <v>251102</v>
      </c>
      <c r="D53" s="20" t="str">
        <f t="shared" si="0"/>
        <v>ピーエムアイ</v>
      </c>
      <c r="E53" s="20" t="str">
        <f t="shared" si="24"/>
        <v>VO HUY TUAN</v>
      </c>
      <c r="F53" s="20" t="str">
        <f t="shared" si="25"/>
        <v>ヴォ　フイ　トウアン</v>
      </c>
      <c r="G53" s="11"/>
      <c r="H53" s="11"/>
      <c r="I53" s="11"/>
      <c r="J53" s="65"/>
      <c r="O53" s="81"/>
      <c r="P53" s="81"/>
      <c r="Q53" s="81"/>
      <c r="R53" s="81"/>
      <c r="S53" s="81"/>
      <c r="T53" s="81"/>
      <c r="U53" s="81"/>
      <c r="V53" s="81"/>
      <c r="W53" s="81"/>
      <c r="X53" s="81"/>
      <c r="Y53" s="413"/>
      <c r="Z53" s="441"/>
      <c r="AA53" s="441"/>
      <c r="AB53" s="441"/>
      <c r="AC53" s="441"/>
      <c r="AD53" s="441"/>
      <c r="AE53" s="441"/>
      <c r="AF53" s="437">
        <v>2452</v>
      </c>
      <c r="AG53" s="522">
        <v>21452</v>
      </c>
      <c r="AH53" s="437">
        <v>19000</v>
      </c>
      <c r="AI53" s="437">
        <v>19000</v>
      </c>
    </row>
    <row r="54" spans="1:35">
      <c r="D54" s="20" t="str">
        <f t="shared" si="0"/>
        <v/>
      </c>
      <c r="F54" s="160"/>
      <c r="G54" s="10"/>
      <c r="H54" s="10"/>
      <c r="I54" s="10"/>
      <c r="J54" s="74"/>
      <c r="K54" s="10"/>
      <c r="L54" s="10"/>
      <c r="M54" s="88"/>
      <c r="N54" s="88"/>
      <c r="O54" s="88"/>
      <c r="P54" s="88"/>
      <c r="Q54" s="88"/>
      <c r="R54" s="88"/>
      <c r="S54" s="88"/>
      <c r="T54" s="88"/>
      <c r="U54" s="88"/>
      <c r="V54" s="88"/>
      <c r="W54" s="88"/>
      <c r="X54" s="88"/>
      <c r="Y54" s="410"/>
      <c r="Z54" s="438"/>
      <c r="AA54" s="438"/>
      <c r="AB54" s="438"/>
      <c r="AF54" s="538"/>
    </row>
    <row r="55" spans="1:35">
      <c r="C55" s="41"/>
      <c r="D55" s="41"/>
      <c r="E55" s="41" t="s">
        <v>2435</v>
      </c>
      <c r="F55" s="164"/>
      <c r="G55" s="213">
        <v>46500</v>
      </c>
      <c r="H55" s="213">
        <v>51500</v>
      </c>
      <c r="I55" s="213" t="s">
        <v>584</v>
      </c>
      <c r="J55" s="74"/>
      <c r="K55" s="10"/>
      <c r="L55" s="10"/>
      <c r="M55" s="88"/>
      <c r="N55" s="88"/>
      <c r="O55" s="88"/>
      <c r="P55" s="88"/>
      <c r="Q55" s="88"/>
      <c r="R55" s="88"/>
      <c r="S55" s="88"/>
      <c r="T55" s="88"/>
      <c r="U55" s="88"/>
      <c r="V55" s="88"/>
      <c r="W55" s="88"/>
      <c r="X55" s="88"/>
      <c r="Y55" s="410"/>
      <c r="Z55" s="438"/>
      <c r="AA55" s="438"/>
      <c r="AB55" s="438"/>
    </row>
    <row r="56" spans="1:35">
      <c r="A56" s="145" t="s">
        <v>1</v>
      </c>
      <c r="B56" s="376" t="s">
        <v>529</v>
      </c>
      <c r="C56" s="27" t="s">
        <v>2</v>
      </c>
      <c r="D56" s="27" t="s">
        <v>2532</v>
      </c>
      <c r="E56" s="27" t="s">
        <v>2433</v>
      </c>
      <c r="F56" s="165"/>
      <c r="G56" s="11" t="s">
        <v>628</v>
      </c>
      <c r="H56" s="11"/>
      <c r="I56" s="11" t="s">
        <v>3</v>
      </c>
      <c r="J56" s="90"/>
      <c r="K56" s="91"/>
      <c r="L56" s="91"/>
      <c r="M56" s="92"/>
      <c r="N56" s="88"/>
      <c r="O56" s="88"/>
      <c r="P56" s="88"/>
      <c r="Q56" s="88"/>
      <c r="R56" s="88"/>
      <c r="S56" s="88"/>
      <c r="T56" s="88"/>
      <c r="U56" s="88"/>
      <c r="V56" s="88"/>
      <c r="W56" s="88"/>
      <c r="X56" s="88"/>
      <c r="Y56" s="410"/>
      <c r="Z56" s="438"/>
      <c r="AA56" s="438"/>
      <c r="AB56" s="438"/>
    </row>
    <row r="57" spans="1:35">
      <c r="A57" s="145">
        <v>45232</v>
      </c>
      <c r="B57" s="376"/>
      <c r="C57" s="27">
        <v>231111</v>
      </c>
      <c r="D57" s="20" t="str">
        <f t="shared" si="0"/>
        <v>ピーエムアイ</v>
      </c>
      <c r="E57" s="20" t="str">
        <f t="shared" si="1"/>
        <v>NGUYEN THI NGOC ANH</v>
      </c>
      <c r="F57" s="20" t="str">
        <f t="shared" si="2"/>
        <v>グエン　ティ　ゴック　アイン</v>
      </c>
      <c r="G57" s="11"/>
      <c r="H57" s="11"/>
      <c r="I57" s="11">
        <v>25750</v>
      </c>
      <c r="J57" s="65"/>
      <c r="K57" s="11">
        <v>25750</v>
      </c>
      <c r="L57" s="11">
        <v>25750</v>
      </c>
      <c r="M57" s="81">
        <v>25750</v>
      </c>
      <c r="N57" s="81">
        <v>25750</v>
      </c>
      <c r="O57" s="130">
        <v>25750</v>
      </c>
      <c r="P57" s="130">
        <v>25750</v>
      </c>
      <c r="Q57" s="130">
        <v>25750</v>
      </c>
      <c r="R57" s="130">
        <v>25750</v>
      </c>
      <c r="S57" s="130">
        <v>25750</v>
      </c>
      <c r="T57" s="130">
        <v>25750</v>
      </c>
      <c r="U57" s="130">
        <v>25750</v>
      </c>
      <c r="V57" s="130">
        <v>25750</v>
      </c>
      <c r="W57" s="130">
        <v>25750</v>
      </c>
      <c r="X57" s="130">
        <v>25750</v>
      </c>
      <c r="Y57" s="408">
        <v>25750</v>
      </c>
      <c r="Z57" s="437">
        <v>25750</v>
      </c>
      <c r="AA57" s="437">
        <v>25750</v>
      </c>
      <c r="AB57" s="437">
        <v>25750</v>
      </c>
      <c r="AC57" s="437">
        <v>25750</v>
      </c>
      <c r="AD57" s="437">
        <v>25750</v>
      </c>
      <c r="AE57" s="437">
        <v>25750</v>
      </c>
      <c r="AF57" s="437">
        <v>25750</v>
      </c>
      <c r="AG57" s="437">
        <v>25750</v>
      </c>
      <c r="AH57" s="437">
        <v>25750</v>
      </c>
      <c r="AI57" s="437">
        <v>25750</v>
      </c>
    </row>
    <row r="58" spans="1:35">
      <c r="A58" s="145">
        <v>45463</v>
      </c>
      <c r="B58" s="376">
        <v>46046</v>
      </c>
      <c r="C58" s="27">
        <v>240605</v>
      </c>
      <c r="D58" s="20" t="str">
        <f t="shared" ref="D58" si="26">IF(C58="","",_xlfn.XLOOKUP(C58,社員№,派遣先,"",0,-1))</f>
        <v>ピーエムアイ</v>
      </c>
      <c r="E58" s="20" t="str">
        <f t="shared" ref="E58" si="27">IF(C58="","",_xlfn.XLOOKUP(C58,社員№,氏名,"",0,-1))</f>
        <v>TRAN THI LE</v>
      </c>
      <c r="F58" s="20" t="str">
        <f t="shared" ref="F58" si="28">IF(C58="","",_xlfn.XLOOKUP(C58,社員№,カナ,"",0,-1))</f>
        <v>チャン　ティ　レ</v>
      </c>
      <c r="G58" s="11"/>
      <c r="H58" s="11"/>
      <c r="I58" s="11"/>
      <c r="J58" s="65"/>
      <c r="O58" s="81"/>
      <c r="P58" s="82">
        <v>9422</v>
      </c>
      <c r="Q58" s="82">
        <f>9422+25750</f>
        <v>35172</v>
      </c>
      <c r="R58" s="130">
        <v>25750</v>
      </c>
      <c r="S58" s="130">
        <v>25750</v>
      </c>
      <c r="T58" s="130">
        <v>25750</v>
      </c>
      <c r="U58" s="130">
        <v>25750</v>
      </c>
      <c r="V58" s="130">
        <v>25750</v>
      </c>
      <c r="W58" s="130">
        <v>25750</v>
      </c>
      <c r="X58" s="130">
        <v>25750</v>
      </c>
      <c r="Y58" s="408">
        <v>25750</v>
      </c>
      <c r="Z58" s="437">
        <v>25750</v>
      </c>
      <c r="AA58" s="437">
        <v>25750</v>
      </c>
      <c r="AB58" s="437">
        <v>25750</v>
      </c>
      <c r="AC58" s="437">
        <v>25750</v>
      </c>
      <c r="AD58" s="437">
        <v>25750</v>
      </c>
      <c r="AE58" s="437">
        <v>25750</v>
      </c>
      <c r="AF58" s="437">
        <v>25750</v>
      </c>
      <c r="AG58" s="437">
        <v>25750</v>
      </c>
      <c r="AH58" s="437">
        <v>25750</v>
      </c>
      <c r="AI58" s="448">
        <v>45750</v>
      </c>
    </row>
    <row r="59" spans="1:35">
      <c r="F59" s="160"/>
      <c r="G59" s="10"/>
      <c r="H59" s="10"/>
      <c r="I59" s="10"/>
      <c r="J59" s="74"/>
      <c r="K59" s="10"/>
      <c r="L59" s="10"/>
      <c r="M59" s="88"/>
      <c r="N59" s="88"/>
      <c r="O59" s="88"/>
      <c r="P59" s="88"/>
      <c r="Q59" s="88"/>
      <c r="R59" s="88"/>
      <c r="S59" s="88"/>
      <c r="T59" s="88"/>
      <c r="U59" s="88"/>
      <c r="V59" s="88"/>
      <c r="W59" s="88"/>
      <c r="X59" s="88"/>
      <c r="Y59" s="410"/>
      <c r="Z59" s="438"/>
      <c r="AA59" s="438"/>
      <c r="AB59" s="438"/>
    </row>
    <row r="60" spans="1:35">
      <c r="A60" s="147"/>
      <c r="C60" s="46"/>
      <c r="D60" s="46"/>
      <c r="E60" s="46" t="s">
        <v>6</v>
      </c>
      <c r="F60" s="166"/>
      <c r="G60" s="213">
        <v>53300</v>
      </c>
      <c r="H60" s="213">
        <v>58000</v>
      </c>
      <c r="I60" s="213" t="s">
        <v>584</v>
      </c>
      <c r="J60" s="74"/>
      <c r="K60" s="10"/>
      <c r="L60" s="10"/>
      <c r="M60" s="88"/>
      <c r="N60" s="88"/>
      <c r="O60" s="88"/>
      <c r="P60" s="88"/>
      <c r="Q60" s="88"/>
      <c r="R60" s="88"/>
      <c r="S60" s="88"/>
      <c r="T60" s="88"/>
      <c r="U60" s="88"/>
      <c r="V60" s="88"/>
      <c r="W60" s="88"/>
      <c r="X60" s="88"/>
      <c r="Y60" s="410"/>
      <c r="Z60" s="438"/>
      <c r="AA60" s="438"/>
      <c r="AB60" s="438"/>
    </row>
    <row r="61" spans="1:35">
      <c r="A61" s="148" t="s">
        <v>1</v>
      </c>
      <c r="B61" s="377" t="s">
        <v>529</v>
      </c>
      <c r="C61" s="27" t="s">
        <v>2</v>
      </c>
      <c r="D61" s="27" t="s">
        <v>2532</v>
      </c>
      <c r="E61" s="27" t="s">
        <v>2433</v>
      </c>
      <c r="F61" s="165"/>
      <c r="G61" s="11" t="s">
        <v>628</v>
      </c>
      <c r="H61" s="11"/>
      <c r="I61" s="11" t="s">
        <v>3</v>
      </c>
      <c r="J61" s="90"/>
      <c r="K61" s="91"/>
      <c r="L61" s="91"/>
      <c r="M61" s="92"/>
      <c r="N61" s="88"/>
      <c r="O61" s="88"/>
      <c r="P61" s="88"/>
      <c r="Q61" s="88"/>
      <c r="R61" s="88"/>
      <c r="S61" s="88"/>
      <c r="T61" s="88"/>
      <c r="U61" s="88"/>
      <c r="V61" s="88"/>
      <c r="W61" s="88"/>
      <c r="X61" s="88"/>
      <c r="Y61" s="410"/>
      <c r="Z61" s="438"/>
      <c r="AA61" s="438"/>
      <c r="AB61" s="438"/>
    </row>
    <row r="62" spans="1:35">
      <c r="A62" s="149">
        <v>44632</v>
      </c>
      <c r="B62" s="378"/>
      <c r="C62" s="27">
        <v>220130</v>
      </c>
      <c r="D62" s="20" t="str">
        <f t="shared" si="0"/>
        <v>川原鉄工所</v>
      </c>
      <c r="E62" s="20" t="str">
        <f t="shared" si="1"/>
        <v>NGUYEN VAN HUNG</v>
      </c>
      <c r="F62" s="20" t="str">
        <f t="shared" si="2"/>
        <v>グエン　バン　フン</v>
      </c>
      <c r="G62" s="11"/>
      <c r="H62" s="11"/>
      <c r="I62" s="11">
        <v>29000</v>
      </c>
      <c r="J62" s="65"/>
      <c r="K62" s="11">
        <v>29000</v>
      </c>
      <c r="L62" s="11">
        <v>29000</v>
      </c>
      <c r="M62" s="81">
        <v>29000</v>
      </c>
      <c r="N62" s="81">
        <v>29000</v>
      </c>
      <c r="O62" s="133">
        <v>29000</v>
      </c>
      <c r="P62" s="133">
        <v>29000</v>
      </c>
      <c r="Q62" s="133">
        <v>29000</v>
      </c>
      <c r="R62" s="133">
        <v>29000</v>
      </c>
      <c r="S62" s="133">
        <v>29000</v>
      </c>
      <c r="T62" s="133">
        <v>29000</v>
      </c>
      <c r="U62" s="133">
        <v>29000</v>
      </c>
      <c r="V62" s="133">
        <v>29000</v>
      </c>
      <c r="W62" s="133">
        <v>29000</v>
      </c>
      <c r="X62" s="133">
        <v>29000</v>
      </c>
      <c r="Y62" s="415">
        <v>29000</v>
      </c>
      <c r="Z62" s="444">
        <v>29000</v>
      </c>
      <c r="AA62" s="444">
        <v>29000</v>
      </c>
      <c r="AB62" s="444">
        <v>29000</v>
      </c>
      <c r="AC62" s="446">
        <v>29000</v>
      </c>
      <c r="AD62" s="446">
        <v>29000</v>
      </c>
      <c r="AE62" s="444">
        <v>29000</v>
      </c>
      <c r="AF62" s="444">
        <v>29000</v>
      </c>
      <c r="AG62" s="522">
        <v>29000</v>
      </c>
      <c r="AH62" s="508">
        <v>29000</v>
      </c>
      <c r="AI62" s="508">
        <v>29000</v>
      </c>
    </row>
    <row r="63" spans="1:35">
      <c r="A63" s="145">
        <v>45549</v>
      </c>
      <c r="B63" s="376">
        <v>45888</v>
      </c>
      <c r="C63" s="27">
        <v>230405</v>
      </c>
      <c r="D63" s="20" t="str">
        <f t="shared" ref="D63" si="29">IF(C63="","",_xlfn.XLOOKUP(C63,社員№,派遣先,"",0,-1))</f>
        <v>川原鉄工所</v>
      </c>
      <c r="E63" s="20" t="str">
        <f t="shared" ref="E63" si="30">IF(C63="","",_xlfn.XLOOKUP(C63,社員№,氏名,"",0,-1))</f>
        <v>NGUYEN NGOC HUNG</v>
      </c>
      <c r="F63" s="20" t="str">
        <f t="shared" ref="F63" si="31">IF(C63="","",_xlfn.XLOOKUP(C63,社員№,カナ,"",0,-1))</f>
        <v>グエン　ゴック　フン</v>
      </c>
      <c r="G63" s="11"/>
      <c r="H63" s="11"/>
      <c r="I63" s="11">
        <v>29000</v>
      </c>
      <c r="J63" s="65"/>
      <c r="K63" s="11">
        <v>29000</v>
      </c>
      <c r="L63" s="11">
        <v>29000</v>
      </c>
      <c r="M63" s="81">
        <v>29000</v>
      </c>
      <c r="N63" s="81">
        <v>29000</v>
      </c>
      <c r="O63" s="130" t="s">
        <v>533</v>
      </c>
      <c r="S63" s="130">
        <f>13417+16433</f>
        <v>29850</v>
      </c>
      <c r="T63" s="133">
        <v>29000</v>
      </c>
      <c r="U63" s="133">
        <v>29000</v>
      </c>
      <c r="V63" s="133">
        <v>29000</v>
      </c>
      <c r="W63" s="133">
        <v>29000</v>
      </c>
      <c r="X63" s="133">
        <v>29000</v>
      </c>
      <c r="Y63" s="415">
        <v>29000</v>
      </c>
      <c r="Z63" s="444">
        <v>29000</v>
      </c>
      <c r="AA63" s="444">
        <v>29000</v>
      </c>
      <c r="AB63" s="444">
        <v>29000</v>
      </c>
      <c r="AC63" s="446">
        <f>29000+29000+20000</f>
        <v>78000</v>
      </c>
      <c r="AD63" s="446">
        <v>0</v>
      </c>
    </row>
    <row r="64" spans="1:35">
      <c r="F64" s="160"/>
      <c r="G64" s="10"/>
      <c r="H64" s="10"/>
      <c r="I64" s="10"/>
      <c r="J64" s="74"/>
      <c r="K64" s="10"/>
      <c r="L64" s="10"/>
      <c r="M64" s="88"/>
      <c r="N64" s="88"/>
      <c r="O64" s="88"/>
      <c r="P64" s="88"/>
      <c r="Q64" s="88"/>
      <c r="R64" s="88"/>
      <c r="S64" s="88"/>
      <c r="T64" s="88"/>
      <c r="U64" s="88"/>
      <c r="V64" s="88"/>
      <c r="W64" s="88"/>
      <c r="X64" s="88"/>
      <c r="Y64" s="410"/>
      <c r="Z64" s="438"/>
      <c r="AA64" s="438"/>
      <c r="AB64" s="438"/>
    </row>
    <row r="65" spans="1:35">
      <c r="C65" s="31"/>
      <c r="D65" s="31"/>
      <c r="E65" s="31" t="s">
        <v>434</v>
      </c>
      <c r="F65" s="167"/>
      <c r="G65" s="213">
        <v>51300</v>
      </c>
      <c r="H65" s="213">
        <v>56300</v>
      </c>
      <c r="I65" s="213" t="s">
        <v>584</v>
      </c>
      <c r="J65" s="74"/>
      <c r="K65" s="10"/>
      <c r="L65" s="10"/>
      <c r="M65" s="88"/>
      <c r="N65" s="88"/>
      <c r="O65" s="88"/>
      <c r="P65" s="88"/>
      <c r="Q65" s="88"/>
      <c r="R65" s="88"/>
      <c r="S65" s="88"/>
      <c r="T65" s="88"/>
      <c r="U65" s="88"/>
      <c r="V65" s="88"/>
      <c r="W65" s="88"/>
      <c r="X65" s="88"/>
      <c r="Y65" s="410"/>
      <c r="Z65" s="438"/>
      <c r="AA65" s="438"/>
      <c r="AB65" s="438"/>
    </row>
    <row r="66" spans="1:35">
      <c r="A66" s="145" t="s">
        <v>1</v>
      </c>
      <c r="B66" s="376" t="s">
        <v>529</v>
      </c>
      <c r="C66" s="27" t="s">
        <v>2</v>
      </c>
      <c r="D66" s="27" t="s">
        <v>2532</v>
      </c>
      <c r="E66" s="27" t="s">
        <v>2433</v>
      </c>
      <c r="F66" s="165"/>
      <c r="G66" s="22" t="s">
        <v>628</v>
      </c>
      <c r="H66" s="22"/>
      <c r="I66" s="22" t="s">
        <v>3</v>
      </c>
      <c r="J66" s="90"/>
      <c r="K66" s="91"/>
      <c r="L66" s="91"/>
      <c r="M66" s="92"/>
      <c r="N66" s="92"/>
      <c r="O66" s="92"/>
      <c r="P66" s="92"/>
      <c r="Q66" s="92"/>
      <c r="R66" s="92"/>
      <c r="S66" s="92"/>
      <c r="T66" s="92"/>
      <c r="U66" s="92"/>
      <c r="V66" s="92"/>
      <c r="W66" s="92"/>
      <c r="X66" s="92"/>
      <c r="Y66" s="411"/>
      <c r="Z66" s="439"/>
      <c r="AA66" s="439"/>
      <c r="AB66" s="439"/>
    </row>
    <row r="67" spans="1:35">
      <c r="A67" s="145">
        <v>45252</v>
      </c>
      <c r="B67" s="485">
        <v>46053</v>
      </c>
      <c r="C67" s="27">
        <v>231119</v>
      </c>
      <c r="D67" s="20" t="str">
        <f t="shared" si="0"/>
        <v>川原鉄工所</v>
      </c>
      <c r="E67" s="20" t="str">
        <f t="shared" si="1"/>
        <v>BUI ANH TUAN</v>
      </c>
      <c r="F67" s="20" t="str">
        <f t="shared" si="2"/>
        <v>ブイ　アイン　トゥアン</v>
      </c>
      <c r="G67" s="11"/>
      <c r="H67" s="11"/>
      <c r="I67" s="11">
        <v>28150</v>
      </c>
      <c r="J67" s="65"/>
      <c r="K67" s="11">
        <v>28150</v>
      </c>
      <c r="L67" s="11">
        <v>28150</v>
      </c>
      <c r="M67" s="81">
        <v>28150</v>
      </c>
      <c r="N67" s="81">
        <v>28150</v>
      </c>
      <c r="O67" s="130">
        <v>28150</v>
      </c>
      <c r="P67" s="130">
        <v>28150</v>
      </c>
      <c r="Q67" s="130">
        <v>28150</v>
      </c>
      <c r="R67" s="130">
        <v>28150</v>
      </c>
      <c r="S67" s="130">
        <v>28150</v>
      </c>
      <c r="T67" s="130">
        <v>28150</v>
      </c>
      <c r="U67" s="130">
        <v>28150</v>
      </c>
      <c r="V67" s="130">
        <v>28150</v>
      </c>
      <c r="W67" s="130">
        <v>28150</v>
      </c>
      <c r="X67" s="130">
        <v>28150</v>
      </c>
      <c r="Y67" s="408">
        <v>28150</v>
      </c>
      <c r="Z67" s="437">
        <v>28150</v>
      </c>
      <c r="AA67" s="437">
        <v>28150</v>
      </c>
      <c r="AB67" s="437">
        <v>28150</v>
      </c>
      <c r="AC67" s="441">
        <v>28150</v>
      </c>
      <c r="AD67" s="441">
        <v>28150</v>
      </c>
      <c r="AE67" s="519">
        <v>48150</v>
      </c>
      <c r="AF67" s="492">
        <v>28150</v>
      </c>
      <c r="AG67" s="522">
        <v>28150</v>
      </c>
      <c r="AH67" s="508">
        <v>28150</v>
      </c>
      <c r="AI67" s="448">
        <v>28150</v>
      </c>
    </row>
    <row r="68" spans="1:35">
      <c r="A68" s="145">
        <v>45520</v>
      </c>
      <c r="B68" s="376">
        <v>46006</v>
      </c>
      <c r="C68" s="27">
        <v>240602</v>
      </c>
      <c r="D68" s="20" t="str">
        <f t="shared" ref="D68" si="32">IF(C68="","",_xlfn.XLOOKUP(C68,社員№,派遣先,"",0,-1))</f>
        <v>加藤木材工業 春日井</v>
      </c>
      <c r="E68" s="20" t="str">
        <f t="shared" ref="E68" si="33">IF(C68="","",_xlfn.XLOOKUP(C68,社員№,氏名,"",0,-1))</f>
        <v>NGUYEN VAN TU</v>
      </c>
      <c r="F68" s="20" t="str">
        <f t="shared" ref="F68" si="34">IF(C68="","",_xlfn.XLOOKUP(C68,社員№,カナ,"",0,-1))</f>
        <v>グエン　バン　トゥ</v>
      </c>
      <c r="G68" s="11"/>
      <c r="H68" s="11"/>
      <c r="I68" s="11">
        <v>28150</v>
      </c>
      <c r="J68" s="65"/>
      <c r="R68" s="130">
        <f>8619+14529</f>
        <v>23148</v>
      </c>
      <c r="S68" s="130">
        <v>28150</v>
      </c>
      <c r="T68" s="130">
        <v>28150</v>
      </c>
      <c r="U68" s="130">
        <v>28150</v>
      </c>
      <c r="V68" s="130">
        <v>28150</v>
      </c>
      <c r="W68" s="130">
        <v>28150</v>
      </c>
      <c r="X68" s="130">
        <v>28150</v>
      </c>
      <c r="Y68" s="408">
        <v>28150</v>
      </c>
      <c r="Z68" s="437">
        <v>28150</v>
      </c>
      <c r="AA68" s="437">
        <v>28150</v>
      </c>
      <c r="AB68" s="437">
        <v>28150</v>
      </c>
      <c r="AC68" s="441">
        <v>28150</v>
      </c>
      <c r="AD68" s="441">
        <v>28150</v>
      </c>
      <c r="AE68" s="437">
        <v>28150</v>
      </c>
      <c r="AF68" s="437">
        <v>28150</v>
      </c>
      <c r="AG68" s="437">
        <v>28150</v>
      </c>
      <c r="AH68" s="508">
        <v>0</v>
      </c>
    </row>
    <row r="69" spans="1:35">
      <c r="F69" s="160"/>
      <c r="G69" s="91"/>
      <c r="H69" s="91"/>
      <c r="I69" s="91"/>
      <c r="J69" s="74"/>
      <c r="K69" s="10"/>
      <c r="L69" s="10"/>
      <c r="M69" s="88"/>
      <c r="N69" s="88"/>
      <c r="O69" s="88"/>
      <c r="P69" s="88"/>
      <c r="Q69" s="88"/>
      <c r="R69" s="88"/>
      <c r="S69" s="88"/>
      <c r="T69" s="88"/>
      <c r="U69" s="88"/>
      <c r="V69" s="88"/>
      <c r="W69" s="88"/>
      <c r="X69" s="88"/>
      <c r="Y69" s="410"/>
      <c r="Z69" s="438"/>
      <c r="AA69" s="438"/>
      <c r="AB69" s="438"/>
    </row>
    <row r="70" spans="1:35">
      <c r="B70" s="513" t="s">
        <v>2645</v>
      </c>
      <c r="C70" s="31"/>
      <c r="D70" s="31"/>
      <c r="E70" s="31" t="s">
        <v>2436</v>
      </c>
      <c r="F70" s="167"/>
      <c r="G70" s="213">
        <v>50000</v>
      </c>
      <c r="H70" s="213">
        <v>55000</v>
      </c>
      <c r="I70" s="213" t="s">
        <v>584</v>
      </c>
      <c r="J70" s="101"/>
      <c r="K70" s="10"/>
      <c r="L70" s="10"/>
      <c r="M70" s="88"/>
      <c r="N70" s="88"/>
      <c r="O70" s="88"/>
      <c r="P70" s="88"/>
      <c r="Q70" s="88"/>
      <c r="R70" s="88"/>
      <c r="S70" s="88"/>
      <c r="T70" s="88"/>
      <c r="U70" s="88"/>
      <c r="V70" s="88"/>
      <c r="W70" s="88"/>
      <c r="X70" s="88"/>
      <c r="Y70" s="410"/>
      <c r="Z70" s="438"/>
      <c r="AA70" s="438"/>
      <c r="AB70" s="438"/>
    </row>
    <row r="71" spans="1:35">
      <c r="A71" s="145" t="s">
        <v>1</v>
      </c>
      <c r="B71" s="376" t="s">
        <v>529</v>
      </c>
      <c r="C71" s="27" t="s">
        <v>2</v>
      </c>
      <c r="D71" s="27" t="s">
        <v>2532</v>
      </c>
      <c r="E71" s="27" t="s">
        <v>2433</v>
      </c>
      <c r="F71" s="165"/>
      <c r="G71" s="108" t="s">
        <v>628</v>
      </c>
      <c r="H71" s="108"/>
      <c r="I71" s="108" t="s">
        <v>3</v>
      </c>
      <c r="J71" s="102"/>
      <c r="K71" s="91"/>
      <c r="L71" s="91"/>
      <c r="M71" s="92"/>
      <c r="N71" s="92"/>
      <c r="O71" s="92"/>
      <c r="P71" s="92"/>
      <c r="Q71" s="92"/>
      <c r="R71" s="92"/>
      <c r="S71" s="92"/>
      <c r="T71" s="92"/>
      <c r="U71" s="92"/>
      <c r="V71" s="92"/>
      <c r="W71" s="92"/>
      <c r="X71" s="92"/>
      <c r="Y71" s="411"/>
      <c r="Z71" s="439"/>
      <c r="AA71" s="439"/>
      <c r="AB71" s="439"/>
    </row>
    <row r="72" spans="1:35">
      <c r="A72" s="145">
        <v>45258</v>
      </c>
      <c r="B72" s="380">
        <v>45900</v>
      </c>
      <c r="C72" s="27">
        <v>231202</v>
      </c>
      <c r="D72" s="20" t="str">
        <f t="shared" si="0"/>
        <v>川原鉄工所</v>
      </c>
      <c r="E72" s="20" t="str">
        <f t="shared" si="1"/>
        <v>NGUYEN VAN CONG</v>
      </c>
      <c r="F72" s="20" t="str">
        <f t="shared" si="2"/>
        <v>グエン　ヴァン　コン</v>
      </c>
      <c r="G72" s="12"/>
      <c r="H72" s="12"/>
      <c r="I72" s="12">
        <v>27500</v>
      </c>
      <c r="J72" s="66"/>
      <c r="K72" s="11">
        <v>27500</v>
      </c>
      <c r="L72" s="11">
        <v>27500</v>
      </c>
      <c r="M72" s="81">
        <v>27500</v>
      </c>
      <c r="N72" s="81">
        <v>27500</v>
      </c>
      <c r="O72" s="130">
        <v>27500</v>
      </c>
      <c r="P72" s="130">
        <v>27500</v>
      </c>
      <c r="Q72" s="130">
        <v>27500</v>
      </c>
      <c r="R72" s="130">
        <v>27500</v>
      </c>
      <c r="S72" s="130">
        <v>27500</v>
      </c>
      <c r="T72" s="130">
        <v>27500</v>
      </c>
      <c r="U72" s="130">
        <v>27500</v>
      </c>
      <c r="V72" s="130">
        <v>27500</v>
      </c>
      <c r="W72" s="130">
        <v>27500</v>
      </c>
      <c r="X72" s="130">
        <v>27500</v>
      </c>
      <c r="Y72" s="408">
        <v>27500</v>
      </c>
      <c r="Z72" s="437">
        <v>27500</v>
      </c>
      <c r="AA72" s="437">
        <v>27500</v>
      </c>
      <c r="AB72" s="437">
        <v>27500</v>
      </c>
      <c r="AC72" s="437">
        <v>27500</v>
      </c>
      <c r="AD72" s="437">
        <v>27500</v>
      </c>
      <c r="AE72" s="437">
        <v>20000</v>
      </c>
      <c r="AF72" s="437">
        <v>0</v>
      </c>
      <c r="AG72" s="518">
        <v>0</v>
      </c>
    </row>
    <row r="73" spans="1:35">
      <c r="A73" s="145">
        <v>45338</v>
      </c>
      <c r="B73" s="376">
        <v>45961</v>
      </c>
      <c r="C73" s="27">
        <v>240204</v>
      </c>
      <c r="D73" s="20" t="str">
        <f t="shared" ref="D73" si="35">IF(C73="","",_xlfn.XLOOKUP(C73,社員№,派遣先,"",0,-1))</f>
        <v>川原鉄工所</v>
      </c>
      <c r="E73" s="20" t="str">
        <f t="shared" ref="E73" si="36">IF(C73="","",_xlfn.XLOOKUP(C73,社員№,氏名,"",0,-1))</f>
        <v>NGUYEN VU QUY</v>
      </c>
      <c r="F73" s="20" t="str">
        <f t="shared" ref="F73" si="37">IF(C73="","",_xlfn.XLOOKUP(C73,社員№,カナ,"",0,-1))</f>
        <v>グエン　ヴー　クイ</v>
      </c>
      <c r="G73" s="12"/>
      <c r="H73" s="12"/>
      <c r="I73" s="12">
        <v>27500</v>
      </c>
      <c r="J73" s="66"/>
      <c r="L73" s="11">
        <v>13276</v>
      </c>
      <c r="M73" s="81">
        <v>27500</v>
      </c>
      <c r="N73" s="81">
        <v>27500</v>
      </c>
      <c r="O73" s="130">
        <v>27500</v>
      </c>
      <c r="P73" s="130">
        <v>27500</v>
      </c>
      <c r="Q73" s="130">
        <v>27500</v>
      </c>
      <c r="R73" s="130">
        <v>27500</v>
      </c>
      <c r="S73" s="130">
        <v>27500</v>
      </c>
      <c r="T73" s="130">
        <v>27500</v>
      </c>
      <c r="U73" s="130">
        <v>27500</v>
      </c>
      <c r="V73" s="130">
        <v>27500</v>
      </c>
      <c r="W73" s="130">
        <v>27500</v>
      </c>
      <c r="X73" s="130">
        <v>27500</v>
      </c>
      <c r="Y73" s="408">
        <v>27500</v>
      </c>
      <c r="Z73" s="437">
        <v>27500</v>
      </c>
      <c r="AA73" s="437">
        <v>27500</v>
      </c>
      <c r="AB73" s="437">
        <v>27500</v>
      </c>
      <c r="AC73" s="437">
        <v>27500</v>
      </c>
      <c r="AD73" s="437">
        <v>27500</v>
      </c>
      <c r="AE73" s="437">
        <v>27500</v>
      </c>
      <c r="AF73" s="437">
        <v>47500</v>
      </c>
      <c r="AG73" s="518">
        <v>0</v>
      </c>
    </row>
    <row r="74" spans="1:35">
      <c r="F74" s="160"/>
      <c r="G74" s="6"/>
      <c r="H74" s="6"/>
      <c r="I74" s="6"/>
      <c r="J74" s="100"/>
      <c r="K74" s="98"/>
      <c r="L74" s="98"/>
      <c r="M74" s="99"/>
      <c r="N74" s="99"/>
      <c r="O74" s="99"/>
      <c r="P74" s="99"/>
      <c r="Q74" s="99"/>
      <c r="R74" s="99"/>
      <c r="S74" s="99"/>
      <c r="T74" s="99"/>
      <c r="U74" s="99"/>
      <c r="V74" s="99"/>
      <c r="W74" s="99"/>
      <c r="X74" s="99"/>
      <c r="Y74" s="416"/>
      <c r="Z74" s="445"/>
      <c r="AA74" s="445"/>
      <c r="AB74" s="445"/>
    </row>
    <row r="75" spans="1:35">
      <c r="B75" s="513" t="s">
        <v>2643</v>
      </c>
      <c r="C75" s="31"/>
      <c r="D75" s="31"/>
      <c r="E75" s="31" t="s">
        <v>988</v>
      </c>
      <c r="F75" s="167"/>
      <c r="G75" s="214">
        <v>38000</v>
      </c>
      <c r="H75" s="214">
        <v>43000</v>
      </c>
      <c r="I75" s="214" t="s">
        <v>582</v>
      </c>
      <c r="J75" s="101"/>
      <c r="K75" s="10"/>
      <c r="L75" s="10"/>
      <c r="M75" s="88"/>
      <c r="N75" s="88"/>
      <c r="O75" s="88"/>
      <c r="P75" s="88"/>
      <c r="Q75" s="88"/>
      <c r="R75" s="88"/>
      <c r="S75" s="88"/>
      <c r="T75" s="88"/>
      <c r="U75" s="88"/>
      <c r="V75" s="88"/>
      <c r="W75" s="88"/>
      <c r="X75" s="88"/>
      <c r="Y75" s="410"/>
      <c r="Z75" s="438"/>
      <c r="AA75" s="438"/>
      <c r="AB75" s="438"/>
    </row>
    <row r="76" spans="1:35">
      <c r="A76" s="145" t="s">
        <v>1</v>
      </c>
      <c r="B76" s="376" t="s">
        <v>529</v>
      </c>
      <c r="C76" s="27" t="s">
        <v>2</v>
      </c>
      <c r="D76" s="27" t="s">
        <v>2532</v>
      </c>
      <c r="E76" s="27" t="s">
        <v>2433</v>
      </c>
      <c r="F76" s="165"/>
      <c r="G76" s="108" t="s">
        <v>628</v>
      </c>
      <c r="H76" s="108"/>
      <c r="I76" s="108" t="s">
        <v>3</v>
      </c>
      <c r="J76" s="102"/>
      <c r="K76" s="91"/>
      <c r="L76" s="91"/>
      <c r="M76" s="92"/>
      <c r="N76" s="92"/>
      <c r="O76" s="92"/>
      <c r="P76" s="92"/>
      <c r="Q76" s="92"/>
      <c r="R76" s="92"/>
      <c r="S76" s="92"/>
      <c r="T76" s="92"/>
      <c r="U76" s="92"/>
      <c r="V76" s="92"/>
      <c r="W76" s="92"/>
      <c r="X76" s="92"/>
      <c r="Y76" s="411"/>
      <c r="Z76" s="439"/>
      <c r="AA76" s="439"/>
      <c r="AB76" s="439"/>
    </row>
    <row r="77" spans="1:35">
      <c r="A77" s="145">
        <v>45731</v>
      </c>
      <c r="B77" s="376">
        <v>45955</v>
      </c>
      <c r="C77" s="27">
        <v>250303</v>
      </c>
      <c r="D77" s="20" t="str">
        <f t="shared" ref="D77" si="38">IF(C77="","",_xlfn.XLOOKUP(C77,社員№,派遣先,"",0,-1))</f>
        <v>川原鉄工所</v>
      </c>
      <c r="E77" s="20" t="str">
        <f t="shared" ref="E77" si="39">IF(C77="","",_xlfn.XLOOKUP(C77,社員№,氏名,"",0,-1))</f>
        <v xml:space="preserve">HARDIANTO </v>
      </c>
      <c r="F77" s="20" t="str">
        <f t="shared" ref="F77" si="40">IF(C77="","",_xlfn.XLOOKUP(C77,社員№,カナ,"",0,-1))</f>
        <v>ハルディアント</v>
      </c>
      <c r="G77" s="12"/>
      <c r="H77" s="12"/>
      <c r="I77" s="12">
        <v>43000</v>
      </c>
      <c r="J77" s="66"/>
      <c r="Y77" s="408">
        <v>26323</v>
      </c>
      <c r="Z77" s="437">
        <v>43000</v>
      </c>
      <c r="AA77" s="437">
        <v>43000</v>
      </c>
      <c r="AB77" s="437">
        <v>43000</v>
      </c>
      <c r="AC77" s="437">
        <v>43000</v>
      </c>
      <c r="AD77" s="437">
        <v>43000</v>
      </c>
      <c r="AE77" s="437">
        <v>43000</v>
      </c>
      <c r="AF77" s="492">
        <v>106000</v>
      </c>
      <c r="AG77" s="518">
        <v>0</v>
      </c>
    </row>
    <row r="78" spans="1:35">
      <c r="F78" s="160"/>
      <c r="G78" s="6"/>
      <c r="H78" s="6"/>
      <c r="I78" s="6"/>
      <c r="J78" s="101"/>
      <c r="K78" s="10"/>
      <c r="L78" s="10"/>
      <c r="M78" s="88"/>
      <c r="N78" s="88"/>
      <c r="O78" s="88"/>
      <c r="P78" s="88"/>
      <c r="Q78" s="88"/>
      <c r="R78" s="88"/>
      <c r="S78" s="88"/>
      <c r="T78" s="88"/>
      <c r="U78" s="88"/>
      <c r="V78" s="88"/>
      <c r="W78" s="88"/>
      <c r="X78" s="88"/>
      <c r="Y78" s="410"/>
      <c r="Z78" s="438"/>
      <c r="AA78" s="438"/>
      <c r="AB78" s="438"/>
    </row>
    <row r="79" spans="1:35">
      <c r="C79" s="31"/>
      <c r="D79" s="31"/>
      <c r="E79" s="31" t="s">
        <v>2437</v>
      </c>
      <c r="F79" s="167"/>
      <c r="G79" s="214">
        <v>36500</v>
      </c>
      <c r="H79" s="214">
        <v>36500</v>
      </c>
      <c r="I79" s="214" t="s">
        <v>588</v>
      </c>
      <c r="J79" s="101"/>
      <c r="K79" s="10"/>
      <c r="L79" s="10"/>
      <c r="M79" s="88"/>
      <c r="N79" s="88"/>
      <c r="O79" s="88"/>
      <c r="P79" s="88"/>
      <c r="Q79" s="88"/>
      <c r="R79" s="88"/>
      <c r="S79" s="88"/>
      <c r="T79" s="88"/>
      <c r="U79" s="88"/>
      <c r="V79" s="88"/>
      <c r="W79" s="88"/>
      <c r="X79" s="88"/>
      <c r="Y79" s="410"/>
      <c r="Z79" s="438"/>
      <c r="AA79" s="438"/>
      <c r="AB79" s="438"/>
    </row>
    <row r="80" spans="1:35">
      <c r="A80" s="145" t="s">
        <v>1</v>
      </c>
      <c r="B80" s="376" t="s">
        <v>529</v>
      </c>
      <c r="C80" s="27" t="s">
        <v>2</v>
      </c>
      <c r="D80" s="27" t="s">
        <v>2532</v>
      </c>
      <c r="E80" s="27" t="s">
        <v>2433</v>
      </c>
      <c r="F80" s="165"/>
      <c r="G80" s="108" t="s">
        <v>628</v>
      </c>
      <c r="H80" s="108"/>
      <c r="I80" s="108" t="s">
        <v>3</v>
      </c>
      <c r="J80" s="102"/>
      <c r="K80" s="91"/>
      <c r="L80" s="91"/>
      <c r="M80" s="92"/>
      <c r="N80" s="92"/>
      <c r="O80" s="92"/>
      <c r="P80" s="92"/>
      <c r="Q80" s="92"/>
      <c r="R80" s="92"/>
      <c r="S80" s="92"/>
      <c r="T80" s="92"/>
      <c r="U80" s="92"/>
      <c r="V80" s="92"/>
      <c r="W80" s="92"/>
      <c r="X80" s="92"/>
      <c r="Y80" s="411"/>
      <c r="Z80" s="439"/>
      <c r="AA80" s="439"/>
      <c r="AB80" s="439"/>
    </row>
    <row r="81" spans="1:35">
      <c r="A81" s="145">
        <v>45432</v>
      </c>
      <c r="B81" s="376">
        <v>46040</v>
      </c>
      <c r="C81" s="27">
        <v>231006</v>
      </c>
      <c r="D81" s="20" t="str">
        <f t="shared" ref="D81:D144" si="41">IF(C81="","",_xlfn.XLOOKUP(C81,社員№,派遣先,"",0,-1))</f>
        <v>川原鉄工所</v>
      </c>
      <c r="E81" s="20" t="str">
        <f t="shared" ref="E81:E144" si="42">IF(C81="","",_xlfn.XLOOKUP(C81,社員№,氏名,"",0,-1))</f>
        <v>NGUYEN THANH SANG</v>
      </c>
      <c r="F81" s="20" t="str">
        <f t="shared" ref="F81:F144" si="43">IF(C81="","",_xlfn.XLOOKUP(C81,社員№,カナ,"",0,-1))</f>
        <v>グエン　タイン　サン</v>
      </c>
      <c r="G81" s="12"/>
      <c r="H81" s="12"/>
      <c r="I81" s="12">
        <v>36500</v>
      </c>
      <c r="J81" s="66"/>
      <c r="O81" s="130">
        <f t="shared" ref="O81:T81" si="44">18548+12952</f>
        <v>31500</v>
      </c>
      <c r="P81" s="130">
        <f t="shared" si="44"/>
        <v>31500</v>
      </c>
      <c r="Q81" s="130">
        <f t="shared" si="44"/>
        <v>31500</v>
      </c>
      <c r="R81" s="130">
        <f t="shared" si="44"/>
        <v>31500</v>
      </c>
      <c r="S81" s="130">
        <f t="shared" si="44"/>
        <v>31500</v>
      </c>
      <c r="T81" s="130">
        <f t="shared" si="44"/>
        <v>31500</v>
      </c>
      <c r="U81" s="130">
        <f>(5000*5)+36500</f>
        <v>61500</v>
      </c>
      <c r="V81" s="130">
        <v>36500</v>
      </c>
      <c r="W81" s="130">
        <v>36500</v>
      </c>
      <c r="X81" s="130">
        <v>36500</v>
      </c>
      <c r="Y81" s="408">
        <v>36500</v>
      </c>
      <c r="Z81" s="437">
        <v>36500</v>
      </c>
      <c r="AA81" s="437">
        <v>36500</v>
      </c>
      <c r="AB81" s="437">
        <v>36500</v>
      </c>
      <c r="AC81" s="437">
        <v>36500</v>
      </c>
      <c r="AD81" s="437">
        <v>36500</v>
      </c>
      <c r="AE81" s="437">
        <v>36500</v>
      </c>
      <c r="AF81" s="437">
        <v>36500</v>
      </c>
      <c r="AG81" s="437">
        <v>36500</v>
      </c>
      <c r="AH81" s="437">
        <v>36500</v>
      </c>
      <c r="AI81" s="437">
        <v>56500</v>
      </c>
    </row>
    <row r="82" spans="1:35">
      <c r="F82" s="160"/>
      <c r="G82" s="6"/>
      <c r="H82" s="6"/>
      <c r="I82" s="6"/>
      <c r="J82" s="101"/>
      <c r="K82" s="10"/>
      <c r="L82" s="10"/>
      <c r="M82" s="88"/>
      <c r="N82" s="88"/>
      <c r="O82" s="88"/>
      <c r="P82" s="88"/>
      <c r="Q82" s="88"/>
      <c r="R82" s="88"/>
      <c r="S82" s="88"/>
      <c r="T82" s="88"/>
      <c r="U82" s="88"/>
      <c r="V82" s="88"/>
      <c r="W82" s="88"/>
      <c r="X82" s="88"/>
      <c r="Y82" s="410"/>
      <c r="Z82" s="438"/>
      <c r="AA82" s="438"/>
      <c r="AB82" s="438"/>
    </row>
    <row r="83" spans="1:35">
      <c r="C83" s="31"/>
      <c r="D83" s="31"/>
      <c r="E83" s="31" t="s">
        <v>2438</v>
      </c>
      <c r="F83" s="167"/>
      <c r="G83" s="213">
        <v>43880</v>
      </c>
      <c r="H83" s="213">
        <v>50000</v>
      </c>
      <c r="I83" s="213" t="s">
        <v>25</v>
      </c>
      <c r="J83" s="101" t="s">
        <v>996</v>
      </c>
      <c r="K83" s="10"/>
      <c r="L83" s="10"/>
      <c r="M83" s="88"/>
      <c r="N83" s="88"/>
      <c r="O83" s="88"/>
      <c r="P83" s="88"/>
      <c r="Q83" s="88"/>
      <c r="R83" s="88"/>
      <c r="S83" s="88"/>
      <c r="T83" s="88"/>
      <c r="U83" s="88"/>
      <c r="V83" s="88"/>
      <c r="W83" s="88"/>
      <c r="X83" s="88"/>
      <c r="Y83" s="410"/>
      <c r="Z83" s="438"/>
      <c r="AA83" s="438"/>
      <c r="AB83" s="438"/>
    </row>
    <row r="84" spans="1:35">
      <c r="A84" s="145" t="s">
        <v>1</v>
      </c>
      <c r="B84" s="376" t="s">
        <v>529</v>
      </c>
      <c r="C84" s="27" t="s">
        <v>2</v>
      </c>
      <c r="D84" s="27" t="s">
        <v>2532</v>
      </c>
      <c r="E84" s="27" t="s">
        <v>2433</v>
      </c>
      <c r="F84" s="165"/>
      <c r="G84" s="108" t="s">
        <v>628</v>
      </c>
      <c r="H84" s="108"/>
      <c r="I84" s="108" t="s">
        <v>3</v>
      </c>
      <c r="J84" s="102" t="s">
        <v>251</v>
      </c>
      <c r="K84" s="91"/>
      <c r="L84" s="91"/>
      <c r="M84" s="92"/>
      <c r="N84" s="92"/>
      <c r="O84" s="92"/>
      <c r="P84" s="92"/>
      <c r="Q84" s="92"/>
      <c r="R84" s="92"/>
      <c r="S84" s="92"/>
      <c r="T84" s="92"/>
      <c r="U84" s="92"/>
      <c r="V84" s="92"/>
      <c r="W84" s="92"/>
      <c r="X84" s="92"/>
      <c r="Y84" s="411"/>
      <c r="Z84" s="439"/>
      <c r="AA84" s="439"/>
      <c r="AB84" s="439"/>
    </row>
    <row r="85" spans="1:35">
      <c r="A85" s="145">
        <v>45355</v>
      </c>
      <c r="B85" s="376"/>
      <c r="C85" s="20">
        <v>240302</v>
      </c>
      <c r="D85" s="20" t="str">
        <f t="shared" si="41"/>
        <v>川原鉄工所</v>
      </c>
      <c r="E85" s="20" t="str">
        <f t="shared" si="42"/>
        <v>PHAN VAN QUAN</v>
      </c>
      <c r="F85" s="20" t="str">
        <f t="shared" si="43"/>
        <v>ファン　ヴァン　クウアン</v>
      </c>
      <c r="G85" s="12"/>
      <c r="H85" s="12"/>
      <c r="I85" s="12">
        <v>17000</v>
      </c>
      <c r="J85" s="66">
        <v>16700</v>
      </c>
      <c r="M85" s="81">
        <v>22581</v>
      </c>
      <c r="N85" s="81">
        <v>25000</v>
      </c>
      <c r="O85" s="81">
        <v>25000</v>
      </c>
      <c r="P85" s="81">
        <v>16700</v>
      </c>
      <c r="Q85" s="84">
        <f>14167+7237</f>
        <v>21404</v>
      </c>
      <c r="R85" s="84">
        <f>8619+12903</f>
        <v>21522</v>
      </c>
      <c r="S85" s="84">
        <v>25000</v>
      </c>
      <c r="T85" s="84">
        <v>25000</v>
      </c>
      <c r="U85" s="84">
        <f t="shared" ref="U85" si="45">24167+567</f>
        <v>24734</v>
      </c>
      <c r="V85" s="84">
        <f t="shared" ref="V85" si="46">1616+11742</f>
        <v>13358</v>
      </c>
      <c r="W85" s="84">
        <v>16700</v>
      </c>
      <c r="X85" s="84">
        <f>13718+5357</f>
        <v>19075</v>
      </c>
      <c r="Y85" s="414">
        <v>25000</v>
      </c>
      <c r="Z85" s="443">
        <v>25000</v>
      </c>
      <c r="AA85" s="443">
        <v>25000</v>
      </c>
      <c r="AB85" s="443">
        <v>25000</v>
      </c>
      <c r="AC85" s="443">
        <v>25000</v>
      </c>
      <c r="AD85" s="443">
        <v>25000</v>
      </c>
      <c r="AE85" s="493">
        <v>25000</v>
      </c>
      <c r="AF85" s="493">
        <v>25000</v>
      </c>
      <c r="AG85" s="522">
        <v>25000</v>
      </c>
      <c r="AH85" s="508">
        <v>25000</v>
      </c>
      <c r="AI85" s="508">
        <v>25000</v>
      </c>
    </row>
    <row r="86" spans="1:35">
      <c r="A86" s="228">
        <v>45783</v>
      </c>
      <c r="B86" s="375"/>
      <c r="C86" s="85">
        <v>240710</v>
      </c>
      <c r="D86" s="20" t="str">
        <f t="shared" ref="D86:D87" si="47">IF(C86="","",_xlfn.XLOOKUP(C86,社員№,派遣先,"",0,-1))</f>
        <v>川原鉄工所</v>
      </c>
      <c r="E86" s="20" t="str">
        <f t="shared" ref="E86:E87" si="48">IF(C86="","",_xlfn.XLOOKUP(C86,社員№,氏名,"",0,-1))</f>
        <v>NGUYEN VAN HAN</v>
      </c>
      <c r="F86" s="20" t="str">
        <f t="shared" ref="F86:F87" si="49">IF(C86="","",_xlfn.XLOOKUP(C86,社員№,カナ,"",0,-1))</f>
        <v>グエン　ヴァン　ハン</v>
      </c>
      <c r="G86" s="527"/>
      <c r="H86" s="527"/>
      <c r="I86" s="527"/>
      <c r="J86" s="104"/>
      <c r="K86" s="3"/>
      <c r="L86" s="3"/>
      <c r="M86" s="95"/>
      <c r="N86" s="95"/>
      <c r="O86" s="95"/>
      <c r="P86" s="95"/>
      <c r="Q86" s="528"/>
      <c r="R86" s="528"/>
      <c r="S86" s="528"/>
      <c r="T86" s="528"/>
      <c r="U86" s="528"/>
      <c r="V86" s="528"/>
      <c r="W86" s="528"/>
      <c r="X86" s="528"/>
      <c r="Y86" s="529"/>
      <c r="Z86" s="530"/>
      <c r="AA86" s="530"/>
      <c r="AB86" s="530">
        <f>20968+25000</f>
        <v>45968</v>
      </c>
      <c r="AC86" s="464">
        <v>25000</v>
      </c>
      <c r="AD86" s="530">
        <v>25000</v>
      </c>
      <c r="AE86" s="531">
        <v>25000</v>
      </c>
      <c r="AF86" s="531">
        <v>25000</v>
      </c>
      <c r="AG86" s="522">
        <v>25000</v>
      </c>
      <c r="AH86" s="508">
        <v>25000</v>
      </c>
      <c r="AI86" s="508">
        <v>25000</v>
      </c>
    </row>
    <row r="87" spans="1:35">
      <c r="A87" s="145">
        <v>45939</v>
      </c>
      <c r="B87" s="376">
        <v>45970</v>
      </c>
      <c r="C87" s="20">
        <v>251004</v>
      </c>
      <c r="D87" s="20" t="str">
        <f t="shared" si="47"/>
        <v>川原鉄工所</v>
      </c>
      <c r="E87" s="20" t="str">
        <f t="shared" si="48"/>
        <v>DAO VAN TUONG</v>
      </c>
      <c r="F87" s="20" t="str">
        <f t="shared" si="49"/>
        <v>ダオ　ヴァン　トウオン</v>
      </c>
      <c r="G87" s="12"/>
      <c r="H87" s="12"/>
      <c r="I87" s="12"/>
      <c r="J87" s="66"/>
      <c r="O87" s="81"/>
      <c r="P87" s="81"/>
      <c r="Q87" s="84"/>
      <c r="R87" s="84"/>
      <c r="S87" s="84"/>
      <c r="T87" s="84"/>
      <c r="U87" s="84"/>
      <c r="V87" s="84"/>
      <c r="W87" s="84"/>
      <c r="X87" s="84"/>
      <c r="Y87" s="414"/>
      <c r="Z87" s="443"/>
      <c r="AA87" s="443"/>
      <c r="AB87" s="443"/>
      <c r="AC87" s="448"/>
      <c r="AD87" s="443"/>
      <c r="AE87" s="443"/>
      <c r="AF87" s="493">
        <v>18550</v>
      </c>
      <c r="AG87" s="522">
        <v>45000</v>
      </c>
      <c r="AH87" s="508">
        <v>0</v>
      </c>
    </row>
    <row r="88" spans="1:35">
      <c r="F88" s="160"/>
      <c r="G88" s="6"/>
      <c r="H88" s="6"/>
      <c r="I88" s="6"/>
      <c r="J88" s="101"/>
      <c r="K88" s="10"/>
      <c r="L88" s="10"/>
      <c r="M88" s="88"/>
      <c r="N88" s="88"/>
      <c r="O88" s="88"/>
      <c r="P88" s="88"/>
      <c r="Q88" s="88"/>
      <c r="R88" s="88"/>
      <c r="S88" s="88"/>
      <c r="T88" s="88"/>
      <c r="U88" s="88"/>
      <c r="V88" s="88"/>
      <c r="W88" s="88"/>
      <c r="X88" s="88"/>
      <c r="Y88" s="410"/>
      <c r="Z88" s="438"/>
      <c r="AA88" s="438"/>
      <c r="AB88" s="438"/>
      <c r="AF88" s="538"/>
    </row>
    <row r="89" spans="1:35">
      <c r="A89" s="147"/>
      <c r="C89" s="42"/>
      <c r="D89" s="42"/>
      <c r="E89" s="42" t="s">
        <v>7</v>
      </c>
      <c r="F89" s="168"/>
      <c r="G89" s="211">
        <v>52550</v>
      </c>
      <c r="H89" s="211">
        <v>57000</v>
      </c>
      <c r="I89" s="211" t="s">
        <v>25</v>
      </c>
      <c r="J89" s="74"/>
      <c r="K89" s="10"/>
      <c r="L89" s="10"/>
      <c r="M89" s="88"/>
      <c r="N89" s="88"/>
      <c r="O89" s="88"/>
      <c r="P89" s="88"/>
      <c r="Q89" s="88"/>
      <c r="R89" s="88"/>
      <c r="S89" s="88"/>
      <c r="T89" s="88"/>
      <c r="U89" s="88"/>
      <c r="V89" s="88"/>
      <c r="W89" s="88"/>
      <c r="X89" s="88"/>
      <c r="Y89" s="410"/>
      <c r="Z89" s="438"/>
      <c r="AA89" s="438"/>
      <c r="AB89" s="438"/>
    </row>
    <row r="90" spans="1:35">
      <c r="A90" s="148" t="s">
        <v>1</v>
      </c>
      <c r="B90" s="377" t="s">
        <v>529</v>
      </c>
      <c r="C90" s="27" t="s">
        <v>2</v>
      </c>
      <c r="D90" s="27" t="s">
        <v>2532</v>
      </c>
      <c r="E90" s="27" t="s">
        <v>2433</v>
      </c>
      <c r="F90" s="165"/>
      <c r="G90" s="22" t="s">
        <v>628</v>
      </c>
      <c r="H90" s="22" t="s">
        <v>2649</v>
      </c>
      <c r="I90" s="22" t="s">
        <v>10</v>
      </c>
      <c r="J90" s="90"/>
      <c r="K90" s="91"/>
      <c r="L90" s="91"/>
      <c r="M90" s="92"/>
      <c r="N90" s="92"/>
      <c r="O90" s="92"/>
      <c r="P90" s="92"/>
      <c r="Q90" s="92"/>
      <c r="R90" s="92"/>
      <c r="S90" s="92"/>
      <c r="T90" s="92"/>
      <c r="U90" s="92"/>
      <c r="V90" s="92"/>
      <c r="W90" s="92"/>
      <c r="X90" s="92"/>
      <c r="Y90" s="411"/>
      <c r="Z90" s="439"/>
      <c r="AA90" s="439"/>
      <c r="AB90" s="439"/>
    </row>
    <row r="91" spans="1:35">
      <c r="A91" s="145">
        <v>44458</v>
      </c>
      <c r="B91" s="376">
        <v>46022</v>
      </c>
      <c r="C91" s="27">
        <v>210910</v>
      </c>
      <c r="D91" s="20" t="str">
        <f t="shared" si="41"/>
        <v>高雄工業 海南第一</v>
      </c>
      <c r="E91" s="20" t="str">
        <f t="shared" si="42"/>
        <v>DUONG VAN THIEP</v>
      </c>
      <c r="F91" s="20" t="str">
        <f t="shared" si="43"/>
        <v>ズオン　ヴァン　ティェプ</v>
      </c>
      <c r="G91" s="12"/>
      <c r="H91" s="12">
        <v>19000</v>
      </c>
      <c r="I91" s="12">
        <v>28500</v>
      </c>
      <c r="J91" s="65"/>
      <c r="K91" s="11">
        <v>19000</v>
      </c>
      <c r="L91" s="11">
        <v>19000</v>
      </c>
      <c r="M91" s="81">
        <v>19000</v>
      </c>
      <c r="N91" s="81">
        <v>28500</v>
      </c>
      <c r="O91" s="130">
        <v>28500</v>
      </c>
      <c r="P91" s="130">
        <v>28500</v>
      </c>
      <c r="Q91" s="130">
        <v>28500</v>
      </c>
      <c r="R91" s="130">
        <v>28500</v>
      </c>
      <c r="S91" s="130">
        <v>28500</v>
      </c>
      <c r="T91" s="130">
        <v>28500</v>
      </c>
      <c r="U91" s="130">
        <v>28500</v>
      </c>
      <c r="V91" s="130">
        <f t="shared" ref="V91:V92" si="50">9194+12871</f>
        <v>22065</v>
      </c>
      <c r="W91" s="130">
        <f t="shared" ref="W91" si="51">6129+19306</f>
        <v>25435</v>
      </c>
      <c r="X91" s="130">
        <v>28500</v>
      </c>
      <c r="Y91" s="408">
        <v>28500</v>
      </c>
      <c r="Z91" s="437">
        <v>28500</v>
      </c>
      <c r="AA91" s="437">
        <v>28500</v>
      </c>
      <c r="AB91" s="437">
        <v>28500</v>
      </c>
      <c r="AC91" s="437">
        <v>28500</v>
      </c>
      <c r="AD91" s="437">
        <v>28500</v>
      </c>
      <c r="AE91" s="437">
        <v>28500</v>
      </c>
      <c r="AF91" s="437">
        <v>28500</v>
      </c>
      <c r="AG91" s="437">
        <v>28500</v>
      </c>
      <c r="AH91" s="508">
        <v>48500</v>
      </c>
      <c r="AI91" s="448">
        <v>-9500</v>
      </c>
    </row>
    <row r="92" spans="1:35">
      <c r="A92" s="145">
        <v>45291</v>
      </c>
      <c r="B92" s="376"/>
      <c r="C92" s="27">
        <v>211011</v>
      </c>
      <c r="D92" s="20" t="str">
        <f t="shared" ref="D92:D94" si="52">IF(C92="","",_xlfn.XLOOKUP(C92,社員№,派遣先,"",0,-1))</f>
        <v>高雄工業 海南第一</v>
      </c>
      <c r="E92" s="20" t="str">
        <f t="shared" ref="E92:E94" si="53">IF(C92="","",_xlfn.XLOOKUP(C92,社員№,氏名,"",0,-1))</f>
        <v>LUU THANH SON</v>
      </c>
      <c r="F92" s="20" t="str">
        <f t="shared" ref="F92:F94" si="54">IF(C92="","",_xlfn.XLOOKUP(C92,社員№,カナ,"",0,-1))</f>
        <v>リュー　タイン　ソン</v>
      </c>
      <c r="G92" s="12"/>
      <c r="H92" s="12">
        <v>19000</v>
      </c>
      <c r="I92" s="12">
        <v>28500</v>
      </c>
      <c r="J92" s="65"/>
      <c r="K92" s="11">
        <v>19000</v>
      </c>
      <c r="L92" s="11">
        <v>19000</v>
      </c>
      <c r="M92" s="81">
        <v>19000</v>
      </c>
      <c r="N92" s="81">
        <v>28500</v>
      </c>
      <c r="O92" s="81">
        <v>28500</v>
      </c>
      <c r="P92" s="81">
        <v>28500</v>
      </c>
      <c r="Q92" s="81">
        <v>28500</v>
      </c>
      <c r="R92" s="81">
        <v>28500</v>
      </c>
      <c r="S92" s="81">
        <v>28500</v>
      </c>
      <c r="T92" s="81">
        <v>28500</v>
      </c>
      <c r="U92" s="81">
        <v>28500</v>
      </c>
      <c r="V92" s="81">
        <f t="shared" si="50"/>
        <v>22065</v>
      </c>
      <c r="W92" s="81">
        <f>6129+19306+28500</f>
        <v>53935</v>
      </c>
      <c r="X92" s="81">
        <v>0</v>
      </c>
      <c r="Y92" s="413">
        <v>28500</v>
      </c>
      <c r="Z92" s="441">
        <v>28500</v>
      </c>
      <c r="AA92" s="441">
        <v>28500</v>
      </c>
      <c r="AB92" s="441">
        <v>28500</v>
      </c>
      <c r="AC92" s="441">
        <v>28500</v>
      </c>
      <c r="AD92" s="437">
        <v>28500</v>
      </c>
      <c r="AE92" s="437">
        <v>28500</v>
      </c>
      <c r="AF92" s="437">
        <v>28500</v>
      </c>
      <c r="AG92" s="437">
        <v>28500</v>
      </c>
      <c r="AH92" s="437">
        <v>19000</v>
      </c>
      <c r="AI92" s="448">
        <v>28500</v>
      </c>
    </row>
    <row r="93" spans="1:35" hidden="1">
      <c r="A93" s="228">
        <v>45637</v>
      </c>
      <c r="B93" s="375">
        <v>45667</v>
      </c>
      <c r="C93" s="43">
        <v>241217</v>
      </c>
      <c r="D93" s="20" t="str">
        <f t="shared" si="52"/>
        <v>高雄工業 海南第一</v>
      </c>
      <c r="E93" s="20" t="str">
        <f t="shared" si="53"/>
        <v>PHAM BA DAI</v>
      </c>
      <c r="F93" s="20" t="str">
        <f t="shared" si="54"/>
        <v>ファム　バ　ダイ</v>
      </c>
      <c r="G93" s="3"/>
      <c r="H93" s="12">
        <v>19000</v>
      </c>
      <c r="I93" s="3">
        <v>19000</v>
      </c>
      <c r="J93" s="71"/>
      <c r="K93" s="3"/>
      <c r="L93" s="3"/>
      <c r="M93" s="95"/>
      <c r="N93" s="95"/>
      <c r="O93" s="95"/>
      <c r="P93" s="95"/>
      <c r="Q93" s="95"/>
      <c r="R93" s="95"/>
      <c r="S93" s="95"/>
      <c r="T93" s="95"/>
      <c r="U93" s="95"/>
      <c r="V93" s="95">
        <v>12871</v>
      </c>
      <c r="W93" s="95">
        <v>0</v>
      </c>
      <c r="X93" s="95">
        <v>0</v>
      </c>
      <c r="Y93" s="429">
        <v>0</v>
      </c>
      <c r="Z93" s="463">
        <v>0</v>
      </c>
      <c r="AA93" s="463">
        <v>0</v>
      </c>
      <c r="AB93" s="463">
        <v>0</v>
      </c>
      <c r="AD93" s="451">
        <v>28500</v>
      </c>
      <c r="AE93" s="451">
        <v>28500</v>
      </c>
      <c r="AF93" s="451">
        <v>28500</v>
      </c>
    </row>
    <row r="94" spans="1:35">
      <c r="A94" s="145">
        <v>45992</v>
      </c>
      <c r="B94" s="376"/>
      <c r="C94" s="27">
        <v>240306</v>
      </c>
      <c r="D94" s="20" t="str">
        <f t="shared" si="52"/>
        <v>高雄工業 海南第一</v>
      </c>
      <c r="E94" s="20" t="str">
        <f t="shared" si="53"/>
        <v>LE BA PHU</v>
      </c>
      <c r="F94" s="20" t="str">
        <f t="shared" si="54"/>
        <v>レ　バ　フー</v>
      </c>
      <c r="G94" s="11"/>
      <c r="H94" s="12">
        <v>19000</v>
      </c>
      <c r="I94" s="11"/>
      <c r="J94" s="65"/>
      <c r="O94" s="81"/>
      <c r="P94" s="81"/>
      <c r="Q94" s="81"/>
      <c r="R94" s="81"/>
      <c r="S94" s="81"/>
      <c r="T94" s="81"/>
      <c r="U94" s="81"/>
      <c r="V94" s="81"/>
      <c r="W94" s="81"/>
      <c r="X94" s="81"/>
      <c r="Y94" s="413"/>
      <c r="Z94" s="441"/>
      <c r="AA94" s="441"/>
      <c r="AB94" s="441"/>
      <c r="AC94" s="448"/>
      <c r="AD94" s="1"/>
      <c r="AE94" s="1"/>
      <c r="AF94" s="27"/>
      <c r="AG94" s="1"/>
      <c r="AH94" s="508">
        <v>19000</v>
      </c>
      <c r="AI94" s="448">
        <v>28500</v>
      </c>
    </row>
    <row r="95" spans="1:35">
      <c r="A95" s="145">
        <v>46054</v>
      </c>
      <c r="B95" s="376"/>
      <c r="C95" s="27">
        <v>241101</v>
      </c>
      <c r="D95" s="27" t="s">
        <v>1106</v>
      </c>
      <c r="E95" s="27" t="s">
        <v>2227</v>
      </c>
      <c r="F95" s="27" t="s">
        <v>2228</v>
      </c>
      <c r="G95" s="11"/>
      <c r="H95" s="12">
        <v>19000</v>
      </c>
      <c r="I95" s="11"/>
      <c r="J95" s="65"/>
      <c r="O95" s="81"/>
      <c r="P95" s="81"/>
      <c r="Q95" s="81"/>
      <c r="R95" s="81"/>
      <c r="S95" s="81"/>
      <c r="T95" s="81"/>
      <c r="U95" s="81"/>
      <c r="V95" s="81"/>
      <c r="W95" s="81"/>
      <c r="X95" s="81"/>
      <c r="Y95" s="413"/>
      <c r="Z95" s="441"/>
      <c r="AA95" s="441"/>
      <c r="AB95" s="441"/>
      <c r="AC95" s="448"/>
      <c r="AD95" s="1"/>
      <c r="AE95" s="1"/>
      <c r="AF95" s="538"/>
      <c r="AG95" s="544"/>
      <c r="AH95" s="550"/>
      <c r="AI95" s="448">
        <v>0</v>
      </c>
    </row>
    <row r="96" spans="1:35">
      <c r="C96" s="389"/>
      <c r="D96" s="389"/>
      <c r="E96" s="389"/>
      <c r="F96" s="389"/>
      <c r="G96" s="10"/>
      <c r="H96" s="10"/>
      <c r="I96" s="10"/>
      <c r="J96" s="74"/>
      <c r="K96" s="10"/>
      <c r="L96" s="10"/>
      <c r="M96" s="88"/>
      <c r="N96" s="88"/>
      <c r="O96" s="88"/>
      <c r="P96" s="88"/>
      <c r="Q96" s="88"/>
      <c r="R96" s="88"/>
      <c r="S96" s="88"/>
      <c r="T96" s="88"/>
      <c r="U96" s="88"/>
      <c r="V96" s="88"/>
      <c r="W96" s="88"/>
      <c r="X96" s="88"/>
      <c r="Y96" s="410"/>
      <c r="Z96" s="438"/>
      <c r="AA96" s="438"/>
      <c r="AB96" s="438"/>
      <c r="AF96" s="538"/>
      <c r="AG96" s="544"/>
      <c r="AH96" s="550"/>
    </row>
    <row r="97" spans="1:35">
      <c r="A97" s="147"/>
      <c r="C97" s="48"/>
      <c r="D97" s="48"/>
      <c r="E97" s="48" t="s">
        <v>2439</v>
      </c>
      <c r="F97" s="169"/>
      <c r="G97" s="211">
        <v>44000</v>
      </c>
      <c r="H97" s="211">
        <v>47000</v>
      </c>
      <c r="I97" s="211" t="s">
        <v>589</v>
      </c>
      <c r="J97" s="74"/>
      <c r="K97" s="10"/>
      <c r="L97" s="10"/>
      <c r="M97" s="88"/>
      <c r="N97" s="88"/>
      <c r="O97" s="88"/>
      <c r="P97" s="88"/>
      <c r="Q97" s="88"/>
      <c r="R97" s="88"/>
      <c r="S97" s="88"/>
      <c r="T97" s="88"/>
      <c r="U97" s="88"/>
      <c r="V97" s="88"/>
      <c r="W97" s="88"/>
      <c r="X97" s="88"/>
      <c r="Y97" s="410"/>
      <c r="Z97" s="438"/>
      <c r="AA97" s="438"/>
      <c r="AB97" s="438"/>
    </row>
    <row r="98" spans="1:35">
      <c r="A98" s="148" t="s">
        <v>1</v>
      </c>
      <c r="B98" s="377" t="s">
        <v>529</v>
      </c>
      <c r="C98" s="27" t="s">
        <v>2</v>
      </c>
      <c r="D98" s="27" t="s">
        <v>2532</v>
      </c>
      <c r="E98" s="27" t="s">
        <v>2433</v>
      </c>
      <c r="F98" s="165"/>
      <c r="G98" s="22" t="s">
        <v>628</v>
      </c>
      <c r="H98" s="22"/>
      <c r="I98" s="22" t="s">
        <v>3</v>
      </c>
      <c r="J98" s="90"/>
      <c r="K98" s="91"/>
      <c r="L98" s="91"/>
      <c r="M98" s="92"/>
      <c r="N98" s="92"/>
      <c r="O98" s="92"/>
      <c r="P98" s="92"/>
      <c r="Q98" s="92"/>
      <c r="R98" s="92"/>
      <c r="S98" s="92"/>
      <c r="T98" s="92"/>
      <c r="U98" s="92"/>
      <c r="V98" s="92"/>
      <c r="W98" s="92"/>
      <c r="X98" s="92"/>
      <c r="Y98" s="411"/>
      <c r="Z98" s="439"/>
      <c r="AA98" s="439"/>
      <c r="AB98" s="439"/>
    </row>
    <row r="99" spans="1:35">
      <c r="A99" s="145">
        <v>44954</v>
      </c>
      <c r="B99" s="376"/>
      <c r="C99" s="27">
        <v>220121</v>
      </c>
      <c r="D99" s="20" t="str">
        <f t="shared" si="41"/>
        <v>高雄工業 本社</v>
      </c>
      <c r="E99" s="20" t="str">
        <f t="shared" si="42"/>
        <v>NGO VAN HIEP</v>
      </c>
      <c r="F99" s="20" t="str">
        <f t="shared" si="43"/>
        <v>ゴー　ヴァン　ヒエップ</v>
      </c>
      <c r="G99" s="11"/>
      <c r="H99" s="11"/>
      <c r="I99" s="11">
        <v>47000</v>
      </c>
      <c r="J99" s="65"/>
      <c r="K99" s="11">
        <v>47000</v>
      </c>
      <c r="L99" s="11">
        <v>47000</v>
      </c>
      <c r="M99" s="81">
        <v>47000</v>
      </c>
      <c r="N99" s="81">
        <v>47000</v>
      </c>
      <c r="O99" s="130">
        <v>47000</v>
      </c>
      <c r="P99" s="130">
        <v>47000</v>
      </c>
      <c r="Q99" s="130">
        <v>47000</v>
      </c>
      <c r="R99" s="130">
        <v>47000</v>
      </c>
      <c r="S99" s="130">
        <v>47000</v>
      </c>
      <c r="T99" s="130">
        <v>47000</v>
      </c>
      <c r="U99" s="130">
        <v>47000</v>
      </c>
      <c r="V99" s="130">
        <v>47000</v>
      </c>
      <c r="W99" s="130">
        <v>47000</v>
      </c>
      <c r="X99" s="130">
        <v>47000</v>
      </c>
      <c r="Y99" s="408">
        <v>47000</v>
      </c>
      <c r="Z99" s="437">
        <v>47000</v>
      </c>
      <c r="AA99" s="437">
        <v>47000</v>
      </c>
      <c r="AB99" s="437">
        <v>47000</v>
      </c>
      <c r="AC99" s="437">
        <v>47000</v>
      </c>
      <c r="AD99" s="437">
        <v>47000</v>
      </c>
      <c r="AE99" s="437">
        <v>47000</v>
      </c>
      <c r="AF99" s="437">
        <v>47000</v>
      </c>
      <c r="AG99" s="437">
        <v>47000</v>
      </c>
      <c r="AH99" s="437">
        <v>47000</v>
      </c>
      <c r="AI99" s="437">
        <v>47000</v>
      </c>
    </row>
    <row r="100" spans="1:35">
      <c r="A100" s="147"/>
      <c r="F100" s="160"/>
      <c r="G100" s="10"/>
      <c r="H100" s="10"/>
      <c r="I100" s="10"/>
      <c r="J100" s="97"/>
      <c r="K100" s="98"/>
      <c r="L100" s="98"/>
      <c r="M100" s="99"/>
      <c r="N100" s="99"/>
      <c r="O100" s="99"/>
      <c r="P100" s="99"/>
      <c r="Q100" s="99"/>
      <c r="R100" s="99"/>
      <c r="S100" s="99"/>
      <c r="T100" s="99"/>
      <c r="U100" s="99"/>
      <c r="V100" s="99"/>
      <c r="W100" s="99"/>
      <c r="X100" s="99"/>
      <c r="Y100" s="416"/>
      <c r="Z100" s="445"/>
      <c r="AA100" s="445"/>
      <c r="AB100" s="445"/>
    </row>
    <row r="101" spans="1:35">
      <c r="A101" s="147"/>
      <c r="C101" s="36"/>
      <c r="D101" s="36"/>
      <c r="E101" s="36" t="s">
        <v>74</v>
      </c>
      <c r="F101" s="162"/>
      <c r="G101" s="211">
        <v>44000</v>
      </c>
      <c r="H101" s="211">
        <v>44000</v>
      </c>
      <c r="I101" s="211" t="s">
        <v>589</v>
      </c>
      <c r="J101" s="74"/>
      <c r="K101" s="10"/>
      <c r="L101" s="10"/>
      <c r="M101" s="88"/>
      <c r="N101" s="88"/>
      <c r="O101" s="88"/>
      <c r="P101" s="88"/>
      <c r="Q101" s="88"/>
      <c r="R101" s="88"/>
      <c r="S101" s="88"/>
      <c r="T101" s="88"/>
      <c r="U101" s="88"/>
      <c r="V101" s="88"/>
      <c r="W101" s="88"/>
      <c r="X101" s="88"/>
      <c r="Y101" s="410"/>
      <c r="Z101" s="438"/>
      <c r="AA101" s="438"/>
      <c r="AB101" s="438"/>
    </row>
    <row r="102" spans="1:35">
      <c r="A102" s="148" t="s">
        <v>1</v>
      </c>
      <c r="B102" s="377" t="s">
        <v>529</v>
      </c>
      <c r="C102" s="27" t="s">
        <v>2</v>
      </c>
      <c r="D102" s="27" t="s">
        <v>2532</v>
      </c>
      <c r="E102" s="27" t="s">
        <v>2433</v>
      </c>
      <c r="F102" s="165"/>
      <c r="G102" s="22" t="s">
        <v>628</v>
      </c>
      <c r="H102" s="22"/>
      <c r="I102" s="22" t="s">
        <v>3</v>
      </c>
      <c r="J102" s="90"/>
      <c r="K102" s="91"/>
      <c r="L102" s="91"/>
      <c r="M102" s="92"/>
      <c r="N102" s="92"/>
      <c r="O102" s="92"/>
      <c r="P102" s="92"/>
      <c r="Q102" s="92"/>
      <c r="R102" s="92"/>
      <c r="S102" s="92"/>
      <c r="T102" s="92"/>
      <c r="U102" s="92"/>
      <c r="V102" s="92"/>
      <c r="W102" s="92"/>
      <c r="X102" s="92"/>
      <c r="Y102" s="411"/>
      <c r="Z102" s="439"/>
      <c r="AA102" s="439"/>
      <c r="AB102" s="439"/>
    </row>
    <row r="103" spans="1:35">
      <c r="A103" s="148">
        <v>44702</v>
      </c>
      <c r="B103" s="377"/>
      <c r="C103" s="27">
        <v>210712</v>
      </c>
      <c r="D103" s="20" t="str">
        <f t="shared" si="41"/>
        <v>ﾃｨｰｹｰｴﾝｼﾞﾆｱﾘﾝｸﾞ</v>
      </c>
      <c r="E103" s="20" t="str">
        <f t="shared" si="42"/>
        <v xml:space="preserve">TRAN CONG PHUONG </v>
      </c>
      <c r="F103" s="20" t="str">
        <f t="shared" si="43"/>
        <v>チャン　コン　フォン</v>
      </c>
      <c r="G103" s="11"/>
      <c r="H103" s="11"/>
      <c r="I103" s="11">
        <v>44000</v>
      </c>
      <c r="J103" s="65" t="s">
        <v>75</v>
      </c>
      <c r="K103" s="11">
        <v>44000</v>
      </c>
      <c r="L103" s="11">
        <v>44000</v>
      </c>
      <c r="M103" s="81">
        <v>44000</v>
      </c>
      <c r="N103" s="81">
        <v>44000</v>
      </c>
      <c r="O103" s="130">
        <v>44000</v>
      </c>
      <c r="P103" s="130">
        <v>44000</v>
      </c>
      <c r="Q103" s="130">
        <v>44000</v>
      </c>
      <c r="R103" s="130">
        <v>44000</v>
      </c>
      <c r="S103" s="130">
        <v>44000</v>
      </c>
      <c r="T103" s="130">
        <v>44000</v>
      </c>
      <c r="U103" s="130">
        <v>44000</v>
      </c>
      <c r="V103" s="130">
        <v>44000</v>
      </c>
      <c r="W103" s="130">
        <v>44000</v>
      </c>
      <c r="X103" s="130">
        <v>44000</v>
      </c>
      <c r="Y103" s="408">
        <v>44000</v>
      </c>
      <c r="Z103" s="437">
        <v>44000</v>
      </c>
      <c r="AA103" s="437">
        <v>44000</v>
      </c>
      <c r="AB103" s="437">
        <v>44000</v>
      </c>
      <c r="AC103" s="437">
        <v>44000</v>
      </c>
      <c r="AD103" s="437">
        <v>44000</v>
      </c>
      <c r="AE103" s="437">
        <v>44000</v>
      </c>
      <c r="AF103" s="437">
        <v>44000</v>
      </c>
      <c r="AG103" s="437">
        <v>44000</v>
      </c>
      <c r="AH103" s="437">
        <v>44000</v>
      </c>
      <c r="AI103" s="437">
        <v>44000</v>
      </c>
    </row>
    <row r="104" spans="1:35">
      <c r="A104" s="147"/>
      <c r="F104" s="160"/>
      <c r="G104" s="10"/>
      <c r="H104" s="10"/>
      <c r="I104" s="10"/>
      <c r="J104" s="97"/>
      <c r="K104" s="98"/>
      <c r="L104" s="98"/>
      <c r="M104" s="99"/>
      <c r="N104" s="99"/>
      <c r="O104" s="99"/>
      <c r="P104" s="99"/>
      <c r="Q104" s="99"/>
      <c r="R104" s="99"/>
      <c r="S104" s="99"/>
      <c r="T104" s="99"/>
      <c r="U104" s="99"/>
      <c r="V104" s="99"/>
      <c r="W104" s="99"/>
      <c r="X104" s="99"/>
      <c r="Y104" s="416"/>
      <c r="Z104" s="445"/>
      <c r="AA104" s="445"/>
      <c r="AB104" s="445"/>
    </row>
    <row r="105" spans="1:35">
      <c r="A105" s="147"/>
      <c r="F105" s="160"/>
      <c r="G105" s="10"/>
      <c r="H105" s="10"/>
      <c r="I105" s="10"/>
      <c r="J105" s="90"/>
      <c r="K105" s="10"/>
      <c r="L105" s="10"/>
      <c r="M105" s="88"/>
      <c r="N105" s="88"/>
      <c r="O105" s="88"/>
      <c r="P105" s="88"/>
      <c r="Q105" s="88"/>
      <c r="R105" s="88"/>
      <c r="S105" s="88"/>
      <c r="T105" s="88"/>
      <c r="U105" s="88"/>
      <c r="V105" s="88"/>
      <c r="W105" s="88"/>
      <c r="X105" s="88"/>
      <c r="Y105" s="410"/>
      <c r="Z105" s="438"/>
      <c r="AA105" s="438"/>
      <c r="AB105" s="438"/>
    </row>
    <row r="106" spans="1:35">
      <c r="A106" s="147"/>
      <c r="C106" s="36"/>
      <c r="D106" s="36"/>
      <c r="E106" s="36" t="s">
        <v>2440</v>
      </c>
      <c r="F106" s="162"/>
      <c r="G106" s="211">
        <v>44000</v>
      </c>
      <c r="H106" s="211">
        <v>47000</v>
      </c>
      <c r="I106" s="211" t="s">
        <v>589</v>
      </c>
      <c r="K106" s="10"/>
      <c r="L106" s="10"/>
      <c r="M106" s="88"/>
      <c r="N106" s="88"/>
      <c r="O106" s="88"/>
      <c r="P106" s="88"/>
      <c r="Q106" s="88"/>
      <c r="R106" s="88"/>
      <c r="S106" s="88"/>
      <c r="T106" s="88"/>
      <c r="U106" s="88"/>
      <c r="V106" s="88"/>
      <c r="W106" s="88"/>
      <c r="X106" s="88"/>
      <c r="Y106" s="410"/>
      <c r="Z106" s="438"/>
      <c r="AA106" s="438"/>
      <c r="AB106" s="438"/>
    </row>
    <row r="107" spans="1:35">
      <c r="A107" s="148" t="s">
        <v>1</v>
      </c>
      <c r="B107" s="377" t="s">
        <v>529</v>
      </c>
      <c r="C107" s="27" t="s">
        <v>2</v>
      </c>
      <c r="D107" s="27" t="s">
        <v>2532</v>
      </c>
      <c r="E107" s="27" t="s">
        <v>2433</v>
      </c>
      <c r="F107" s="170"/>
      <c r="G107" s="11" t="s">
        <v>628</v>
      </c>
      <c r="H107" s="11"/>
      <c r="I107" s="11" t="s">
        <v>12</v>
      </c>
      <c r="J107" s="69" t="s">
        <v>143</v>
      </c>
      <c r="K107" s="91"/>
      <c r="L107" s="91"/>
      <c r="M107" s="92"/>
      <c r="N107" s="92"/>
      <c r="O107" s="92"/>
      <c r="P107" s="92"/>
      <c r="Q107" s="92"/>
      <c r="R107" s="92"/>
      <c r="S107" s="92"/>
      <c r="T107" s="92"/>
      <c r="U107" s="92"/>
      <c r="V107" s="92"/>
      <c r="W107" s="92"/>
      <c r="X107" s="92"/>
      <c r="Y107" s="411"/>
      <c r="Z107" s="439"/>
      <c r="AA107" s="439"/>
      <c r="AB107" s="439"/>
    </row>
    <row r="108" spans="1:35">
      <c r="A108" s="148">
        <v>44593</v>
      </c>
      <c r="B108" s="377"/>
      <c r="C108" s="27">
        <v>211010</v>
      </c>
      <c r="D108" s="20" t="str">
        <f t="shared" si="41"/>
        <v>高雄工業 海南第一</v>
      </c>
      <c r="E108" s="20" t="str">
        <f t="shared" si="42"/>
        <v>HIRATA AISAWA ALEXANDRE HIROSHI</v>
      </c>
      <c r="F108" s="20" t="str">
        <f t="shared" si="43"/>
        <v>ヒラタ　アイザワ　アレキサンドレ　ヒロシ</v>
      </c>
      <c r="G108" s="15"/>
      <c r="H108" s="15"/>
      <c r="I108" s="15">
        <v>47000</v>
      </c>
      <c r="J108" s="65">
        <v>23500</v>
      </c>
      <c r="K108" s="11">
        <v>23500</v>
      </c>
      <c r="L108" s="11">
        <v>23500</v>
      </c>
      <c r="M108" s="81">
        <v>23500</v>
      </c>
      <c r="N108" s="81">
        <v>23500</v>
      </c>
      <c r="O108" s="130">
        <v>23500</v>
      </c>
      <c r="P108" s="130">
        <v>23500</v>
      </c>
      <c r="Q108" s="130">
        <v>23500</v>
      </c>
      <c r="R108" s="130">
        <v>23500</v>
      </c>
      <c r="S108" s="130">
        <v>23500</v>
      </c>
      <c r="T108" s="130">
        <v>23500</v>
      </c>
      <c r="U108" s="130">
        <v>23500</v>
      </c>
      <c r="V108" s="130">
        <v>23500</v>
      </c>
      <c r="W108" s="130">
        <v>23500</v>
      </c>
      <c r="X108" s="130">
        <v>23500</v>
      </c>
      <c r="Y108" s="408">
        <v>23500</v>
      </c>
      <c r="Z108" s="437">
        <v>23500</v>
      </c>
      <c r="AA108" s="437">
        <v>23500</v>
      </c>
      <c r="AB108" s="437">
        <v>23500</v>
      </c>
      <c r="AC108" s="437">
        <v>23500</v>
      </c>
      <c r="AD108" s="437">
        <v>23500</v>
      </c>
      <c r="AE108" s="437">
        <v>23500</v>
      </c>
      <c r="AF108" s="437">
        <v>23500</v>
      </c>
      <c r="AG108" s="437">
        <v>23500</v>
      </c>
      <c r="AH108" s="437">
        <v>23500</v>
      </c>
      <c r="AI108" s="437">
        <v>23500</v>
      </c>
    </row>
    <row r="109" spans="1:35">
      <c r="A109" s="145">
        <v>45232</v>
      </c>
      <c r="B109" s="376"/>
      <c r="C109" s="27">
        <v>231108</v>
      </c>
      <c r="D109" s="20" t="str">
        <f t="shared" ref="D109" si="55">IF(C109="","",_xlfn.XLOOKUP(C109,社員№,派遣先,"",0,-1))</f>
        <v>高雄工業 海南第一</v>
      </c>
      <c r="E109" s="20" t="str">
        <f t="shared" ref="E109" si="56">IF(C109="","",_xlfn.XLOOKUP(C109,社員№,氏名,"",0,-1))</f>
        <v>HIRATA AIZAWA RODRIGO HIROSHI</v>
      </c>
      <c r="F109" s="20" t="str">
        <f t="shared" ref="F109" si="57">IF(C109="","",_xlfn.XLOOKUP(C109,社員№,カナ,"",0,-1))</f>
        <v>ヒラタ　ロドリゴ　ヒロシ</v>
      </c>
      <c r="G109" s="15"/>
      <c r="H109" s="15"/>
      <c r="I109" s="15"/>
      <c r="J109" s="65">
        <v>23500</v>
      </c>
      <c r="K109" s="11">
        <v>23500</v>
      </c>
      <c r="L109" s="11">
        <v>23500</v>
      </c>
      <c r="M109" s="81">
        <v>23500</v>
      </c>
      <c r="N109" s="81">
        <v>23500</v>
      </c>
      <c r="O109" s="130">
        <v>23500</v>
      </c>
      <c r="P109" s="130">
        <v>23500</v>
      </c>
      <c r="Q109" s="130">
        <v>23500</v>
      </c>
      <c r="R109" s="130">
        <v>23500</v>
      </c>
      <c r="S109" s="130">
        <v>23500</v>
      </c>
      <c r="T109" s="130">
        <v>23500</v>
      </c>
      <c r="U109" s="130">
        <v>23500</v>
      </c>
      <c r="V109" s="130">
        <v>23500</v>
      </c>
      <c r="W109" s="130">
        <v>23500</v>
      </c>
      <c r="X109" s="130">
        <v>23500</v>
      </c>
      <c r="Y109" s="408">
        <v>23500</v>
      </c>
      <c r="Z109" s="437">
        <v>23500</v>
      </c>
      <c r="AA109" s="437">
        <v>23500</v>
      </c>
      <c r="AB109" s="437">
        <v>23500</v>
      </c>
      <c r="AC109" s="437">
        <v>23500</v>
      </c>
      <c r="AD109" s="437">
        <v>23500</v>
      </c>
      <c r="AE109" s="437">
        <v>23500</v>
      </c>
      <c r="AF109" s="437">
        <v>23500</v>
      </c>
      <c r="AG109" s="437">
        <v>23500</v>
      </c>
      <c r="AH109" s="437">
        <v>23500</v>
      </c>
      <c r="AI109" s="437">
        <v>23500</v>
      </c>
    </row>
    <row r="110" spans="1:35">
      <c r="A110" s="147"/>
      <c r="F110" s="160"/>
      <c r="G110" s="8"/>
      <c r="H110" s="8"/>
      <c r="I110" s="8"/>
      <c r="J110" s="74"/>
      <c r="K110" s="10"/>
      <c r="L110" s="10"/>
      <c r="M110" s="88"/>
      <c r="N110" s="88"/>
      <c r="O110" s="88"/>
      <c r="P110" s="88"/>
      <c r="Q110" s="88"/>
      <c r="R110" s="88"/>
      <c r="S110" s="88"/>
      <c r="T110" s="88"/>
      <c r="U110" s="88"/>
      <c r="V110" s="88"/>
      <c r="W110" s="88"/>
      <c r="X110" s="88"/>
      <c r="Y110" s="410"/>
      <c r="Z110" s="438"/>
      <c r="AA110" s="438"/>
      <c r="AB110" s="438"/>
    </row>
    <row r="111" spans="1:35">
      <c r="A111" s="147"/>
      <c r="C111" s="36"/>
      <c r="D111" s="36"/>
      <c r="E111" s="36" t="s">
        <v>2441</v>
      </c>
      <c r="F111" s="162"/>
      <c r="G111" s="211">
        <v>46000</v>
      </c>
      <c r="H111" s="211">
        <v>51000</v>
      </c>
      <c r="I111" s="211" t="s">
        <v>584</v>
      </c>
      <c r="J111" s="74"/>
      <c r="K111" s="10"/>
      <c r="L111" s="10"/>
      <c r="M111" s="88"/>
      <c r="N111" s="88"/>
      <c r="O111" s="88"/>
      <c r="P111" s="88"/>
      <c r="Q111" s="88"/>
      <c r="R111" s="88"/>
      <c r="S111" s="88"/>
      <c r="T111" s="88"/>
      <c r="U111" s="88"/>
      <c r="V111" s="88"/>
      <c r="W111" s="88"/>
      <c r="X111" s="88"/>
      <c r="Y111" s="410"/>
      <c r="Z111" s="438"/>
      <c r="AA111" s="438"/>
      <c r="AB111" s="438"/>
    </row>
    <row r="112" spans="1:35">
      <c r="A112" s="148" t="s">
        <v>1</v>
      </c>
      <c r="B112" s="377" t="s">
        <v>529</v>
      </c>
      <c r="C112" s="27" t="s">
        <v>2</v>
      </c>
      <c r="D112" s="27" t="s">
        <v>2532</v>
      </c>
      <c r="E112" s="27" t="s">
        <v>2433</v>
      </c>
      <c r="F112" s="165"/>
      <c r="G112" s="22" t="s">
        <v>628</v>
      </c>
      <c r="H112" s="22"/>
      <c r="I112" s="22" t="s">
        <v>3</v>
      </c>
      <c r="J112" s="90"/>
      <c r="K112" s="91"/>
      <c r="L112" s="91"/>
      <c r="M112" s="92"/>
      <c r="N112" s="92"/>
      <c r="O112" s="92"/>
      <c r="P112" s="92"/>
      <c r="Q112" s="92"/>
      <c r="R112" s="92"/>
      <c r="S112" s="92"/>
      <c r="T112" s="92"/>
      <c r="U112" s="92"/>
      <c r="V112" s="92"/>
      <c r="W112" s="92"/>
      <c r="X112" s="92"/>
      <c r="Y112" s="411"/>
      <c r="Z112" s="439"/>
      <c r="AA112" s="439"/>
      <c r="AB112" s="439"/>
    </row>
    <row r="113" spans="1:35">
      <c r="A113" s="148">
        <v>44492</v>
      </c>
      <c r="B113" s="377"/>
      <c r="C113" s="27">
        <v>211020</v>
      </c>
      <c r="D113" s="20" t="str">
        <f t="shared" si="41"/>
        <v>高雄工業 海南第一</v>
      </c>
      <c r="E113" s="20" t="str">
        <f t="shared" si="42"/>
        <v>LE SY THINH</v>
      </c>
      <c r="F113" s="20" t="str">
        <f t="shared" si="43"/>
        <v>レー　シー　ティン</v>
      </c>
      <c r="G113" s="11"/>
      <c r="H113" s="11"/>
      <c r="I113" s="11">
        <v>25500</v>
      </c>
      <c r="J113" s="65" t="s">
        <v>21</v>
      </c>
      <c r="K113" s="11">
        <v>25500</v>
      </c>
      <c r="L113" s="11">
        <v>25500</v>
      </c>
      <c r="M113" s="81">
        <v>25500</v>
      </c>
      <c r="N113" s="81">
        <v>25500</v>
      </c>
      <c r="O113" s="130">
        <v>25500</v>
      </c>
      <c r="P113" s="130">
        <v>25500</v>
      </c>
      <c r="Q113" s="130">
        <v>25500</v>
      </c>
      <c r="R113" s="130">
        <v>25500</v>
      </c>
      <c r="S113" s="130">
        <v>25500</v>
      </c>
      <c r="T113" s="130">
        <v>25500</v>
      </c>
      <c r="U113" s="130">
        <v>25500</v>
      </c>
      <c r="V113" s="130">
        <v>25500</v>
      </c>
      <c r="W113" s="130">
        <v>25500</v>
      </c>
      <c r="X113" s="130">
        <v>25500</v>
      </c>
      <c r="Y113" s="408">
        <v>25500</v>
      </c>
      <c r="Z113" s="437">
        <v>25500</v>
      </c>
      <c r="AA113" s="437">
        <v>25500</v>
      </c>
      <c r="AB113" s="437">
        <v>25500</v>
      </c>
      <c r="AC113" s="437">
        <v>25500</v>
      </c>
      <c r="AD113" s="437">
        <v>25500</v>
      </c>
      <c r="AE113" s="437">
        <v>25500</v>
      </c>
      <c r="AF113" s="437">
        <v>25500</v>
      </c>
      <c r="AG113" s="437">
        <v>25500</v>
      </c>
      <c r="AH113" s="437">
        <v>25500</v>
      </c>
      <c r="AI113" s="437">
        <v>25500</v>
      </c>
    </row>
    <row r="114" spans="1:35">
      <c r="A114" s="148">
        <v>45490</v>
      </c>
      <c r="B114" s="377"/>
      <c r="C114" s="27">
        <v>240712</v>
      </c>
      <c r="D114" s="20" t="str">
        <f t="shared" ref="D114" si="58">IF(C114="","",_xlfn.XLOOKUP(C114,社員№,派遣先,"",0,-1))</f>
        <v>高雄工業 海南第一</v>
      </c>
      <c r="E114" s="20" t="str">
        <f t="shared" ref="E114" si="59">IF(C114="","",_xlfn.XLOOKUP(C114,社員№,氏名,"",0,-1))</f>
        <v>VUONG CONG MINH</v>
      </c>
      <c r="F114" s="20" t="str">
        <f t="shared" ref="F114" si="60">IF(C114="","",_xlfn.XLOOKUP(C114,社員№,カナ,"",0,-1))</f>
        <v>ヴォン　コン　ミン</v>
      </c>
      <c r="G114" s="11"/>
      <c r="H114" s="11"/>
      <c r="I114" s="11">
        <v>25500</v>
      </c>
      <c r="J114" s="65"/>
      <c r="K114" s="11">
        <v>25500</v>
      </c>
      <c r="L114" s="11">
        <v>25500</v>
      </c>
      <c r="M114" s="81">
        <v>25500</v>
      </c>
      <c r="Q114" s="157">
        <v>12339</v>
      </c>
      <c r="R114" s="130">
        <f>12339+25500</f>
        <v>37839</v>
      </c>
      <c r="S114" s="130">
        <v>25500</v>
      </c>
      <c r="T114" s="130">
        <v>25500</v>
      </c>
      <c r="U114" s="130">
        <v>25500</v>
      </c>
      <c r="V114" s="130">
        <v>25500</v>
      </c>
      <c r="W114" s="130">
        <v>25500</v>
      </c>
      <c r="X114" s="130">
        <v>25500</v>
      </c>
      <c r="Y114" s="408">
        <v>25500</v>
      </c>
      <c r="Z114" s="437">
        <v>25500</v>
      </c>
      <c r="AA114" s="437">
        <v>25500</v>
      </c>
      <c r="AB114" s="437">
        <v>25500</v>
      </c>
      <c r="AC114" s="437">
        <v>25500</v>
      </c>
      <c r="AD114" s="437">
        <v>25500</v>
      </c>
      <c r="AE114" s="437">
        <v>25500</v>
      </c>
      <c r="AF114" s="437">
        <v>25500</v>
      </c>
      <c r="AG114" s="437">
        <v>25500</v>
      </c>
      <c r="AH114" s="437">
        <v>25500</v>
      </c>
      <c r="AI114" s="437">
        <v>25500</v>
      </c>
    </row>
    <row r="115" spans="1:35">
      <c r="A115" s="147"/>
      <c r="F115" s="160"/>
      <c r="J115" s="74"/>
      <c r="K115" s="10"/>
      <c r="L115" s="10"/>
      <c r="M115" s="88"/>
      <c r="N115" s="88"/>
      <c r="O115" s="88"/>
      <c r="P115" s="88"/>
      <c r="Q115" s="88"/>
      <c r="R115" s="88"/>
      <c r="S115" s="88"/>
      <c r="T115" s="88"/>
      <c r="U115" s="88"/>
      <c r="V115" s="88"/>
      <c r="W115" s="88"/>
      <c r="X115" s="88"/>
      <c r="Y115" s="410"/>
      <c r="Z115" s="438"/>
      <c r="AA115" s="438"/>
      <c r="AB115" s="438"/>
    </row>
    <row r="116" spans="1:35">
      <c r="A116" s="147"/>
      <c r="C116" s="42"/>
      <c r="D116" s="42"/>
      <c r="E116" s="42" t="s">
        <v>2442</v>
      </c>
      <c r="F116" s="168"/>
      <c r="G116" s="19">
        <v>55120</v>
      </c>
      <c r="H116" s="19">
        <v>55120</v>
      </c>
      <c r="I116" s="210" t="s">
        <v>584</v>
      </c>
      <c r="J116" s="210" t="s">
        <v>631</v>
      </c>
      <c r="K116" s="10"/>
      <c r="L116" s="10"/>
      <c r="M116" s="88"/>
      <c r="N116" s="88"/>
      <c r="O116" s="88"/>
      <c r="P116" s="88"/>
      <c r="Q116" s="88"/>
      <c r="R116" s="88"/>
      <c r="S116" s="88"/>
      <c r="T116" s="88"/>
      <c r="U116" s="88"/>
      <c r="V116" s="88"/>
      <c r="W116" s="88"/>
      <c r="X116" s="88"/>
      <c r="Y116" s="410"/>
      <c r="Z116" s="438"/>
      <c r="AA116" s="438"/>
      <c r="AB116" s="438"/>
    </row>
    <row r="117" spans="1:35">
      <c r="A117" s="148" t="s">
        <v>1</v>
      </c>
      <c r="B117" s="377" t="s">
        <v>529</v>
      </c>
      <c r="C117" s="27" t="s">
        <v>2</v>
      </c>
      <c r="D117" s="27" t="s">
        <v>2532</v>
      </c>
      <c r="E117" s="27" t="s">
        <v>2433</v>
      </c>
      <c r="F117" s="165"/>
      <c r="G117" s="22" t="s">
        <v>628</v>
      </c>
      <c r="H117" s="22"/>
      <c r="I117" s="22" t="s">
        <v>3</v>
      </c>
      <c r="J117" s="220" t="s">
        <v>534</v>
      </c>
      <c r="K117" s="91"/>
      <c r="L117" s="91"/>
      <c r="M117" s="92"/>
      <c r="N117" s="92"/>
      <c r="O117" s="92"/>
      <c r="P117" s="92"/>
      <c r="Q117" s="92"/>
      <c r="R117" s="92"/>
      <c r="S117" s="92"/>
      <c r="T117" s="92"/>
      <c r="U117" s="92"/>
      <c r="V117" s="92"/>
      <c r="W117" s="92"/>
      <c r="X117" s="92"/>
      <c r="Y117" s="411"/>
      <c r="Z117" s="439"/>
      <c r="AA117" s="439"/>
      <c r="AB117" s="439"/>
    </row>
    <row r="118" spans="1:35">
      <c r="A118" s="145">
        <v>45347</v>
      </c>
      <c r="B118" s="376"/>
      <c r="C118" s="27">
        <v>201001</v>
      </c>
      <c r="D118" s="20" t="str">
        <f t="shared" si="41"/>
        <v>ﾃｨｰｹｰｴﾝｼﾞﾆｱﾘﾝｸﾞ</v>
      </c>
      <c r="E118" s="20" t="str">
        <f t="shared" si="42"/>
        <v>PHAM BA BACH</v>
      </c>
      <c r="F118" s="20" t="str">
        <f t="shared" si="43"/>
        <v>ファン　バ　バック</v>
      </c>
      <c r="G118" s="11"/>
      <c r="H118" s="11"/>
      <c r="I118" s="11">
        <v>55120</v>
      </c>
      <c r="J118" s="65" t="s">
        <v>121</v>
      </c>
      <c r="K118" s="11">
        <v>53000</v>
      </c>
      <c r="L118" s="11">
        <v>53000</v>
      </c>
      <c r="M118" s="81">
        <v>53000</v>
      </c>
      <c r="N118" s="87"/>
      <c r="O118" s="134">
        <f>55120*2</f>
        <v>110240</v>
      </c>
      <c r="P118" s="134">
        <v>55120</v>
      </c>
      <c r="Q118" s="134">
        <v>55120</v>
      </c>
      <c r="R118" s="134">
        <v>55120</v>
      </c>
      <c r="S118" s="134">
        <v>55120</v>
      </c>
      <c r="T118" s="134">
        <v>55120</v>
      </c>
      <c r="U118" s="134">
        <v>55120</v>
      </c>
      <c r="V118" s="134">
        <v>55120</v>
      </c>
      <c r="W118" s="134">
        <v>55120</v>
      </c>
      <c r="X118" s="134">
        <v>55120</v>
      </c>
      <c r="Y118" s="417">
        <v>55120</v>
      </c>
      <c r="Z118" s="447">
        <v>55120</v>
      </c>
      <c r="AA118" s="447">
        <v>55120</v>
      </c>
      <c r="AB118" s="447">
        <v>55120</v>
      </c>
      <c r="AC118" s="446">
        <v>55120</v>
      </c>
      <c r="AD118" s="446">
        <v>55120</v>
      </c>
      <c r="AE118" s="444">
        <v>55120</v>
      </c>
      <c r="AF118" s="444">
        <v>55120</v>
      </c>
      <c r="AG118" s="444">
        <v>55120</v>
      </c>
      <c r="AH118" s="444">
        <v>55120</v>
      </c>
      <c r="AI118" s="444">
        <v>55120</v>
      </c>
    </row>
    <row r="119" spans="1:35">
      <c r="A119" s="147"/>
      <c r="F119" s="160"/>
      <c r="J119" s="74"/>
      <c r="K119" s="10"/>
      <c r="L119" s="10"/>
      <c r="M119" s="88"/>
      <c r="N119" s="88"/>
      <c r="O119" s="88"/>
      <c r="P119" s="88"/>
      <c r="Q119" s="88"/>
      <c r="R119" s="88"/>
      <c r="S119" s="88"/>
      <c r="T119" s="88"/>
      <c r="U119" s="88"/>
      <c r="V119" s="88"/>
      <c r="W119" s="88"/>
      <c r="X119" s="88"/>
      <c r="Y119" s="410"/>
      <c r="Z119" s="438"/>
      <c r="AA119" s="438"/>
      <c r="AB119" s="438"/>
    </row>
    <row r="120" spans="1:35">
      <c r="A120" s="147"/>
      <c r="C120" s="42"/>
      <c r="D120" s="42"/>
      <c r="E120" s="42" t="s">
        <v>2443</v>
      </c>
      <c r="F120" s="168"/>
      <c r="G120" s="210">
        <v>52720</v>
      </c>
      <c r="H120" s="210">
        <v>53000</v>
      </c>
      <c r="I120" s="210" t="s">
        <v>584</v>
      </c>
      <c r="J120" s="74"/>
      <c r="K120" s="10"/>
      <c r="L120" s="10"/>
      <c r="M120" s="88"/>
      <c r="N120" s="88"/>
      <c r="O120" s="88"/>
      <c r="P120" s="88"/>
      <c r="Q120" s="88"/>
      <c r="R120" s="88"/>
      <c r="S120" s="88"/>
      <c r="T120" s="88"/>
      <c r="U120" s="88"/>
      <c r="V120" s="88"/>
      <c r="W120" s="88"/>
      <c r="X120" s="88"/>
      <c r="Y120" s="410"/>
      <c r="Z120" s="438"/>
      <c r="AA120" s="438"/>
      <c r="AB120" s="438"/>
    </row>
    <row r="121" spans="1:35">
      <c r="A121" s="148" t="s">
        <v>1</v>
      </c>
      <c r="B121" s="377" t="s">
        <v>529</v>
      </c>
      <c r="C121" s="27" t="s">
        <v>2</v>
      </c>
      <c r="D121" s="27" t="s">
        <v>2532</v>
      </c>
      <c r="E121" s="27" t="s">
        <v>2433</v>
      </c>
      <c r="F121" s="165"/>
      <c r="G121" s="22" t="s">
        <v>628</v>
      </c>
      <c r="H121" s="22"/>
      <c r="I121" s="22" t="s">
        <v>3</v>
      </c>
      <c r="J121" s="90"/>
      <c r="K121" s="91"/>
      <c r="L121" s="91"/>
      <c r="M121" s="92"/>
      <c r="N121" s="92"/>
      <c r="O121" s="92"/>
      <c r="P121" s="92"/>
      <c r="Q121" s="92"/>
      <c r="R121" s="92"/>
      <c r="S121" s="92"/>
      <c r="T121" s="92"/>
      <c r="U121" s="92"/>
      <c r="V121" s="92"/>
      <c r="W121" s="92"/>
      <c r="X121" s="92"/>
      <c r="Y121" s="411"/>
      <c r="Z121" s="439"/>
      <c r="AA121" s="439"/>
      <c r="AB121" s="439"/>
    </row>
    <row r="122" spans="1:35">
      <c r="A122" s="145">
        <v>45291</v>
      </c>
      <c r="B122" s="376"/>
      <c r="C122" s="27">
        <v>210110</v>
      </c>
      <c r="D122" s="20" t="str">
        <f t="shared" si="41"/>
        <v>高雄工業 海南第一</v>
      </c>
      <c r="E122" s="20" t="str">
        <f t="shared" si="42"/>
        <v>PHAM NGOC LAM</v>
      </c>
      <c r="F122" s="20" t="str">
        <f t="shared" si="43"/>
        <v>ファム　ゴック　ラム</v>
      </c>
      <c r="G122" s="11"/>
      <c r="H122" s="11"/>
      <c r="I122" s="11">
        <v>53000</v>
      </c>
      <c r="J122" s="65" t="s">
        <v>121</v>
      </c>
      <c r="K122" s="11">
        <v>53000</v>
      </c>
      <c r="L122" s="11">
        <v>53000</v>
      </c>
      <c r="M122" s="81">
        <v>53000</v>
      </c>
      <c r="N122" s="87">
        <v>53000</v>
      </c>
      <c r="O122" s="132">
        <v>53000</v>
      </c>
      <c r="P122" s="132">
        <v>53000</v>
      </c>
      <c r="Q122" s="132">
        <v>53000</v>
      </c>
      <c r="R122" s="132">
        <v>53000</v>
      </c>
      <c r="S122" s="132">
        <v>53000</v>
      </c>
      <c r="T122" s="132">
        <v>53000</v>
      </c>
      <c r="U122" s="132">
        <v>53000</v>
      </c>
      <c r="V122" s="132">
        <v>53000</v>
      </c>
      <c r="W122" s="132">
        <v>53000</v>
      </c>
      <c r="X122" s="132">
        <v>53000</v>
      </c>
      <c r="Y122" s="412">
        <v>53000</v>
      </c>
      <c r="Z122" s="440">
        <v>53000</v>
      </c>
      <c r="AA122" s="440">
        <v>53000</v>
      </c>
      <c r="AB122" s="440">
        <v>53000</v>
      </c>
      <c r="AC122" s="441">
        <v>53000</v>
      </c>
      <c r="AD122" s="441">
        <v>0</v>
      </c>
      <c r="AE122" s="532">
        <v>106000</v>
      </c>
      <c r="AF122" s="522">
        <v>53000</v>
      </c>
      <c r="AG122" s="522">
        <v>53000</v>
      </c>
      <c r="AH122" s="508">
        <v>53000</v>
      </c>
      <c r="AI122" s="508">
        <v>53000</v>
      </c>
    </row>
    <row r="123" spans="1:35">
      <c r="A123" s="147"/>
      <c r="F123" s="160"/>
      <c r="J123" s="74"/>
      <c r="K123" s="10"/>
      <c r="L123" s="10"/>
      <c r="M123" s="88"/>
      <c r="N123" s="88"/>
      <c r="O123" s="88"/>
      <c r="P123" s="88"/>
      <c r="Q123" s="88"/>
      <c r="R123" s="88"/>
      <c r="S123" s="88"/>
      <c r="T123" s="88"/>
      <c r="U123" s="88"/>
      <c r="V123" s="88"/>
      <c r="W123" s="88"/>
      <c r="X123" s="88"/>
      <c r="Y123" s="410"/>
      <c r="Z123" s="438"/>
      <c r="AA123" s="438"/>
      <c r="AB123" s="438"/>
    </row>
    <row r="124" spans="1:35">
      <c r="A124" s="147"/>
      <c r="C124" s="48"/>
      <c r="D124" s="48"/>
      <c r="E124" s="48" t="s">
        <v>2444</v>
      </c>
      <c r="F124" s="169"/>
      <c r="G124" s="210">
        <v>50600</v>
      </c>
      <c r="H124" s="210">
        <v>55000</v>
      </c>
      <c r="I124" s="210" t="s">
        <v>584</v>
      </c>
      <c r="J124" s="74" t="s">
        <v>998</v>
      </c>
      <c r="K124" s="10"/>
      <c r="L124" s="10"/>
      <c r="M124" s="88"/>
      <c r="N124" s="88"/>
      <c r="O124" s="88"/>
      <c r="P124" s="88"/>
      <c r="Q124" s="88"/>
      <c r="R124" s="88"/>
      <c r="S124" s="88"/>
      <c r="T124" s="88"/>
      <c r="U124" s="88"/>
      <c r="V124" s="88"/>
      <c r="W124" s="88"/>
      <c r="X124" s="88"/>
      <c r="Y124" s="410"/>
      <c r="Z124" s="438"/>
      <c r="AA124" s="438"/>
      <c r="AB124" s="438"/>
    </row>
    <row r="125" spans="1:35">
      <c r="A125" s="148" t="s">
        <v>1</v>
      </c>
      <c r="B125" s="377" t="s">
        <v>529</v>
      </c>
      <c r="C125" s="27" t="s">
        <v>2</v>
      </c>
      <c r="D125" s="27" t="s">
        <v>2532</v>
      </c>
      <c r="E125" s="27" t="s">
        <v>2433</v>
      </c>
      <c r="F125" s="165"/>
      <c r="G125" s="22" t="s">
        <v>628</v>
      </c>
      <c r="H125" s="22"/>
      <c r="I125" s="22" t="s">
        <v>3</v>
      </c>
      <c r="J125" s="90"/>
      <c r="K125" s="91"/>
      <c r="L125" s="91"/>
      <c r="M125" s="92"/>
      <c r="N125" s="92"/>
      <c r="O125" s="92"/>
      <c r="P125" s="92"/>
      <c r="Q125" s="92"/>
      <c r="R125" s="92"/>
      <c r="S125" s="92"/>
      <c r="T125" s="92"/>
      <c r="U125" s="92"/>
      <c r="V125" s="92"/>
      <c r="W125" s="92"/>
      <c r="X125" s="92"/>
      <c r="Y125" s="411"/>
      <c r="Z125" s="439"/>
      <c r="AA125" s="439"/>
      <c r="AB125" s="439"/>
    </row>
    <row r="126" spans="1:35">
      <c r="A126" s="145">
        <v>44869</v>
      </c>
      <c r="B126" s="376">
        <v>45991</v>
      </c>
      <c r="C126" s="27">
        <v>221102</v>
      </c>
      <c r="D126" s="20" t="str">
        <f t="shared" si="41"/>
        <v>高雄工業 本社</v>
      </c>
      <c r="E126" s="20" t="str">
        <f t="shared" si="42"/>
        <v>NGUYEN QUOC DAT</v>
      </c>
      <c r="F126" s="20" t="str">
        <f t="shared" si="43"/>
        <v>グエン　クオック　ダット</v>
      </c>
      <c r="G126" s="12"/>
      <c r="H126" s="12"/>
      <c r="I126" s="12">
        <v>27500</v>
      </c>
      <c r="J126" s="65"/>
      <c r="K126" s="11">
        <v>27500</v>
      </c>
      <c r="L126" s="11">
        <v>27500</v>
      </c>
      <c r="M126" s="81">
        <v>27500</v>
      </c>
      <c r="N126" s="81">
        <v>27500</v>
      </c>
      <c r="O126" s="81">
        <v>27500</v>
      </c>
      <c r="P126" s="81">
        <v>27500</v>
      </c>
      <c r="Q126" s="81">
        <v>27500</v>
      </c>
      <c r="R126" s="81">
        <v>27500</v>
      </c>
      <c r="S126" s="81">
        <v>27500</v>
      </c>
      <c r="T126" s="81">
        <v>27500</v>
      </c>
      <c r="U126" s="81">
        <v>27500</v>
      </c>
      <c r="V126" s="81">
        <v>27500</v>
      </c>
      <c r="W126" s="81">
        <v>27500</v>
      </c>
      <c r="X126" s="81">
        <v>27500</v>
      </c>
      <c r="Y126" s="413">
        <v>27500</v>
      </c>
      <c r="Z126" s="441">
        <v>27500</v>
      </c>
      <c r="AA126" s="441">
        <v>27500</v>
      </c>
      <c r="AB126" s="441">
        <v>27500</v>
      </c>
      <c r="AC126" s="441">
        <v>27500</v>
      </c>
      <c r="AD126" s="441">
        <v>27500</v>
      </c>
      <c r="AE126" s="437">
        <v>27500</v>
      </c>
      <c r="AF126" s="437">
        <v>27500</v>
      </c>
      <c r="AG126" s="493">
        <v>47500</v>
      </c>
      <c r="AH126" s="493">
        <v>0</v>
      </c>
    </row>
    <row r="127" spans="1:35">
      <c r="A127" s="145">
        <v>45805</v>
      </c>
      <c r="B127" s="376"/>
      <c r="C127" s="27">
        <v>250603</v>
      </c>
      <c r="D127" s="20" t="str">
        <f t="shared" ref="D127:D128" si="61">IF(C127="","",_xlfn.XLOOKUP(C127,社員№,派遣先,"",0,-1))</f>
        <v>高雄工業 本社</v>
      </c>
      <c r="E127" s="20" t="str">
        <f t="shared" ref="E127:E128" si="62">IF(C127="","",_xlfn.XLOOKUP(C127,社員№,氏名,"",0,-1))</f>
        <v>LE DINH DONG</v>
      </c>
      <c r="F127" s="20" t="str">
        <f t="shared" ref="F127:F128" si="63">IF(C127="","",_xlfn.XLOOKUP(C127,社員№,カナ,"",0,-1))</f>
        <v>レ　ディン　ドン</v>
      </c>
      <c r="G127" s="12"/>
      <c r="H127" s="12"/>
      <c r="I127" s="12">
        <v>27500</v>
      </c>
      <c r="J127" s="65"/>
      <c r="K127" s="4"/>
      <c r="O127" s="81"/>
      <c r="P127" s="81"/>
      <c r="Q127" s="81"/>
      <c r="R127" s="81"/>
      <c r="S127" s="81"/>
      <c r="T127" s="81"/>
      <c r="U127" s="81"/>
      <c r="V127" s="81"/>
      <c r="W127" s="81"/>
      <c r="X127" s="81"/>
      <c r="Y127" s="413"/>
      <c r="Z127" s="441"/>
      <c r="AA127" s="441"/>
      <c r="AB127" s="441">
        <f>8250+27500</f>
        <v>35750</v>
      </c>
      <c r="AC127" s="441">
        <v>27500</v>
      </c>
      <c r="AD127" s="441">
        <v>27500</v>
      </c>
      <c r="AE127" s="437">
        <v>27500</v>
      </c>
      <c r="AF127" s="437">
        <v>27500</v>
      </c>
      <c r="AG127" s="437">
        <v>27500</v>
      </c>
      <c r="AH127" s="437">
        <v>27500</v>
      </c>
      <c r="AI127" s="437">
        <v>27500</v>
      </c>
    </row>
    <row r="128" spans="1:35">
      <c r="A128" s="145">
        <v>46004</v>
      </c>
      <c r="B128" s="376"/>
      <c r="C128" s="27">
        <v>251206</v>
      </c>
      <c r="D128" s="20" t="str">
        <f t="shared" si="61"/>
        <v>高雄工業 本社</v>
      </c>
      <c r="E128" s="20" t="str">
        <f t="shared" si="62"/>
        <v>BUI QUOC TUAN</v>
      </c>
      <c r="F128" s="20" t="str">
        <f t="shared" si="63"/>
        <v>ブイ　クオック　トゥアン</v>
      </c>
      <c r="G128" s="12"/>
      <c r="H128" s="12"/>
      <c r="I128" s="12"/>
      <c r="J128" s="65"/>
      <c r="O128" s="81"/>
      <c r="P128" s="81"/>
      <c r="Q128" s="81"/>
      <c r="R128" s="81"/>
      <c r="S128" s="81"/>
      <c r="T128" s="81"/>
      <c r="U128" s="81"/>
      <c r="V128" s="81"/>
      <c r="W128" s="81"/>
      <c r="X128" s="81"/>
      <c r="Y128" s="413"/>
      <c r="Z128" s="441"/>
      <c r="AA128" s="441"/>
      <c r="AB128" s="441"/>
      <c r="AC128" s="448"/>
      <c r="AD128" s="1"/>
      <c r="AE128" s="1"/>
      <c r="AF128" s="27"/>
      <c r="AG128" s="1"/>
      <c r="AH128" s="551">
        <v>16855</v>
      </c>
      <c r="AI128" s="448">
        <v>44355</v>
      </c>
    </row>
    <row r="129" spans="1:35">
      <c r="A129" s="147"/>
      <c r="F129" s="160"/>
      <c r="G129" s="6"/>
      <c r="H129" s="6"/>
      <c r="I129" s="6"/>
      <c r="J129" s="74"/>
      <c r="K129" s="10"/>
      <c r="L129" s="10"/>
      <c r="M129" s="88"/>
      <c r="N129" s="88"/>
      <c r="O129" s="88"/>
      <c r="P129" s="88"/>
      <c r="Q129" s="88"/>
      <c r="R129" s="88"/>
      <c r="S129" s="88"/>
      <c r="T129" s="88"/>
      <c r="U129" s="88"/>
      <c r="V129" s="88"/>
      <c r="W129" s="88"/>
      <c r="X129" s="88"/>
      <c r="Y129" s="410"/>
      <c r="Z129" s="438"/>
      <c r="AA129" s="438"/>
      <c r="AB129" s="438"/>
      <c r="AF129" s="538"/>
      <c r="AG129" s="544"/>
      <c r="AH129" s="550"/>
    </row>
    <row r="130" spans="1:35">
      <c r="A130" s="147"/>
      <c r="C130" s="36"/>
      <c r="D130" s="36"/>
      <c r="E130" s="36" t="s">
        <v>2445</v>
      </c>
      <c r="F130" s="162"/>
      <c r="G130" s="210">
        <v>56650</v>
      </c>
      <c r="H130" s="210">
        <v>69000</v>
      </c>
      <c r="I130" s="210" t="s">
        <v>25</v>
      </c>
      <c r="J130" s="74" t="s">
        <v>1006</v>
      </c>
      <c r="K130" s="10"/>
      <c r="L130" s="10"/>
      <c r="M130" s="88"/>
      <c r="N130" s="88"/>
      <c r="O130" s="88"/>
      <c r="P130" s="88"/>
      <c r="Q130" s="88"/>
      <c r="R130" s="88"/>
      <c r="S130" s="88"/>
      <c r="T130" s="88"/>
      <c r="U130" s="88"/>
      <c r="V130" s="88"/>
      <c r="W130" s="88"/>
      <c r="X130" s="88"/>
      <c r="Y130" s="410"/>
      <c r="Z130" s="438"/>
      <c r="AA130" s="438"/>
      <c r="AB130" s="438"/>
    </row>
    <row r="131" spans="1:35">
      <c r="A131" s="148" t="s">
        <v>1</v>
      </c>
      <c r="B131" s="377" t="s">
        <v>529</v>
      </c>
      <c r="C131" s="27" t="s">
        <v>2</v>
      </c>
      <c r="D131" s="27" t="s">
        <v>2532</v>
      </c>
      <c r="E131" s="27" t="s">
        <v>2433</v>
      </c>
      <c r="F131" s="165"/>
      <c r="G131" s="22" t="s">
        <v>628</v>
      </c>
      <c r="H131" s="22"/>
      <c r="I131" s="22" t="s">
        <v>3</v>
      </c>
      <c r="J131" s="90"/>
      <c r="K131" s="91"/>
      <c r="L131" s="91"/>
      <c r="M131" s="92"/>
      <c r="N131" s="92"/>
      <c r="O131" s="92"/>
      <c r="P131" s="92"/>
      <c r="Q131" s="92"/>
      <c r="R131" s="92"/>
      <c r="S131" s="92"/>
      <c r="T131" s="92"/>
      <c r="U131" s="92"/>
      <c r="V131" s="92"/>
      <c r="W131" s="92"/>
      <c r="X131" s="92"/>
      <c r="Y131" s="411"/>
      <c r="Z131" s="439"/>
      <c r="AA131" s="439"/>
      <c r="AB131" s="439"/>
    </row>
    <row r="132" spans="1:35">
      <c r="A132" s="145">
        <v>45032</v>
      </c>
      <c r="B132" s="376">
        <v>46052</v>
      </c>
      <c r="C132" s="27">
        <v>220505</v>
      </c>
      <c r="D132" s="20" t="str">
        <f t="shared" si="41"/>
        <v>高雄工業 本社</v>
      </c>
      <c r="E132" s="20" t="str">
        <f t="shared" si="42"/>
        <v>DANG THIN VIET</v>
      </c>
      <c r="F132" s="20" t="str">
        <f t="shared" si="43"/>
        <v>ダン　ティン　ヴィエット</v>
      </c>
      <c r="G132" s="11"/>
      <c r="H132" s="11"/>
      <c r="I132" s="11">
        <v>23000</v>
      </c>
      <c r="J132" s="65"/>
      <c r="K132" s="11">
        <v>23000</v>
      </c>
      <c r="L132" s="11">
        <v>23000</v>
      </c>
      <c r="M132" s="81">
        <v>23000</v>
      </c>
      <c r="N132" s="81">
        <v>23000</v>
      </c>
      <c r="O132" s="130">
        <v>23000</v>
      </c>
      <c r="P132" s="130">
        <v>23000</v>
      </c>
      <c r="Q132" s="130">
        <v>23000</v>
      </c>
      <c r="R132" s="130">
        <v>23000</v>
      </c>
      <c r="S132" s="130">
        <v>23000</v>
      </c>
      <c r="T132" s="130">
        <v>23000</v>
      </c>
      <c r="U132" s="130">
        <v>23000</v>
      </c>
      <c r="V132" s="130">
        <v>23000</v>
      </c>
      <c r="W132" s="130">
        <v>23000</v>
      </c>
      <c r="X132" s="130">
        <v>23000</v>
      </c>
      <c r="Y132" s="408">
        <v>23000</v>
      </c>
      <c r="Z132" s="437">
        <v>23000</v>
      </c>
      <c r="AA132" s="437">
        <v>23000</v>
      </c>
      <c r="AB132" s="437">
        <v>23000</v>
      </c>
      <c r="AC132" s="437">
        <v>23000</v>
      </c>
      <c r="AD132" s="437">
        <v>23000</v>
      </c>
      <c r="AE132" s="437">
        <v>23000</v>
      </c>
      <c r="AF132" s="437">
        <v>23000</v>
      </c>
      <c r="AG132" s="437">
        <v>23000</v>
      </c>
      <c r="AH132" s="437">
        <v>23000</v>
      </c>
      <c r="AI132" s="437">
        <v>43000</v>
      </c>
    </row>
    <row r="133" spans="1:35">
      <c r="A133" s="145">
        <v>45039</v>
      </c>
      <c r="B133" s="376"/>
      <c r="C133" s="27">
        <v>220503</v>
      </c>
      <c r="D133" s="20" t="str">
        <f t="shared" ref="D133:D134" si="64">IF(C133="","",_xlfn.XLOOKUP(C133,社員№,派遣先,"",0,-1))</f>
        <v>高雄工業 本社</v>
      </c>
      <c r="E133" s="20" t="str">
        <f t="shared" ref="E133:E134" si="65">IF(C133="","",_xlfn.XLOOKUP(C133,社員№,氏名,"",0,-1))</f>
        <v>HA VIET THUY</v>
      </c>
      <c r="F133" s="20" t="str">
        <f t="shared" ref="F133:F134" si="66">IF(C133="","",_xlfn.XLOOKUP(C133,社員№,カナ,"",0,-1))</f>
        <v>ハー　ヴィエット　トウイ</v>
      </c>
      <c r="G133" s="11"/>
      <c r="H133" s="11"/>
      <c r="I133" s="11">
        <v>23000</v>
      </c>
      <c r="J133" s="65"/>
      <c r="K133" s="11">
        <v>23000</v>
      </c>
      <c r="L133" s="11">
        <v>23000</v>
      </c>
      <c r="M133" s="81">
        <v>23000</v>
      </c>
      <c r="N133" s="81">
        <v>23000</v>
      </c>
      <c r="O133" s="81">
        <v>23000</v>
      </c>
      <c r="P133" s="81">
        <v>23000</v>
      </c>
      <c r="Q133" s="81">
        <v>23000</v>
      </c>
      <c r="R133" s="81">
        <v>23000</v>
      </c>
      <c r="S133" s="81">
        <v>23000</v>
      </c>
      <c r="T133" s="81">
        <v>23000</v>
      </c>
      <c r="U133" s="81">
        <v>23000</v>
      </c>
      <c r="V133" s="81">
        <v>23000</v>
      </c>
      <c r="W133" s="81">
        <v>23000</v>
      </c>
      <c r="X133" s="81">
        <v>23000</v>
      </c>
      <c r="Y133" s="413">
        <v>23000</v>
      </c>
      <c r="Z133" s="441">
        <v>23000</v>
      </c>
      <c r="AA133" s="441">
        <v>23000</v>
      </c>
      <c r="AB133" s="441">
        <v>23000</v>
      </c>
      <c r="AC133" s="437">
        <v>23000</v>
      </c>
      <c r="AD133" s="437">
        <v>23000</v>
      </c>
      <c r="AE133" s="437">
        <v>23000</v>
      </c>
      <c r="AF133" s="437">
        <v>23000</v>
      </c>
      <c r="AG133" s="437">
        <v>23000</v>
      </c>
      <c r="AH133" s="437">
        <v>23000</v>
      </c>
      <c r="AI133" s="437">
        <v>23000</v>
      </c>
    </row>
    <row r="134" spans="1:35">
      <c r="A134" s="150">
        <v>45830</v>
      </c>
      <c r="B134" s="384"/>
      <c r="C134" s="20">
        <v>250608</v>
      </c>
      <c r="D134" s="20" t="str">
        <f t="shared" si="64"/>
        <v>高雄工業 本社</v>
      </c>
      <c r="E134" s="20" t="str">
        <f t="shared" si="65"/>
        <v>DO TRUNG KIEN</v>
      </c>
      <c r="F134" s="20" t="str">
        <f t="shared" si="66"/>
        <v>ド　チュン　キエン</v>
      </c>
      <c r="G134" s="11"/>
      <c r="H134" s="11"/>
      <c r="I134" s="11">
        <v>23000</v>
      </c>
      <c r="J134" s="65"/>
      <c r="O134" s="81"/>
      <c r="P134" s="81"/>
      <c r="Q134" s="81"/>
      <c r="R134" s="81"/>
      <c r="S134" s="81"/>
      <c r="T134" s="81"/>
      <c r="U134" s="81"/>
      <c r="V134" s="81"/>
      <c r="W134" s="81"/>
      <c r="X134" s="81"/>
      <c r="Y134" s="413"/>
      <c r="Z134" s="441"/>
      <c r="AA134" s="441"/>
      <c r="AB134" s="443">
        <f>27133+6133</f>
        <v>33266</v>
      </c>
      <c r="AC134" s="437">
        <v>23000</v>
      </c>
      <c r="AD134" s="437">
        <v>23000</v>
      </c>
      <c r="AE134" s="437">
        <v>23000</v>
      </c>
      <c r="AF134" s="437">
        <v>23000</v>
      </c>
      <c r="AG134" s="437">
        <v>23000</v>
      </c>
      <c r="AH134" s="437">
        <v>23000</v>
      </c>
      <c r="AI134" s="437">
        <v>23000</v>
      </c>
    </row>
    <row r="135" spans="1:35">
      <c r="A135" s="207"/>
      <c r="B135" s="383"/>
      <c r="C135" s="47"/>
      <c r="D135" s="47"/>
      <c r="E135" s="47"/>
      <c r="F135" s="161"/>
      <c r="G135" s="10"/>
      <c r="H135" s="10"/>
      <c r="I135" s="10"/>
      <c r="J135" s="74"/>
      <c r="K135" s="10"/>
      <c r="L135" s="10"/>
      <c r="M135" s="88"/>
      <c r="N135" s="88"/>
      <c r="O135" s="88"/>
      <c r="P135" s="88"/>
      <c r="Q135" s="88"/>
      <c r="R135" s="88"/>
      <c r="S135" s="88"/>
      <c r="T135" s="88"/>
      <c r="U135" s="88"/>
      <c r="V135" s="88"/>
      <c r="W135" s="88"/>
      <c r="X135" s="88"/>
      <c r="Y135" s="410"/>
      <c r="Z135" s="438"/>
      <c r="AA135" s="438"/>
      <c r="AB135" s="438"/>
    </row>
    <row r="136" spans="1:35">
      <c r="A136" s="147"/>
      <c r="C136" s="36"/>
      <c r="D136" s="36"/>
      <c r="E136" s="36" t="s">
        <v>2446</v>
      </c>
      <c r="F136" s="162"/>
      <c r="G136" s="210">
        <v>50600</v>
      </c>
      <c r="H136" s="210">
        <v>56200</v>
      </c>
      <c r="I136" s="210" t="s">
        <v>584</v>
      </c>
      <c r="J136" s="74" t="s">
        <v>997</v>
      </c>
      <c r="K136" s="10"/>
      <c r="L136" s="10"/>
      <c r="M136" s="88"/>
      <c r="N136" s="88"/>
      <c r="O136" s="88"/>
      <c r="P136" s="88"/>
      <c r="Q136" s="88"/>
      <c r="R136" s="88"/>
      <c r="S136" s="88"/>
      <c r="T136" s="88"/>
      <c r="U136" s="88"/>
      <c r="V136" s="88"/>
      <c r="W136" s="88"/>
      <c r="X136" s="88"/>
      <c r="Y136" s="410"/>
      <c r="Z136" s="438"/>
      <c r="AA136" s="438"/>
      <c r="AB136" s="438"/>
    </row>
    <row r="137" spans="1:35">
      <c r="A137" s="148" t="s">
        <v>1</v>
      </c>
      <c r="B137" s="377" t="s">
        <v>529</v>
      </c>
      <c r="C137" s="27" t="s">
        <v>2</v>
      </c>
      <c r="D137" s="27" t="s">
        <v>2532</v>
      </c>
      <c r="E137" s="27" t="s">
        <v>2433</v>
      </c>
      <c r="F137" s="165"/>
      <c r="G137" s="22" t="s">
        <v>628</v>
      </c>
      <c r="H137" s="22"/>
      <c r="I137" s="22" t="s">
        <v>3</v>
      </c>
      <c r="J137" s="90"/>
      <c r="K137" s="91"/>
      <c r="L137" s="91"/>
      <c r="M137" s="92"/>
      <c r="N137" s="92"/>
      <c r="O137" s="92"/>
      <c r="P137" s="92"/>
      <c r="Q137" s="92"/>
      <c r="R137" s="92"/>
      <c r="S137" s="92"/>
      <c r="T137" s="92"/>
      <c r="U137" s="92"/>
      <c r="V137" s="92"/>
      <c r="W137" s="92"/>
      <c r="X137" s="92"/>
      <c r="Y137" s="411"/>
      <c r="Z137" s="439"/>
      <c r="AA137" s="439"/>
      <c r="AB137" s="439"/>
    </row>
    <row r="138" spans="1:35" hidden="1">
      <c r="A138" s="148">
        <v>44677</v>
      </c>
      <c r="B138" s="377">
        <v>45743</v>
      </c>
      <c r="C138" s="27">
        <v>220515</v>
      </c>
      <c r="D138" s="20" t="str">
        <f t="shared" si="41"/>
        <v>高雄工業 海南第一</v>
      </c>
      <c r="E138" s="20" t="str">
        <f t="shared" si="42"/>
        <v>NGUYEN VAN HIEN</v>
      </c>
      <c r="F138" s="20" t="str">
        <f t="shared" si="43"/>
        <v>グエン　ヴァン　ヒエン</v>
      </c>
      <c r="G138" s="11"/>
      <c r="H138" s="11"/>
      <c r="I138" s="11">
        <v>28100</v>
      </c>
      <c r="J138" s="65"/>
      <c r="K138" s="11">
        <v>28100</v>
      </c>
      <c r="L138" s="11">
        <v>28100</v>
      </c>
      <c r="M138" s="81">
        <v>28100</v>
      </c>
      <c r="N138" s="81">
        <v>28100</v>
      </c>
      <c r="O138" s="130">
        <v>28100</v>
      </c>
      <c r="P138" s="130">
        <v>28100</v>
      </c>
      <c r="Q138" s="130">
        <v>28100</v>
      </c>
      <c r="R138" s="130">
        <v>28100</v>
      </c>
      <c r="S138" s="130">
        <v>28100</v>
      </c>
      <c r="T138" s="130">
        <v>28100</v>
      </c>
      <c r="U138" s="130">
        <v>28100</v>
      </c>
      <c r="V138" s="130">
        <v>28100</v>
      </c>
      <c r="W138" s="130">
        <v>28100</v>
      </c>
      <c r="X138" s="130">
        <v>28100</v>
      </c>
      <c r="Y138" s="408">
        <f>28100+20000</f>
        <v>48100</v>
      </c>
      <c r="Z138" s="437">
        <v>0</v>
      </c>
      <c r="AA138" s="437">
        <v>0</v>
      </c>
      <c r="AB138" s="437">
        <v>0</v>
      </c>
      <c r="AC138" s="477"/>
    </row>
    <row r="139" spans="1:35">
      <c r="A139" s="145">
        <v>45107</v>
      </c>
      <c r="B139" s="376"/>
      <c r="C139" s="27">
        <v>230505</v>
      </c>
      <c r="D139" s="20" t="str">
        <f t="shared" ref="D139:D140" si="67">IF(C139="","",_xlfn.XLOOKUP(C139,社員№,派遣先,"",0,-1))</f>
        <v>高雄工業 本社</v>
      </c>
      <c r="E139" s="20" t="str">
        <f t="shared" ref="E139:E140" si="68">IF(C139="","",_xlfn.XLOOKUP(C139,社員№,氏名,"",0,-1))</f>
        <v>NGUYEN VAN TY</v>
      </c>
      <c r="F139" s="20" t="str">
        <f t="shared" ref="F139:F140" si="69">IF(C139="","",_xlfn.XLOOKUP(C139,社員№,カナ,"",0,-1))</f>
        <v>グエン　ヴァン　ティ</v>
      </c>
      <c r="G139" s="11"/>
      <c r="H139" s="11"/>
      <c r="I139" s="11">
        <v>28100</v>
      </c>
      <c r="J139" s="65"/>
      <c r="K139" s="11">
        <v>28100</v>
      </c>
      <c r="L139" s="11">
        <v>28100</v>
      </c>
      <c r="M139" s="81">
        <v>28100</v>
      </c>
      <c r="N139" s="81">
        <v>28100</v>
      </c>
      <c r="O139" s="81">
        <v>28100</v>
      </c>
      <c r="P139" s="81">
        <v>28100</v>
      </c>
      <c r="Q139" s="81">
        <v>28100</v>
      </c>
      <c r="R139" s="81">
        <v>28100</v>
      </c>
      <c r="S139" s="81">
        <v>28100</v>
      </c>
      <c r="T139" s="81">
        <v>28100</v>
      </c>
      <c r="U139" s="81">
        <v>28100</v>
      </c>
      <c r="V139" s="81">
        <v>28100</v>
      </c>
      <c r="W139" s="81">
        <v>28100</v>
      </c>
      <c r="X139" s="81">
        <v>28100</v>
      </c>
      <c r="Y139" s="413">
        <v>28100</v>
      </c>
      <c r="Z139" s="441">
        <v>28100</v>
      </c>
      <c r="AA139" s="441">
        <v>28100</v>
      </c>
      <c r="AB139" s="441">
        <v>28100</v>
      </c>
      <c r="AC139" s="441">
        <v>28100</v>
      </c>
      <c r="AD139" s="441">
        <v>28100</v>
      </c>
      <c r="AE139" s="437">
        <v>28100</v>
      </c>
      <c r="AF139" s="437">
        <v>28100</v>
      </c>
      <c r="AG139" s="437">
        <v>28100</v>
      </c>
      <c r="AH139" s="437">
        <v>28100</v>
      </c>
      <c r="AI139" s="437">
        <v>28100</v>
      </c>
    </row>
    <row r="140" spans="1:35">
      <c r="A140" s="145">
        <v>45748</v>
      </c>
      <c r="B140" s="376"/>
      <c r="C140" s="20">
        <v>250404</v>
      </c>
      <c r="D140" s="20" t="str">
        <f t="shared" si="67"/>
        <v>高雄工業 海南第一</v>
      </c>
      <c r="E140" s="20" t="str">
        <f t="shared" si="68"/>
        <v>NGUYEN KHAC TAN</v>
      </c>
      <c r="F140" s="20" t="str">
        <f t="shared" si="69"/>
        <v>グエン　カック　タン</v>
      </c>
      <c r="G140" s="11"/>
      <c r="H140" s="11"/>
      <c r="I140" s="11"/>
      <c r="J140" s="65"/>
      <c r="O140" s="81"/>
      <c r="P140" s="81"/>
      <c r="Q140" s="81"/>
      <c r="R140" s="81"/>
      <c r="S140" s="81"/>
      <c r="T140" s="81"/>
      <c r="U140" s="81"/>
      <c r="V140" s="81"/>
      <c r="W140" s="81"/>
      <c r="X140" s="81"/>
      <c r="Y140" s="413"/>
      <c r="Z140" s="441">
        <f>5194+28100</f>
        <v>33294</v>
      </c>
      <c r="AA140" s="441">
        <v>28100</v>
      </c>
      <c r="AB140" s="441">
        <v>28100</v>
      </c>
      <c r="AC140" s="441">
        <v>28100</v>
      </c>
      <c r="AD140" s="441">
        <v>28100</v>
      </c>
      <c r="AE140" s="437">
        <v>28100</v>
      </c>
      <c r="AF140" s="437">
        <v>28100</v>
      </c>
      <c r="AG140" s="437">
        <v>28100</v>
      </c>
      <c r="AH140" s="437">
        <v>28100</v>
      </c>
      <c r="AI140" s="437">
        <v>28100</v>
      </c>
    </row>
    <row r="141" spans="1:35">
      <c r="C141" s="47"/>
      <c r="F141" s="160"/>
      <c r="G141" s="10"/>
      <c r="H141" s="10"/>
      <c r="I141" s="10"/>
      <c r="J141" s="74"/>
      <c r="K141" s="10"/>
      <c r="L141" s="10"/>
      <c r="M141" s="88"/>
      <c r="N141" s="88"/>
      <c r="O141" s="88"/>
      <c r="P141" s="88"/>
      <c r="Q141" s="88"/>
      <c r="R141" s="88"/>
      <c r="S141" s="88"/>
      <c r="T141" s="88"/>
      <c r="U141" s="88"/>
      <c r="V141" s="88"/>
      <c r="W141" s="88"/>
      <c r="X141" s="88"/>
      <c r="Y141" s="410"/>
      <c r="Z141" s="438"/>
      <c r="AA141" s="438"/>
      <c r="AB141" s="438"/>
    </row>
    <row r="142" spans="1:35">
      <c r="C142" s="36"/>
      <c r="D142" s="36"/>
      <c r="E142" s="36" t="s">
        <v>592</v>
      </c>
      <c r="F142" s="162"/>
      <c r="G142" s="210">
        <v>51500</v>
      </c>
      <c r="H142" s="210">
        <v>51500</v>
      </c>
      <c r="I142" s="210" t="s">
        <v>584</v>
      </c>
      <c r="J142" s="210" t="s">
        <v>631</v>
      </c>
      <c r="K142" s="10"/>
      <c r="L142" s="10"/>
      <c r="M142" s="88"/>
      <c r="N142" s="88"/>
      <c r="O142" s="88"/>
      <c r="P142" s="88"/>
      <c r="Q142" s="88"/>
      <c r="R142" s="88"/>
      <c r="S142" s="88"/>
      <c r="T142" s="88"/>
      <c r="U142" s="88"/>
      <c r="V142" s="88"/>
      <c r="W142" s="88"/>
      <c r="X142" s="88"/>
      <c r="Y142" s="410"/>
      <c r="Z142" s="438"/>
      <c r="AA142" s="438"/>
      <c r="AB142" s="438"/>
    </row>
    <row r="143" spans="1:35">
      <c r="A143" s="145" t="s">
        <v>1</v>
      </c>
      <c r="B143" s="376" t="s">
        <v>529</v>
      </c>
      <c r="C143" s="27" t="s">
        <v>2</v>
      </c>
      <c r="D143" s="27" t="s">
        <v>2532</v>
      </c>
      <c r="E143" s="27" t="s">
        <v>2433</v>
      </c>
      <c r="F143" s="165"/>
      <c r="G143" s="22" t="s">
        <v>628</v>
      </c>
      <c r="H143" s="22"/>
      <c r="I143" s="22" t="s">
        <v>3</v>
      </c>
      <c r="J143" s="10" t="s">
        <v>121</v>
      </c>
      <c r="K143" s="91"/>
      <c r="L143" s="91"/>
      <c r="M143" s="92"/>
      <c r="N143" s="92"/>
      <c r="O143" s="92"/>
      <c r="P143" s="92"/>
      <c r="Q143" s="92"/>
      <c r="R143" s="92"/>
      <c r="S143" s="92"/>
      <c r="T143" s="92"/>
      <c r="U143" s="92"/>
      <c r="V143" s="92"/>
      <c r="W143" s="92"/>
      <c r="X143" s="92"/>
      <c r="Y143" s="411"/>
      <c r="Z143" s="439"/>
      <c r="AA143" s="439"/>
      <c r="AB143" s="439"/>
    </row>
    <row r="144" spans="1:35">
      <c r="A144" s="145">
        <v>44864</v>
      </c>
      <c r="B144" s="376"/>
      <c r="C144" s="27">
        <v>210911</v>
      </c>
      <c r="D144" s="20" t="str">
        <f t="shared" si="41"/>
        <v>高雄工業 海南第一</v>
      </c>
      <c r="E144" s="20" t="str">
        <f t="shared" si="42"/>
        <v>LE VIET HUNG</v>
      </c>
      <c r="F144" s="20" t="str">
        <f t="shared" si="43"/>
        <v>レー　ヴィエット　フン</v>
      </c>
      <c r="G144" s="11"/>
      <c r="H144" s="11"/>
      <c r="I144" s="11">
        <v>51500</v>
      </c>
      <c r="J144" s="65"/>
      <c r="K144" s="11">
        <v>51500</v>
      </c>
      <c r="L144" s="11">
        <v>51500</v>
      </c>
      <c r="M144" s="81">
        <v>51500</v>
      </c>
      <c r="N144" s="81">
        <v>51500</v>
      </c>
      <c r="O144" s="130">
        <v>51500</v>
      </c>
      <c r="P144" s="130">
        <v>51500</v>
      </c>
      <c r="Q144" s="130">
        <v>51500</v>
      </c>
      <c r="R144" s="130">
        <v>51500</v>
      </c>
      <c r="S144" s="130">
        <v>51500</v>
      </c>
      <c r="T144" s="130">
        <v>51500</v>
      </c>
      <c r="U144" s="130">
        <v>51500</v>
      </c>
      <c r="V144" s="130">
        <v>51500</v>
      </c>
      <c r="W144" s="130">
        <v>51500</v>
      </c>
      <c r="X144" s="130">
        <v>51500</v>
      </c>
      <c r="Y144" s="408">
        <v>51500</v>
      </c>
      <c r="Z144" s="437">
        <v>51500</v>
      </c>
      <c r="AA144" s="437">
        <v>51500</v>
      </c>
      <c r="AB144" s="437">
        <v>51500</v>
      </c>
      <c r="AC144" s="437">
        <v>51500</v>
      </c>
      <c r="AD144" s="437">
        <v>51500</v>
      </c>
      <c r="AE144" s="437">
        <v>51500</v>
      </c>
      <c r="AF144" s="437">
        <v>51500</v>
      </c>
      <c r="AG144" s="437">
        <v>51500</v>
      </c>
      <c r="AH144" s="437">
        <v>51500</v>
      </c>
      <c r="AI144" s="437">
        <v>51500</v>
      </c>
    </row>
    <row r="145" spans="1:35">
      <c r="A145" s="147"/>
      <c r="F145" s="160"/>
      <c r="G145" s="10"/>
      <c r="H145" s="10"/>
      <c r="I145" s="10"/>
      <c r="J145" s="74"/>
      <c r="K145" s="10"/>
      <c r="L145" s="10"/>
      <c r="M145" s="88"/>
      <c r="N145" s="88"/>
      <c r="O145" s="88"/>
      <c r="P145" s="88"/>
      <c r="Q145" s="88"/>
      <c r="R145" s="88"/>
      <c r="S145" s="88"/>
      <c r="T145" s="88"/>
      <c r="U145" s="88"/>
      <c r="V145" s="88"/>
      <c r="W145" s="88"/>
      <c r="X145" s="88"/>
      <c r="Y145" s="410"/>
      <c r="Z145" s="438"/>
      <c r="AA145" s="438"/>
      <c r="AB145" s="438"/>
    </row>
    <row r="146" spans="1:35">
      <c r="A146" s="147"/>
      <c r="C146" s="42"/>
      <c r="D146" s="42"/>
      <c r="E146" s="42" t="s">
        <v>2447</v>
      </c>
      <c r="F146" s="168"/>
      <c r="G146" s="211">
        <v>61000</v>
      </c>
      <c r="H146" s="211">
        <v>66000</v>
      </c>
      <c r="I146" s="211" t="s">
        <v>25</v>
      </c>
      <c r="J146" s="74"/>
      <c r="K146" s="10"/>
      <c r="L146" s="10"/>
      <c r="M146" s="88"/>
      <c r="N146" s="88"/>
      <c r="O146" s="88"/>
      <c r="P146" s="88"/>
      <c r="Q146" s="88"/>
      <c r="R146" s="88"/>
      <c r="S146" s="88"/>
      <c r="T146" s="88"/>
      <c r="U146" s="88"/>
      <c r="V146" s="88"/>
      <c r="W146" s="88"/>
      <c r="X146" s="88"/>
      <c r="Y146" s="410"/>
      <c r="Z146" s="438"/>
      <c r="AA146" s="438"/>
      <c r="AB146" s="438"/>
    </row>
    <row r="147" spans="1:35">
      <c r="A147" s="148" t="s">
        <v>1</v>
      </c>
      <c r="B147" s="377" t="s">
        <v>529</v>
      </c>
      <c r="C147" s="27" t="s">
        <v>2</v>
      </c>
      <c r="D147" s="27" t="s">
        <v>2532</v>
      </c>
      <c r="E147" s="27" t="s">
        <v>2433</v>
      </c>
      <c r="F147" s="165"/>
      <c r="G147" s="23" t="s">
        <v>628</v>
      </c>
      <c r="H147" s="23"/>
      <c r="I147" s="23" t="s">
        <v>3</v>
      </c>
      <c r="J147" s="90"/>
      <c r="K147" s="91"/>
      <c r="L147" s="91"/>
      <c r="M147" s="92"/>
      <c r="N147" s="92"/>
      <c r="O147" s="92"/>
      <c r="P147" s="92"/>
      <c r="Q147" s="92"/>
      <c r="R147" s="92"/>
      <c r="S147" s="92"/>
      <c r="T147" s="92"/>
      <c r="U147" s="92"/>
      <c r="V147" s="92"/>
      <c r="W147" s="92"/>
      <c r="X147" s="92"/>
      <c r="Y147" s="411"/>
      <c r="Z147" s="439"/>
      <c r="AA147" s="439"/>
      <c r="AB147" s="439"/>
    </row>
    <row r="148" spans="1:35">
      <c r="A148" s="145">
        <v>44893</v>
      </c>
      <c r="B148" s="376">
        <v>45991</v>
      </c>
      <c r="C148" s="27">
        <v>221202</v>
      </c>
      <c r="D148" s="20" t="str">
        <f t="shared" ref="D148:D200" si="70">IF(C148="","",_xlfn.XLOOKUP(C148,社員№,派遣先,"",0,-1))</f>
        <v>高雄工業 本社</v>
      </c>
      <c r="E148" s="20" t="str">
        <f t="shared" ref="E148:E200" si="71">IF(C148="","",_xlfn.XLOOKUP(C148,社員№,氏名,"",0,-1))</f>
        <v>LE VIET DUNG</v>
      </c>
      <c r="F148" s="20" t="str">
        <f t="shared" ref="F148:F200" si="72">IF(C148="","",_xlfn.XLOOKUP(C148,社員№,カナ,"",0,-1))</f>
        <v>レー　ヴィエット　ズン</v>
      </c>
      <c r="G148" s="11"/>
      <c r="H148" s="11"/>
      <c r="I148" s="11">
        <v>22000</v>
      </c>
      <c r="J148" s="65"/>
      <c r="K148" s="11">
        <v>22000</v>
      </c>
      <c r="L148" s="11">
        <v>22000</v>
      </c>
      <c r="M148" s="81">
        <v>22000</v>
      </c>
      <c r="N148" s="81">
        <v>22000</v>
      </c>
      <c r="O148" s="130">
        <v>22000</v>
      </c>
      <c r="P148" s="130">
        <v>22000</v>
      </c>
      <c r="Q148" s="130">
        <v>22000</v>
      </c>
      <c r="R148" s="130">
        <v>22000</v>
      </c>
      <c r="S148" s="130">
        <v>22000</v>
      </c>
      <c r="T148" s="130">
        <v>22000</v>
      </c>
      <c r="U148" s="130">
        <v>22000</v>
      </c>
      <c r="V148" s="130">
        <v>22000</v>
      </c>
      <c r="W148" s="130">
        <v>22000</v>
      </c>
      <c r="X148" s="130">
        <v>22000</v>
      </c>
      <c r="Y148" s="408">
        <v>22000</v>
      </c>
      <c r="Z148" s="437">
        <v>22000</v>
      </c>
      <c r="AA148" s="437">
        <v>22000</v>
      </c>
      <c r="AB148" s="437">
        <v>22000</v>
      </c>
      <c r="AC148" s="437">
        <v>22000</v>
      </c>
      <c r="AD148" s="437">
        <v>22000</v>
      </c>
      <c r="AE148" s="437">
        <v>22000</v>
      </c>
      <c r="AF148" s="437">
        <v>22000</v>
      </c>
      <c r="AG148" s="437">
        <v>42000</v>
      </c>
      <c r="AH148" s="508">
        <v>0</v>
      </c>
    </row>
    <row r="149" spans="1:35" hidden="1">
      <c r="A149" s="145">
        <v>45032</v>
      </c>
      <c r="B149" s="380">
        <v>46020</v>
      </c>
      <c r="C149" s="27">
        <v>220601</v>
      </c>
      <c r="D149" s="20" t="str">
        <f t="shared" ref="D149:D153" si="73">IF(C149="","",_xlfn.XLOOKUP(C149,社員№,派遣先,"",0,-1))</f>
        <v>高雄工業 海南第一</v>
      </c>
      <c r="E149" s="20" t="str">
        <f t="shared" ref="E149:E153" si="74">IF(C149="","",_xlfn.XLOOKUP(C149,社員№,氏名,"",0,-1))</f>
        <v>LE HUU THUAN</v>
      </c>
      <c r="F149" s="20" t="str">
        <f t="shared" ref="F149:F153" si="75">IF(C149="","",_xlfn.XLOOKUP(C149,社員№,カナ,"",0,-1))</f>
        <v>レー　フー　トゥアン</v>
      </c>
      <c r="G149" s="11"/>
      <c r="H149" s="11"/>
      <c r="I149" s="11">
        <v>22000</v>
      </c>
      <c r="J149" s="65"/>
      <c r="K149" s="11">
        <v>22000</v>
      </c>
      <c r="L149" s="11">
        <v>22000</v>
      </c>
      <c r="M149" s="81">
        <v>22000</v>
      </c>
      <c r="N149" s="81">
        <v>22000</v>
      </c>
      <c r="O149" s="130">
        <v>22000</v>
      </c>
      <c r="P149" s="130">
        <v>22000</v>
      </c>
      <c r="Q149" s="130">
        <v>22000</v>
      </c>
      <c r="R149" s="130">
        <v>22000</v>
      </c>
      <c r="S149" s="130">
        <v>22000</v>
      </c>
      <c r="T149" s="130">
        <v>22000</v>
      </c>
      <c r="U149" s="130">
        <v>22000</v>
      </c>
      <c r="V149" s="130">
        <f>22000+20000</f>
        <v>42000</v>
      </c>
      <c r="W149" s="130">
        <v>0</v>
      </c>
      <c r="X149" s="130">
        <v>0</v>
      </c>
      <c r="Y149" s="408">
        <v>0</v>
      </c>
      <c r="Z149" s="437">
        <v>0</v>
      </c>
      <c r="AA149" s="437">
        <v>0</v>
      </c>
      <c r="AB149" s="437">
        <v>0</v>
      </c>
      <c r="AC149" s="437">
        <v>22000</v>
      </c>
      <c r="AD149" s="437">
        <v>22000</v>
      </c>
      <c r="AE149" s="437">
        <v>22000</v>
      </c>
      <c r="AF149" s="437">
        <v>22000</v>
      </c>
      <c r="AG149" s="437">
        <v>22000</v>
      </c>
    </row>
    <row r="150" spans="1:35" hidden="1">
      <c r="A150" s="150">
        <v>45383</v>
      </c>
      <c r="B150" s="376">
        <v>46022</v>
      </c>
      <c r="C150" s="20">
        <v>240307</v>
      </c>
      <c r="D150" s="20" t="str">
        <f t="shared" si="73"/>
        <v>高雄工業 海南第一</v>
      </c>
      <c r="E150" s="20" t="str">
        <f t="shared" si="74"/>
        <v>NGUYEN KHOA TIEN DAT</v>
      </c>
      <c r="F150" s="20" t="str">
        <f t="shared" si="75"/>
        <v>グエン　コア　ティエン　ダット</v>
      </c>
      <c r="G150" s="11"/>
      <c r="H150" s="11"/>
      <c r="I150" s="11">
        <v>22000</v>
      </c>
      <c r="J150" s="65"/>
      <c r="N150" s="81">
        <v>22000</v>
      </c>
      <c r="O150" s="81">
        <v>22000</v>
      </c>
      <c r="P150" s="81">
        <v>22000</v>
      </c>
      <c r="Q150" s="81">
        <v>22000</v>
      </c>
      <c r="R150" s="81">
        <v>22000</v>
      </c>
      <c r="S150" s="81">
        <v>22000</v>
      </c>
      <c r="T150" s="81">
        <v>22000</v>
      </c>
      <c r="U150" s="81">
        <v>22000</v>
      </c>
      <c r="V150" s="81">
        <v>22000</v>
      </c>
      <c r="W150" s="81">
        <v>0</v>
      </c>
      <c r="X150" s="81">
        <v>0</v>
      </c>
      <c r="Y150" s="413">
        <v>0</v>
      </c>
      <c r="Z150" s="441">
        <v>0</v>
      </c>
      <c r="AA150" s="441">
        <v>0</v>
      </c>
      <c r="AB150" s="441">
        <v>0</v>
      </c>
      <c r="AC150" s="437">
        <v>22000</v>
      </c>
      <c r="AD150" s="437">
        <v>22000</v>
      </c>
      <c r="AE150" s="437">
        <v>22000</v>
      </c>
      <c r="AF150" s="437">
        <v>22000</v>
      </c>
      <c r="AG150" s="437">
        <v>22000</v>
      </c>
    </row>
    <row r="151" spans="1:35">
      <c r="A151" s="150">
        <v>45677</v>
      </c>
      <c r="B151" s="376"/>
      <c r="C151" s="20">
        <v>250117</v>
      </c>
      <c r="D151" s="20" t="str">
        <f t="shared" si="73"/>
        <v>高雄工業 本社</v>
      </c>
      <c r="E151" s="20" t="str">
        <f t="shared" si="74"/>
        <v>LAI VAN SON</v>
      </c>
      <c r="F151" s="20" t="str">
        <f t="shared" si="75"/>
        <v>ライ　ヴァン　ソン</v>
      </c>
      <c r="G151" s="11"/>
      <c r="H151" s="11"/>
      <c r="I151" s="11"/>
      <c r="J151" s="65"/>
      <c r="O151" s="81"/>
      <c r="P151" s="81"/>
      <c r="Q151" s="81"/>
      <c r="R151" s="81"/>
      <c r="S151" s="81"/>
      <c r="T151" s="81"/>
      <c r="U151" s="81"/>
      <c r="V151" s="81"/>
      <c r="W151" s="81">
        <v>8516</v>
      </c>
      <c r="X151" s="81">
        <v>22000</v>
      </c>
      <c r="Y151" s="413">
        <v>22000</v>
      </c>
      <c r="Z151" s="441">
        <v>22000</v>
      </c>
      <c r="AA151" s="441">
        <v>22000</v>
      </c>
      <c r="AB151" s="441">
        <v>22000</v>
      </c>
      <c r="AC151" s="437">
        <v>22000</v>
      </c>
      <c r="AD151" s="437">
        <v>22000</v>
      </c>
      <c r="AE151" s="437">
        <v>22000</v>
      </c>
      <c r="AF151" s="437">
        <v>22000</v>
      </c>
      <c r="AG151" s="437">
        <v>22000</v>
      </c>
      <c r="AH151" s="437">
        <v>22000</v>
      </c>
      <c r="AI151" s="437">
        <v>22000</v>
      </c>
    </row>
    <row r="152" spans="1:35">
      <c r="A152" s="145">
        <v>45658</v>
      </c>
      <c r="B152" s="376"/>
      <c r="C152" s="20">
        <v>241205</v>
      </c>
      <c r="D152" s="20" t="str">
        <f t="shared" si="73"/>
        <v>高雄工業 海南第一</v>
      </c>
      <c r="E152" s="20" t="str">
        <f t="shared" si="74"/>
        <v>LA XUAN THANG</v>
      </c>
      <c r="F152" s="20" t="str">
        <f t="shared" si="75"/>
        <v>ラー　スアン　タン</v>
      </c>
      <c r="G152" s="11"/>
      <c r="H152" s="11"/>
      <c r="I152" s="11">
        <v>22000</v>
      </c>
      <c r="J152" s="65"/>
      <c r="O152" s="81"/>
      <c r="P152" s="81"/>
      <c r="Q152" s="81"/>
      <c r="R152" s="81"/>
      <c r="S152" s="81"/>
      <c r="T152" s="81"/>
      <c r="U152" s="81"/>
      <c r="V152" s="81"/>
      <c r="W152" s="81">
        <v>22000</v>
      </c>
      <c r="X152" s="81">
        <v>22000</v>
      </c>
      <c r="Y152" s="413">
        <v>22000</v>
      </c>
      <c r="Z152" s="441">
        <v>22000</v>
      </c>
      <c r="AA152" s="441">
        <v>22000</v>
      </c>
      <c r="AB152" s="441">
        <v>22000</v>
      </c>
      <c r="AC152" s="437">
        <v>22000</v>
      </c>
      <c r="AD152" s="437">
        <v>22000</v>
      </c>
      <c r="AE152" s="437">
        <v>22000</v>
      </c>
      <c r="AF152" s="437">
        <v>22000</v>
      </c>
      <c r="AG152" s="437">
        <v>22000</v>
      </c>
      <c r="AH152" s="437">
        <v>22000</v>
      </c>
      <c r="AI152" s="437">
        <v>22000</v>
      </c>
    </row>
    <row r="153" spans="1:35">
      <c r="A153" s="145" t="s">
        <v>2684</v>
      </c>
      <c r="B153" s="376"/>
      <c r="C153" s="27">
        <v>251211</v>
      </c>
      <c r="D153" s="20" t="str">
        <f t="shared" si="73"/>
        <v>高雄工業 本社</v>
      </c>
      <c r="E153" s="20" t="str">
        <f t="shared" si="74"/>
        <v>HO SY DONG</v>
      </c>
      <c r="F153" s="20" t="str">
        <f t="shared" si="75"/>
        <v>ホ　シ　ドン</v>
      </c>
      <c r="G153" s="12"/>
      <c r="H153" s="12"/>
      <c r="I153" s="12"/>
      <c r="J153" s="66"/>
      <c r="K153" s="12"/>
      <c r="L153" s="12"/>
      <c r="M153" s="84"/>
      <c r="N153" s="84"/>
      <c r="O153" s="84"/>
      <c r="P153" s="84"/>
      <c r="Q153" s="84"/>
      <c r="R153" s="84"/>
      <c r="S153" s="84"/>
      <c r="T153" s="84"/>
      <c r="U153" s="84"/>
      <c r="V153" s="84"/>
      <c r="W153" s="84"/>
      <c r="X153" s="84"/>
      <c r="Y153" s="414"/>
      <c r="Z153" s="443"/>
      <c r="AA153" s="443"/>
      <c r="AB153" s="443"/>
      <c r="AC153" s="443"/>
      <c r="AD153" s="443"/>
      <c r="AE153" s="443"/>
      <c r="AF153" s="493"/>
      <c r="AG153" s="493"/>
      <c r="AH153" s="551">
        <v>10645</v>
      </c>
      <c r="AI153" s="448">
        <v>32645</v>
      </c>
    </row>
    <row r="154" spans="1:35">
      <c r="C154" s="47"/>
      <c r="F154" s="160"/>
      <c r="G154" s="10"/>
      <c r="H154" s="10"/>
      <c r="I154" s="10"/>
      <c r="J154" s="74"/>
      <c r="K154" s="10"/>
      <c r="L154" s="10"/>
      <c r="M154" s="88"/>
      <c r="N154" s="88"/>
      <c r="O154" s="88"/>
      <c r="P154" s="88"/>
      <c r="Q154" s="88"/>
      <c r="R154" s="88"/>
      <c r="S154" s="88"/>
      <c r="T154" s="88"/>
      <c r="U154" s="88"/>
      <c r="V154" s="88"/>
      <c r="W154" s="88"/>
      <c r="X154" s="88"/>
      <c r="Y154" s="410"/>
      <c r="Z154" s="438"/>
      <c r="AA154" s="438"/>
      <c r="AB154" s="438"/>
    </row>
    <row r="155" spans="1:35">
      <c r="A155" s="147"/>
      <c r="C155" s="36"/>
      <c r="D155" s="36"/>
      <c r="E155" s="36" t="s">
        <v>2448</v>
      </c>
      <c r="F155" s="162"/>
      <c r="G155" s="210">
        <v>48000</v>
      </c>
      <c r="H155" s="210">
        <v>53000</v>
      </c>
      <c r="I155" s="210" t="s">
        <v>584</v>
      </c>
      <c r="J155" s="74"/>
      <c r="K155" s="10"/>
      <c r="L155" s="10"/>
      <c r="M155" s="88"/>
      <c r="N155" s="88"/>
      <c r="O155" s="88"/>
      <c r="P155" s="88"/>
      <c r="Q155" s="88"/>
      <c r="R155" s="88"/>
      <c r="S155" s="88"/>
      <c r="T155" s="88"/>
      <c r="U155" s="88"/>
      <c r="V155" s="88"/>
      <c r="W155" s="88"/>
      <c r="X155" s="88"/>
      <c r="Y155" s="410"/>
      <c r="Z155" s="438"/>
      <c r="AA155" s="438"/>
      <c r="AB155" s="438"/>
    </row>
    <row r="156" spans="1:35">
      <c r="A156" s="148" t="s">
        <v>1</v>
      </c>
      <c r="B156" s="377" t="s">
        <v>529</v>
      </c>
      <c r="C156" s="27" t="s">
        <v>2</v>
      </c>
      <c r="D156" s="27" t="s">
        <v>2532</v>
      </c>
      <c r="E156" s="27" t="s">
        <v>2433</v>
      </c>
      <c r="F156" s="165"/>
      <c r="G156" s="22" t="s">
        <v>629</v>
      </c>
      <c r="H156" s="22"/>
      <c r="I156" s="22" t="s">
        <v>3</v>
      </c>
      <c r="J156" s="90"/>
      <c r="K156" s="91"/>
      <c r="L156" s="91"/>
      <c r="M156" s="92"/>
      <c r="N156" s="92"/>
      <c r="O156" s="92"/>
      <c r="P156" s="92"/>
      <c r="Q156" s="92"/>
      <c r="R156" s="92"/>
      <c r="S156" s="92"/>
      <c r="T156" s="92"/>
      <c r="U156" s="92"/>
      <c r="V156" s="92"/>
      <c r="W156" s="92"/>
      <c r="X156" s="92"/>
      <c r="Y156" s="411"/>
      <c r="Z156" s="439"/>
      <c r="AA156" s="439"/>
      <c r="AB156" s="439"/>
    </row>
    <row r="157" spans="1:35">
      <c r="A157" s="148">
        <v>44589</v>
      </c>
      <c r="B157" s="377">
        <v>45777</v>
      </c>
      <c r="C157" s="27">
        <v>220116</v>
      </c>
      <c r="D157" s="20" t="str">
        <f t="shared" si="70"/>
        <v>高雄工業 海南第一</v>
      </c>
      <c r="E157" s="20" t="str">
        <f t="shared" si="71"/>
        <v>NGUYEN VAN CANH</v>
      </c>
      <c r="F157" s="20" t="str">
        <f t="shared" si="72"/>
        <v>グエン　バン　カイン</v>
      </c>
      <c r="G157" s="22"/>
      <c r="H157" s="22"/>
      <c r="I157" s="22">
        <v>26500</v>
      </c>
      <c r="J157" s="65"/>
      <c r="K157" s="11">
        <v>26500</v>
      </c>
      <c r="L157" s="11">
        <v>26500</v>
      </c>
      <c r="M157" s="81">
        <v>26500</v>
      </c>
      <c r="N157" s="81">
        <v>26500</v>
      </c>
      <c r="O157" s="130">
        <v>26500</v>
      </c>
      <c r="P157" s="130">
        <v>26500</v>
      </c>
      <c r="Q157" s="130">
        <v>26500</v>
      </c>
      <c r="R157" s="130">
        <v>26500</v>
      </c>
      <c r="S157" s="130">
        <v>26500</v>
      </c>
      <c r="T157" s="130">
        <v>26500</v>
      </c>
      <c r="U157" s="130">
        <v>26500</v>
      </c>
      <c r="V157" s="130">
        <v>26500</v>
      </c>
      <c r="W157" s="130">
        <v>26500</v>
      </c>
      <c r="X157" s="130">
        <v>26500</v>
      </c>
      <c r="Y157" s="408">
        <v>26500</v>
      </c>
      <c r="Z157" s="437">
        <f>26500+20000</f>
        <v>46500</v>
      </c>
      <c r="AA157" s="437">
        <v>0</v>
      </c>
      <c r="AB157" s="437">
        <v>0</v>
      </c>
      <c r="AC157" s="477"/>
    </row>
    <row r="158" spans="1:35">
      <c r="A158" s="148">
        <v>44713</v>
      </c>
      <c r="B158" s="377"/>
      <c r="C158" s="27">
        <v>220603</v>
      </c>
      <c r="D158" s="20" t="str">
        <f t="shared" ref="D158" si="76">IF(C158="","",_xlfn.XLOOKUP(C158,社員№,派遣先,"",0,-1))</f>
        <v>高雄工業 海南第一</v>
      </c>
      <c r="E158" s="20" t="str">
        <f t="shared" ref="E158" si="77">IF(C158="","",_xlfn.XLOOKUP(C158,社員№,氏名,"",0,-1))</f>
        <v>VU ANH VUONG</v>
      </c>
      <c r="F158" s="20" t="str">
        <f t="shared" ref="F158" si="78">IF(C158="","",_xlfn.XLOOKUP(C158,社員№,カナ,"",0,-1))</f>
        <v>ヴー　アイン　ヴォン</v>
      </c>
      <c r="G158" s="11"/>
      <c r="H158" s="11"/>
      <c r="I158" s="11">
        <v>26500</v>
      </c>
      <c r="J158" s="65"/>
      <c r="K158" s="11">
        <v>26500</v>
      </c>
      <c r="L158" s="11">
        <v>26500</v>
      </c>
      <c r="M158" s="81">
        <v>26500</v>
      </c>
      <c r="N158" s="81">
        <v>26500</v>
      </c>
      <c r="O158" s="130">
        <v>26500</v>
      </c>
      <c r="P158" s="130">
        <v>26500</v>
      </c>
      <c r="Q158" s="130">
        <v>26500</v>
      </c>
      <c r="R158" s="130">
        <v>26500</v>
      </c>
      <c r="S158" s="130">
        <v>26500</v>
      </c>
      <c r="T158" s="130">
        <v>26500</v>
      </c>
      <c r="U158" s="130">
        <v>26500</v>
      </c>
      <c r="V158" s="130">
        <v>26500</v>
      </c>
      <c r="W158" s="130">
        <v>26500</v>
      </c>
      <c r="X158" s="130">
        <v>26500</v>
      </c>
      <c r="Y158" s="408">
        <v>26500</v>
      </c>
      <c r="Z158" s="437">
        <v>26500</v>
      </c>
      <c r="AA158" s="437">
        <v>26500</v>
      </c>
      <c r="AB158" s="437">
        <v>26500</v>
      </c>
      <c r="AC158" s="437">
        <v>26500</v>
      </c>
      <c r="AD158" s="437">
        <v>26500</v>
      </c>
      <c r="AE158" s="437">
        <v>26500</v>
      </c>
      <c r="AF158" s="437">
        <v>26500</v>
      </c>
      <c r="AG158" s="437">
        <v>53000</v>
      </c>
      <c r="AH158" s="437">
        <v>26500</v>
      </c>
      <c r="AI158" s="448">
        <v>53000</v>
      </c>
    </row>
    <row r="159" spans="1:35">
      <c r="A159" s="147"/>
      <c r="F159" s="160"/>
      <c r="G159" s="10"/>
      <c r="H159" s="10"/>
      <c r="I159" s="10"/>
      <c r="J159" s="74"/>
      <c r="K159" s="10"/>
      <c r="L159" s="10"/>
      <c r="M159" s="88"/>
      <c r="N159" s="88"/>
      <c r="O159" s="88"/>
      <c r="P159" s="88"/>
      <c r="Q159" s="88"/>
      <c r="R159" s="88"/>
      <c r="S159" s="88"/>
      <c r="T159" s="88"/>
      <c r="U159" s="88"/>
      <c r="V159" s="88"/>
      <c r="W159" s="88"/>
      <c r="X159" s="88"/>
      <c r="Y159" s="410"/>
      <c r="Z159" s="438"/>
      <c r="AA159" s="438"/>
      <c r="AB159" s="438"/>
    </row>
    <row r="160" spans="1:35">
      <c r="A160" s="147"/>
      <c r="C160" s="36"/>
      <c r="D160" s="36"/>
      <c r="E160" s="36" t="s">
        <v>2449</v>
      </c>
      <c r="F160" s="162"/>
      <c r="G160" s="210">
        <v>51000</v>
      </c>
      <c r="H160" s="210">
        <v>56000</v>
      </c>
      <c r="I160" s="210" t="s">
        <v>584</v>
      </c>
      <c r="J160" s="74"/>
      <c r="K160" s="10"/>
      <c r="L160" s="10"/>
      <c r="M160" s="88"/>
      <c r="N160" s="88"/>
      <c r="O160" s="88"/>
      <c r="P160" s="88"/>
      <c r="Q160" s="88"/>
      <c r="R160" s="88"/>
      <c r="S160" s="88"/>
      <c r="T160" s="88"/>
      <c r="U160" s="88"/>
      <c r="V160" s="88"/>
      <c r="W160" s="88"/>
      <c r="X160" s="88"/>
      <c r="Y160" s="410"/>
      <c r="Z160" s="438"/>
      <c r="AA160" s="438"/>
      <c r="AB160" s="438"/>
    </row>
    <row r="161" spans="1:35">
      <c r="A161" s="148" t="s">
        <v>1</v>
      </c>
      <c r="B161" s="377" t="s">
        <v>529</v>
      </c>
      <c r="C161" s="27" t="s">
        <v>2</v>
      </c>
      <c r="D161" s="27" t="s">
        <v>2532</v>
      </c>
      <c r="E161" s="27" t="s">
        <v>2433</v>
      </c>
      <c r="F161" s="165"/>
      <c r="G161" s="22" t="s">
        <v>629</v>
      </c>
      <c r="H161" s="22"/>
      <c r="I161" s="22" t="s">
        <v>3</v>
      </c>
      <c r="J161" s="90"/>
      <c r="K161" s="91"/>
      <c r="L161" s="91"/>
      <c r="M161" s="92"/>
      <c r="N161" s="92"/>
      <c r="O161" s="92"/>
      <c r="P161" s="92"/>
      <c r="Q161" s="92"/>
      <c r="R161" s="92"/>
      <c r="S161" s="92"/>
      <c r="T161" s="92"/>
      <c r="U161" s="92"/>
      <c r="V161" s="92"/>
      <c r="W161" s="92"/>
      <c r="X161" s="92"/>
      <c r="Y161" s="411"/>
      <c r="Z161" s="439"/>
      <c r="AA161" s="439"/>
      <c r="AB161" s="439"/>
    </row>
    <row r="162" spans="1:35">
      <c r="A162" s="148">
        <v>45357</v>
      </c>
      <c r="B162" s="377"/>
      <c r="C162" s="20">
        <v>240305</v>
      </c>
      <c r="D162" s="20" t="str">
        <f t="shared" si="70"/>
        <v>高雄工業 海南第一</v>
      </c>
      <c r="E162" s="20" t="str">
        <f t="shared" si="71"/>
        <v>NGUYEN MINH THOAI</v>
      </c>
      <c r="F162" s="20" t="str">
        <f t="shared" si="72"/>
        <v>グエン　ミン　トアイ</v>
      </c>
      <c r="G162" s="22"/>
      <c r="H162" s="22"/>
      <c r="I162" s="22">
        <v>28000</v>
      </c>
      <c r="J162" s="65"/>
      <c r="M162" s="81">
        <v>23484</v>
      </c>
      <c r="N162" s="81">
        <v>28000</v>
      </c>
      <c r="O162" s="130">
        <v>28000</v>
      </c>
      <c r="P162" s="130">
        <v>28000</v>
      </c>
      <c r="Q162" s="130">
        <v>28000</v>
      </c>
      <c r="R162" s="130">
        <v>28000</v>
      </c>
      <c r="S162" s="130">
        <v>28000</v>
      </c>
      <c r="T162" s="130">
        <v>28000</v>
      </c>
      <c r="U162" s="130">
        <v>28000</v>
      </c>
      <c r="V162" s="130">
        <v>28000</v>
      </c>
      <c r="W162" s="130">
        <f>12871+9032</f>
        <v>21903</v>
      </c>
      <c r="X162" s="130">
        <v>28000</v>
      </c>
      <c r="Y162" s="408">
        <v>28000</v>
      </c>
      <c r="Z162" s="437">
        <v>28000</v>
      </c>
      <c r="AA162" s="437">
        <v>28000</v>
      </c>
      <c r="AB162" s="437">
        <v>28000</v>
      </c>
      <c r="AC162" s="437">
        <v>28000</v>
      </c>
      <c r="AD162" s="437">
        <v>28000</v>
      </c>
      <c r="AE162" s="437">
        <v>28000</v>
      </c>
      <c r="AF162" s="437">
        <v>28000</v>
      </c>
      <c r="AG162" s="437">
        <v>28000</v>
      </c>
      <c r="AH162" s="437">
        <v>28000</v>
      </c>
      <c r="AI162" s="448">
        <v>56000</v>
      </c>
    </row>
    <row r="163" spans="1:35">
      <c r="A163" s="145">
        <v>45357</v>
      </c>
      <c r="B163" s="376">
        <v>45992</v>
      </c>
      <c r="C163" s="20">
        <v>240306</v>
      </c>
      <c r="D163" s="20" t="str">
        <f t="shared" ref="D163:D164" si="79">IF(C163="","",_xlfn.XLOOKUP(C163,社員№,派遣先,"",0,-1))</f>
        <v>高雄工業 海南第一</v>
      </c>
      <c r="E163" s="20" t="str">
        <f t="shared" ref="E163:E164" si="80">IF(C163="","",_xlfn.XLOOKUP(C163,社員№,氏名,"",0,-1))</f>
        <v>LE BA PHU</v>
      </c>
      <c r="F163" s="20" t="str">
        <f t="shared" ref="F163:F164" si="81">IF(C163="","",_xlfn.XLOOKUP(C163,社員№,カナ,"",0,-1))</f>
        <v>レ　バ　フー</v>
      </c>
      <c r="G163" s="11"/>
      <c r="H163" s="11"/>
      <c r="I163" s="11">
        <v>28000</v>
      </c>
      <c r="J163" s="65"/>
      <c r="M163" s="81">
        <v>23484</v>
      </c>
      <c r="N163" s="81">
        <v>28000</v>
      </c>
      <c r="O163" s="81">
        <v>28000</v>
      </c>
      <c r="P163" s="81">
        <v>28000</v>
      </c>
      <c r="Q163" s="81">
        <v>28000</v>
      </c>
      <c r="R163" s="81">
        <v>28000</v>
      </c>
      <c r="S163" s="81">
        <v>28000</v>
      </c>
      <c r="T163" s="81">
        <v>28000</v>
      </c>
      <c r="U163" s="81">
        <v>28000</v>
      </c>
      <c r="V163" s="81">
        <v>28000</v>
      </c>
      <c r="W163" s="130">
        <f>12871+9032</f>
        <v>21903</v>
      </c>
      <c r="X163" s="130">
        <v>28000</v>
      </c>
      <c r="Y163" s="408">
        <v>28000</v>
      </c>
      <c r="Z163" s="437">
        <v>28000</v>
      </c>
      <c r="AA163" s="437">
        <v>28000</v>
      </c>
      <c r="AB163" s="437">
        <v>28000</v>
      </c>
      <c r="AC163" s="437">
        <v>28000</v>
      </c>
      <c r="AD163" s="437">
        <v>28000</v>
      </c>
      <c r="AE163" s="437">
        <v>28000</v>
      </c>
      <c r="AF163" s="437">
        <v>28000</v>
      </c>
      <c r="AG163" s="437">
        <v>28000</v>
      </c>
      <c r="AH163" s="437">
        <v>0</v>
      </c>
      <c r="AI163" s="448">
        <v>0</v>
      </c>
    </row>
    <row r="164" spans="1:35" hidden="1">
      <c r="A164" s="150">
        <v>45658</v>
      </c>
      <c r="B164" s="376">
        <v>45678</v>
      </c>
      <c r="C164" s="20">
        <v>240307</v>
      </c>
      <c r="D164" s="20" t="str">
        <f t="shared" si="79"/>
        <v>高雄工業 海南第一</v>
      </c>
      <c r="E164" s="20" t="str">
        <f t="shared" si="80"/>
        <v>NGUYEN KHOA TIEN DAT</v>
      </c>
      <c r="F164" s="20" t="str">
        <f t="shared" si="81"/>
        <v>グエン　コア　ティエン　ダット</v>
      </c>
      <c r="G164" s="11"/>
      <c r="H164" s="11"/>
      <c r="I164" s="11">
        <v>19000</v>
      </c>
      <c r="J164" s="65"/>
      <c r="O164" s="81"/>
      <c r="P164" s="81"/>
      <c r="Q164" s="81"/>
      <c r="R164" s="81"/>
      <c r="S164" s="81"/>
      <c r="T164" s="81"/>
      <c r="U164" s="81"/>
      <c r="V164" s="81"/>
      <c r="W164" s="81">
        <f>19000+20000</f>
        <v>39000</v>
      </c>
      <c r="X164" s="81">
        <v>0</v>
      </c>
      <c r="Y164" s="413">
        <v>0</v>
      </c>
      <c r="Z164" s="441">
        <v>0</v>
      </c>
      <c r="AA164" s="441">
        <v>0</v>
      </c>
      <c r="AB164" s="441">
        <v>0</v>
      </c>
      <c r="AG164" s="437">
        <v>28000</v>
      </c>
    </row>
    <row r="165" spans="1:35">
      <c r="A165" s="207"/>
      <c r="C165" s="47"/>
      <c r="F165" s="160"/>
      <c r="G165" s="10"/>
      <c r="H165" s="10"/>
      <c r="I165" s="10"/>
      <c r="J165" s="74"/>
      <c r="K165" s="10"/>
      <c r="L165" s="10"/>
      <c r="M165" s="88"/>
      <c r="N165" s="88"/>
      <c r="O165" s="88"/>
      <c r="P165" s="88"/>
      <c r="Q165" s="88"/>
      <c r="R165" s="88"/>
      <c r="S165" s="88"/>
      <c r="T165" s="88"/>
      <c r="U165" s="88"/>
      <c r="V165" s="88"/>
      <c r="W165" s="88"/>
      <c r="X165" s="88"/>
      <c r="Y165" s="410"/>
      <c r="Z165" s="438"/>
      <c r="AA165" s="438"/>
      <c r="AB165" s="438"/>
    </row>
    <row r="166" spans="1:35">
      <c r="A166" s="147"/>
      <c r="C166" s="36"/>
      <c r="D166" s="36"/>
      <c r="E166" s="36" t="s">
        <v>24</v>
      </c>
      <c r="F166" s="162"/>
      <c r="G166" s="210">
        <v>43000</v>
      </c>
      <c r="H166" s="210">
        <v>48500</v>
      </c>
      <c r="I166" s="210" t="s">
        <v>584</v>
      </c>
      <c r="J166" s="74"/>
      <c r="K166" s="10"/>
      <c r="L166" s="10"/>
      <c r="M166" s="88"/>
      <c r="N166" s="88"/>
      <c r="O166" s="88"/>
      <c r="P166" s="88"/>
      <c r="Q166" s="88"/>
      <c r="R166" s="88"/>
      <c r="S166" s="88"/>
      <c r="T166" s="88"/>
      <c r="U166" s="88"/>
      <c r="V166" s="88"/>
      <c r="W166" s="88"/>
      <c r="X166" s="88"/>
      <c r="Y166" s="410"/>
      <c r="Z166" s="438"/>
      <c r="AA166" s="438"/>
      <c r="AB166" s="438"/>
    </row>
    <row r="167" spans="1:35">
      <c r="A167" s="148" t="s">
        <v>1</v>
      </c>
      <c r="B167" s="377" t="s">
        <v>529</v>
      </c>
      <c r="C167" s="27" t="s">
        <v>2</v>
      </c>
      <c r="D167" s="27" t="s">
        <v>2532</v>
      </c>
      <c r="E167" s="27" t="s">
        <v>2433</v>
      </c>
      <c r="F167" s="165"/>
      <c r="G167" s="22" t="s">
        <v>629</v>
      </c>
      <c r="H167" s="22"/>
      <c r="I167" s="22" t="s">
        <v>3</v>
      </c>
      <c r="J167" s="90"/>
      <c r="K167" s="91"/>
      <c r="L167" s="91"/>
      <c r="M167" s="92"/>
      <c r="N167" s="92"/>
      <c r="O167" s="92"/>
      <c r="P167" s="92"/>
      <c r="Q167" s="92"/>
      <c r="R167" s="92"/>
      <c r="S167" s="92"/>
      <c r="T167" s="92"/>
      <c r="U167" s="92"/>
      <c r="V167" s="92"/>
      <c r="W167" s="92"/>
      <c r="X167" s="92"/>
      <c r="Y167" s="411"/>
      <c r="Z167" s="439"/>
      <c r="AA167" s="439"/>
      <c r="AB167" s="439"/>
    </row>
    <row r="168" spans="1:35" hidden="1">
      <c r="A168" s="145">
        <v>44713</v>
      </c>
      <c r="B168" s="376">
        <v>45838</v>
      </c>
      <c r="C168" s="27">
        <v>220602</v>
      </c>
      <c r="D168" s="20" t="str">
        <f t="shared" si="70"/>
        <v>高雄工業 海南第一</v>
      </c>
      <c r="E168" s="20" t="str">
        <f t="shared" si="71"/>
        <v>PHAM THANH LONG</v>
      </c>
      <c r="F168" s="20" t="str">
        <f t="shared" si="72"/>
        <v>ファム　タイン　ロン</v>
      </c>
      <c r="G168" s="11"/>
      <c r="H168" s="11"/>
      <c r="I168" s="11">
        <v>24250</v>
      </c>
      <c r="J168" s="65"/>
      <c r="K168" s="11">
        <v>24250</v>
      </c>
      <c r="L168" s="11">
        <v>24250</v>
      </c>
      <c r="M168" s="81">
        <v>24250</v>
      </c>
      <c r="N168" s="81">
        <v>24250</v>
      </c>
      <c r="O168" s="130">
        <v>24250</v>
      </c>
      <c r="P168" s="130">
        <v>24250</v>
      </c>
      <c r="Q168" s="130">
        <v>24250</v>
      </c>
      <c r="R168" s="130">
        <v>24250</v>
      </c>
      <c r="S168" s="130">
        <v>24250</v>
      </c>
      <c r="T168" s="130">
        <v>24250</v>
      </c>
      <c r="U168" s="130">
        <v>24250</v>
      </c>
      <c r="V168" s="130">
        <v>24250</v>
      </c>
      <c r="W168" s="130">
        <v>24250</v>
      </c>
      <c r="X168" s="130">
        <v>24250</v>
      </c>
      <c r="Y168" s="408">
        <v>24250</v>
      </c>
      <c r="Z168" s="437">
        <v>24250</v>
      </c>
      <c r="AA168" s="437">
        <f>24250</f>
        <v>24250</v>
      </c>
      <c r="AB168" s="437">
        <f>24250+20000</f>
        <v>44250</v>
      </c>
      <c r="AC168" s="405"/>
      <c r="AE168" s="491">
        <v>0</v>
      </c>
      <c r="AF168" s="522">
        <v>0</v>
      </c>
    </row>
    <row r="169" spans="1:35">
      <c r="A169" s="228">
        <v>45074</v>
      </c>
      <c r="B169" s="375">
        <v>45889</v>
      </c>
      <c r="C169" s="43">
        <v>210205</v>
      </c>
      <c r="D169" s="20" t="str">
        <f t="shared" ref="D169:D170" si="82">IF(C169="","",_xlfn.XLOOKUP(C169,社員№,派遣先,"",0,-1))</f>
        <v>高雄工業 海南第一</v>
      </c>
      <c r="E169" s="20" t="str">
        <f t="shared" ref="E169:E170" si="83">IF(C169="","",_xlfn.XLOOKUP(C169,社員№,氏名,"",0,-1))</f>
        <v>HOANG VAN VU</v>
      </c>
      <c r="F169" s="20" t="str">
        <f t="shared" ref="F169:F170" si="84">IF(C169="","",_xlfn.XLOOKUP(C169,社員№,カナ,"",0,-1))</f>
        <v>ホアン　ヴァン　ヴー</v>
      </c>
      <c r="G169" s="11"/>
      <c r="H169" s="3"/>
      <c r="I169" s="3">
        <v>24250</v>
      </c>
      <c r="J169" s="71"/>
      <c r="K169" s="3">
        <v>24250</v>
      </c>
      <c r="L169" s="3">
        <v>24250</v>
      </c>
      <c r="M169" s="95">
        <v>24250</v>
      </c>
      <c r="N169" s="95">
        <v>24250</v>
      </c>
      <c r="O169" s="136">
        <v>24250</v>
      </c>
      <c r="P169" s="136">
        <v>24250</v>
      </c>
      <c r="Q169" s="136">
        <v>24250</v>
      </c>
      <c r="R169" s="136">
        <v>24250</v>
      </c>
      <c r="S169" s="136">
        <v>24250</v>
      </c>
      <c r="T169" s="136">
        <v>24250</v>
      </c>
      <c r="U169" s="136">
        <v>24250</v>
      </c>
      <c r="V169" s="136">
        <v>24250</v>
      </c>
      <c r="W169" s="136">
        <v>24250</v>
      </c>
      <c r="X169" s="136">
        <v>24250</v>
      </c>
      <c r="Y169" s="421">
        <v>24250</v>
      </c>
      <c r="Z169" s="451">
        <v>24250</v>
      </c>
      <c r="AA169" s="451">
        <v>24250</v>
      </c>
      <c r="AB169" s="451">
        <v>24250</v>
      </c>
      <c r="AC169" s="451">
        <v>24250</v>
      </c>
      <c r="AD169" s="533">
        <v>44250</v>
      </c>
      <c r="AE169" s="477">
        <v>0</v>
      </c>
      <c r="AF169" s="531">
        <v>0</v>
      </c>
    </row>
    <row r="170" spans="1:35">
      <c r="A170" s="145">
        <v>45933</v>
      </c>
      <c r="B170" s="376"/>
      <c r="C170" s="27">
        <v>251002</v>
      </c>
      <c r="D170" s="20" t="str">
        <f t="shared" si="82"/>
        <v>ﾃｨｰｹｰｴﾝｼﾞﾆｱﾘﾝｸﾞ</v>
      </c>
      <c r="E170" s="20" t="str">
        <f t="shared" si="83"/>
        <v>TONG XUAN HOA</v>
      </c>
      <c r="F170" s="20" t="str">
        <f t="shared" si="84"/>
        <v>トン　スアン　ホア</v>
      </c>
      <c r="G170" s="11"/>
      <c r="H170" s="11"/>
      <c r="I170" s="3">
        <v>24250</v>
      </c>
      <c r="J170" s="65"/>
      <c r="O170" s="81"/>
      <c r="P170" s="81"/>
      <c r="Q170" s="81"/>
      <c r="R170" s="81"/>
      <c r="S170" s="81"/>
      <c r="T170" s="81"/>
      <c r="U170" s="81"/>
      <c r="V170" s="81"/>
      <c r="W170" s="81"/>
      <c r="X170" s="81"/>
      <c r="Y170" s="413"/>
      <c r="Z170" s="441"/>
      <c r="AA170" s="441"/>
      <c r="AB170" s="441"/>
      <c r="AC170" s="448"/>
      <c r="AD170" s="1"/>
      <c r="AE170" s="1"/>
      <c r="AF170" s="522">
        <v>22685</v>
      </c>
      <c r="AG170" s="522">
        <v>24250</v>
      </c>
      <c r="AH170" s="508">
        <v>24250</v>
      </c>
      <c r="AI170" s="508">
        <v>24250</v>
      </c>
    </row>
    <row r="171" spans="1:35">
      <c r="F171" s="160"/>
      <c r="G171" s="78"/>
      <c r="H171" s="78"/>
      <c r="I171" s="78"/>
      <c r="J171" s="74"/>
      <c r="K171" s="10"/>
      <c r="L171" s="10"/>
      <c r="M171" s="88"/>
      <c r="N171" s="88"/>
      <c r="O171" s="88"/>
      <c r="P171" s="88"/>
      <c r="Q171" s="88"/>
      <c r="R171" s="88"/>
      <c r="S171" s="88"/>
      <c r="T171" s="88"/>
      <c r="U171" s="88"/>
      <c r="V171" s="88"/>
      <c r="W171" s="88"/>
      <c r="X171" s="88"/>
      <c r="Y171" s="410"/>
      <c r="Z171" s="438"/>
      <c r="AA171" s="438"/>
      <c r="AB171" s="438"/>
      <c r="AF171" s="538"/>
    </row>
    <row r="172" spans="1:35">
      <c r="A172" s="147"/>
      <c r="C172" s="36"/>
      <c r="D172" s="36"/>
      <c r="E172" s="36" t="s">
        <v>2450</v>
      </c>
      <c r="F172" s="162"/>
      <c r="G172" s="534">
        <v>60380</v>
      </c>
      <c r="H172" s="534">
        <v>66000</v>
      </c>
      <c r="I172" s="534" t="s">
        <v>25</v>
      </c>
      <c r="J172" s="74" t="s">
        <v>997</v>
      </c>
      <c r="K172" s="10"/>
      <c r="L172" s="10"/>
      <c r="M172" s="88"/>
      <c r="N172" s="88"/>
      <c r="O172" s="88"/>
      <c r="P172" s="88"/>
      <c r="Q172" s="88"/>
      <c r="R172" s="88"/>
      <c r="S172" s="88"/>
      <c r="T172" s="88"/>
      <c r="U172" s="88"/>
      <c r="V172" s="88"/>
      <c r="W172" s="88"/>
      <c r="X172" s="88"/>
      <c r="Y172" s="410"/>
      <c r="Z172" s="438"/>
      <c r="AA172" s="438"/>
      <c r="AB172" s="438"/>
      <c r="AF172" s="538"/>
    </row>
    <row r="173" spans="1:35">
      <c r="A173" s="145" t="s">
        <v>1</v>
      </c>
      <c r="B173" s="377" t="s">
        <v>529</v>
      </c>
      <c r="C173" s="13" t="s">
        <v>2</v>
      </c>
      <c r="D173" s="13" t="s">
        <v>2532</v>
      </c>
      <c r="E173" s="13" t="s">
        <v>2433</v>
      </c>
      <c r="F173" s="160"/>
      <c r="G173" s="11" t="s">
        <v>629</v>
      </c>
      <c r="H173" s="11"/>
      <c r="I173" s="11" t="s">
        <v>3</v>
      </c>
      <c r="J173" s="107"/>
      <c r="K173" s="91"/>
      <c r="L173" s="91"/>
      <c r="M173" s="92"/>
      <c r="N173" s="92"/>
      <c r="O173" s="92"/>
      <c r="P173" s="92"/>
      <c r="Q173" s="92"/>
      <c r="R173" s="92"/>
      <c r="S173" s="92"/>
      <c r="T173" s="92"/>
      <c r="U173" s="92"/>
      <c r="V173" s="92"/>
      <c r="W173" s="92"/>
      <c r="X173" s="92"/>
      <c r="Y173" s="411"/>
      <c r="Z173" s="439"/>
      <c r="AA173" s="439"/>
      <c r="AB173" s="439"/>
    </row>
    <row r="174" spans="1:35">
      <c r="A174" s="148">
        <v>44632</v>
      </c>
      <c r="B174" s="377"/>
      <c r="C174" s="27">
        <v>220209</v>
      </c>
      <c r="D174" s="20" t="str">
        <f t="shared" si="70"/>
        <v>高雄工業 本社</v>
      </c>
      <c r="E174" s="20" t="str">
        <f t="shared" si="71"/>
        <v>NGUYEN VAN LAP</v>
      </c>
      <c r="F174" s="20" t="str">
        <f t="shared" si="72"/>
        <v>グエン　ヴァン　ラップ</v>
      </c>
      <c r="G174" s="11"/>
      <c r="H174" s="11"/>
      <c r="I174" s="11">
        <v>22000</v>
      </c>
      <c r="J174" s="67"/>
      <c r="K174" s="11">
        <v>22000</v>
      </c>
      <c r="L174" s="11">
        <v>22000</v>
      </c>
      <c r="M174" s="81">
        <v>22000</v>
      </c>
      <c r="N174" s="81">
        <v>22000</v>
      </c>
      <c r="O174" s="130">
        <v>22000</v>
      </c>
      <c r="P174" s="130">
        <v>22000</v>
      </c>
      <c r="Q174" s="130">
        <v>22000</v>
      </c>
      <c r="R174" s="130">
        <v>22000</v>
      </c>
      <c r="S174" s="130">
        <v>22000</v>
      </c>
      <c r="T174" s="130">
        <v>22000</v>
      </c>
      <c r="U174" s="130">
        <v>22000</v>
      </c>
      <c r="V174" s="130">
        <v>22000</v>
      </c>
      <c r="W174" s="130">
        <v>22000</v>
      </c>
      <c r="X174" s="130">
        <v>22000</v>
      </c>
      <c r="Y174" s="408">
        <f>22000+22000</f>
        <v>44000</v>
      </c>
      <c r="Z174" s="437">
        <v>0</v>
      </c>
      <c r="AA174" s="437">
        <v>22000</v>
      </c>
      <c r="AB174" s="437">
        <v>22000</v>
      </c>
      <c r="AC174" s="437">
        <v>22000</v>
      </c>
      <c r="AD174" s="437">
        <v>22000</v>
      </c>
      <c r="AE174" s="437">
        <v>22000</v>
      </c>
      <c r="AF174" s="437">
        <v>22000</v>
      </c>
      <c r="AG174" s="437">
        <v>22000</v>
      </c>
      <c r="AH174" s="437">
        <v>22000</v>
      </c>
      <c r="AI174" s="437">
        <v>22000</v>
      </c>
    </row>
    <row r="175" spans="1:35">
      <c r="A175" s="145">
        <v>44983</v>
      </c>
      <c r="B175" s="376"/>
      <c r="C175" s="27">
        <v>210610</v>
      </c>
      <c r="D175" s="20" t="str">
        <f t="shared" ref="D175:D176" si="85">IF(C175="","",_xlfn.XLOOKUP(C175,社員№,派遣先,"",0,-1))</f>
        <v>高雄工業 海南第一</v>
      </c>
      <c r="E175" s="20" t="str">
        <f t="shared" ref="E175:E176" si="86">IF(C175="","",_xlfn.XLOOKUP(C175,社員№,氏名,"",0,-1))</f>
        <v>CAO QUOC DUNG</v>
      </c>
      <c r="F175" s="20" t="str">
        <f t="shared" ref="F175:F176" si="87">IF(C175="","",_xlfn.XLOOKUP(C175,社員№,カナ,"",0,-1))</f>
        <v>カオ　コック　ズン</v>
      </c>
      <c r="G175" s="11"/>
      <c r="H175" s="11"/>
      <c r="I175" s="11">
        <v>22000</v>
      </c>
      <c r="J175" s="65"/>
      <c r="K175" s="11">
        <v>22000</v>
      </c>
      <c r="L175" s="11">
        <v>22000</v>
      </c>
      <c r="M175" s="81">
        <v>22000</v>
      </c>
      <c r="N175" s="81">
        <v>22000</v>
      </c>
      <c r="O175" s="130">
        <v>22000</v>
      </c>
      <c r="P175" s="130">
        <v>22000</v>
      </c>
      <c r="Q175" s="130">
        <v>22000</v>
      </c>
      <c r="R175" s="130">
        <v>22000</v>
      </c>
      <c r="S175" s="130">
        <v>22000</v>
      </c>
      <c r="T175" s="130">
        <v>22000</v>
      </c>
      <c r="U175" s="130">
        <v>22000</v>
      </c>
      <c r="V175" s="130">
        <v>22000</v>
      </c>
      <c r="W175" s="130">
        <v>22000</v>
      </c>
      <c r="X175" s="130">
        <v>22000</v>
      </c>
      <c r="Y175" s="408">
        <v>22000</v>
      </c>
      <c r="Z175" s="437">
        <v>22000</v>
      </c>
      <c r="AA175" s="437">
        <f>22000*2</f>
        <v>44000</v>
      </c>
      <c r="AB175" s="437">
        <v>0</v>
      </c>
      <c r="AC175" s="464">
        <v>22000</v>
      </c>
      <c r="AD175" s="493">
        <v>22000</v>
      </c>
      <c r="AE175" s="437">
        <v>22000</v>
      </c>
      <c r="AF175" s="437">
        <v>22000</v>
      </c>
      <c r="AG175" s="437">
        <v>22000</v>
      </c>
      <c r="AH175" s="437">
        <v>22000</v>
      </c>
      <c r="AI175" s="437">
        <v>22000</v>
      </c>
    </row>
    <row r="176" spans="1:35" hidden="1">
      <c r="A176" s="145">
        <v>45226</v>
      </c>
      <c r="B176" s="376">
        <v>45759</v>
      </c>
      <c r="C176" s="27">
        <v>231106</v>
      </c>
      <c r="D176" s="20" t="str">
        <f t="shared" si="85"/>
        <v>高雄工業 海南第一</v>
      </c>
      <c r="E176" s="20" t="str">
        <f t="shared" si="86"/>
        <v>LUU THANH HAI</v>
      </c>
      <c r="F176" s="20" t="str">
        <f t="shared" si="87"/>
        <v>リュ　タイン　ハイ</v>
      </c>
      <c r="G176" s="11"/>
      <c r="H176" s="11"/>
      <c r="I176" s="11">
        <v>22000</v>
      </c>
      <c r="J176" s="65"/>
      <c r="K176" s="11">
        <v>22000</v>
      </c>
      <c r="L176" s="11">
        <v>22000</v>
      </c>
      <c r="M176" s="81">
        <v>22000</v>
      </c>
      <c r="N176" s="81">
        <v>22000</v>
      </c>
      <c r="O176" s="130">
        <v>22000</v>
      </c>
      <c r="P176" s="130">
        <v>22000</v>
      </c>
      <c r="Q176" s="130">
        <v>22000</v>
      </c>
      <c r="R176" s="130">
        <v>22000</v>
      </c>
      <c r="S176" s="130">
        <v>22000</v>
      </c>
      <c r="T176" s="130">
        <v>22000</v>
      </c>
      <c r="U176" s="130">
        <v>22000</v>
      </c>
      <c r="V176" s="130">
        <v>22000</v>
      </c>
      <c r="W176" s="130">
        <v>22000</v>
      </c>
      <c r="X176" s="130">
        <v>22000</v>
      </c>
      <c r="Y176" s="408">
        <v>22000</v>
      </c>
      <c r="Z176" s="444">
        <f>22000+20000</f>
        <v>42000</v>
      </c>
      <c r="AA176" s="444">
        <v>0</v>
      </c>
      <c r="AB176" s="444">
        <v>0</v>
      </c>
      <c r="AC176" s="444">
        <v>0</v>
      </c>
      <c r="AD176" s="437">
        <v>22000</v>
      </c>
      <c r="AE176" s="437">
        <v>22000</v>
      </c>
      <c r="AF176" s="437">
        <v>22000</v>
      </c>
    </row>
    <row r="177" spans="1:35">
      <c r="A177" s="147"/>
      <c r="F177" s="160"/>
      <c r="G177" s="10"/>
      <c r="H177" s="10"/>
      <c r="I177" s="10"/>
      <c r="J177" s="74"/>
      <c r="K177" s="10"/>
      <c r="L177" s="10"/>
      <c r="M177" s="88"/>
      <c r="N177" s="88"/>
      <c r="O177" s="88"/>
      <c r="P177" s="88"/>
      <c r="Q177" s="88"/>
      <c r="R177" s="88"/>
      <c r="S177" s="88"/>
      <c r="T177" s="88"/>
      <c r="U177" s="88"/>
      <c r="V177" s="88"/>
      <c r="W177" s="88"/>
      <c r="X177" s="88"/>
      <c r="Y177" s="410"/>
      <c r="Z177" s="438"/>
      <c r="AA177" s="438"/>
      <c r="AB177" s="438"/>
    </row>
    <row r="178" spans="1:35">
      <c r="A178" s="147"/>
      <c r="C178" s="36"/>
      <c r="D178" s="36"/>
      <c r="E178" s="36" t="s">
        <v>88</v>
      </c>
      <c r="F178" s="162"/>
      <c r="G178" s="215">
        <v>58390</v>
      </c>
      <c r="H178" s="215">
        <v>66000</v>
      </c>
      <c r="I178" s="215" t="s">
        <v>587</v>
      </c>
      <c r="J178" s="74"/>
      <c r="K178" s="10"/>
      <c r="L178" s="10"/>
      <c r="M178" s="88"/>
      <c r="N178" s="88"/>
      <c r="O178" s="88"/>
      <c r="P178" s="88"/>
      <c r="Q178" s="88"/>
      <c r="R178" s="88"/>
      <c r="S178" s="88"/>
      <c r="T178" s="88"/>
      <c r="U178" s="88"/>
      <c r="V178" s="88"/>
      <c r="W178" s="88"/>
      <c r="X178" s="88"/>
      <c r="Y178" s="410"/>
      <c r="Z178" s="438"/>
      <c r="AA178" s="438"/>
      <c r="AB178" s="438"/>
    </row>
    <row r="179" spans="1:35">
      <c r="A179" s="148" t="s">
        <v>1</v>
      </c>
      <c r="B179" s="377" t="s">
        <v>529</v>
      </c>
      <c r="C179" s="27" t="s">
        <v>2</v>
      </c>
      <c r="D179" s="27" t="s">
        <v>2532</v>
      </c>
      <c r="E179" s="27" t="s">
        <v>2433</v>
      </c>
      <c r="F179" s="165"/>
      <c r="G179" s="11" t="s">
        <v>629</v>
      </c>
      <c r="H179" s="11"/>
      <c r="I179" s="11" t="s">
        <v>3</v>
      </c>
      <c r="J179" s="90"/>
      <c r="K179" s="91"/>
      <c r="L179" s="91"/>
      <c r="M179" s="92"/>
      <c r="N179" s="92"/>
      <c r="O179" s="92"/>
      <c r="P179" s="92"/>
      <c r="Q179" s="92"/>
      <c r="R179" s="92"/>
      <c r="S179" s="92"/>
      <c r="T179" s="92"/>
      <c r="U179" s="92"/>
      <c r="V179" s="92"/>
      <c r="W179" s="92"/>
      <c r="X179" s="92"/>
      <c r="Y179" s="411"/>
      <c r="Z179" s="439"/>
      <c r="AA179" s="439"/>
      <c r="AB179" s="439"/>
    </row>
    <row r="180" spans="1:35">
      <c r="A180" s="148">
        <v>44716</v>
      </c>
      <c r="B180" s="377"/>
      <c r="C180" s="27">
        <v>220609</v>
      </c>
      <c r="D180" s="20" t="str">
        <f t="shared" si="70"/>
        <v>高雄工業 海南第二</v>
      </c>
      <c r="E180" s="20" t="str">
        <f t="shared" si="71"/>
        <v>TRAN HUU HUNG</v>
      </c>
      <c r="F180" s="20" t="str">
        <f t="shared" si="72"/>
        <v>チャン　フウ　フン</v>
      </c>
      <c r="G180" s="11"/>
      <c r="H180" s="11"/>
      <c r="I180" s="11">
        <v>22000</v>
      </c>
      <c r="J180" s="65"/>
      <c r="K180" s="11">
        <v>22000</v>
      </c>
      <c r="L180" s="11">
        <v>22000</v>
      </c>
      <c r="M180" s="81">
        <v>22000</v>
      </c>
      <c r="N180" s="81">
        <v>22000</v>
      </c>
      <c r="O180" s="130">
        <v>22000</v>
      </c>
      <c r="P180" s="130">
        <v>22000</v>
      </c>
      <c r="Q180" s="130">
        <v>22000</v>
      </c>
      <c r="R180" s="130">
        <v>22000</v>
      </c>
      <c r="S180" s="130">
        <v>22000</v>
      </c>
      <c r="T180" s="130">
        <v>22000</v>
      </c>
      <c r="U180" s="130">
        <v>22000</v>
      </c>
      <c r="V180" s="81">
        <v>22000</v>
      </c>
      <c r="W180" s="81">
        <v>22000</v>
      </c>
      <c r="X180" s="81">
        <v>22000</v>
      </c>
      <c r="Y180" s="413">
        <v>22000</v>
      </c>
      <c r="Z180" s="441">
        <v>22000</v>
      </c>
      <c r="AA180" s="441">
        <v>22000</v>
      </c>
      <c r="AB180" s="441">
        <v>22000</v>
      </c>
      <c r="AC180" s="441">
        <v>22000</v>
      </c>
      <c r="AD180" s="441">
        <v>22000</v>
      </c>
      <c r="AE180" s="437">
        <v>22000</v>
      </c>
      <c r="AF180" s="437">
        <v>22000</v>
      </c>
      <c r="AG180" s="437">
        <v>22000</v>
      </c>
      <c r="AH180" s="437">
        <v>22000</v>
      </c>
      <c r="AI180" s="437">
        <v>22000</v>
      </c>
    </row>
    <row r="181" spans="1:35" hidden="1">
      <c r="A181" s="145">
        <v>45257</v>
      </c>
      <c r="B181" s="376" t="s">
        <v>894</v>
      </c>
      <c r="C181" s="27">
        <v>231205</v>
      </c>
      <c r="D181" s="20" t="str">
        <f t="shared" ref="D181:D183" si="88">IF(C181="","",_xlfn.XLOOKUP(C181,社員№,派遣先,"",0,-1))</f>
        <v>高雄工業 本社</v>
      </c>
      <c r="E181" s="20" t="str">
        <f t="shared" ref="E181:E183" si="89">IF(C181="","",_xlfn.XLOOKUP(C181,社員№,氏名,"",0,-1))</f>
        <v>TRAN VAN TRUONG DUY</v>
      </c>
      <c r="F181" s="20" t="str">
        <f t="shared" ref="F181:F183" si="90">IF(C181="","",_xlfn.XLOOKUP(C181,社員№,カナ,"",0,-1))</f>
        <v>チャン　ヴァン　チュオン　ズイ</v>
      </c>
      <c r="G181" s="11"/>
      <c r="H181" s="11"/>
      <c r="I181" s="11">
        <v>22000</v>
      </c>
      <c r="J181" s="65"/>
      <c r="K181" s="11">
        <v>22000</v>
      </c>
      <c r="L181" s="11">
        <v>22000</v>
      </c>
      <c r="M181" s="81">
        <v>22000</v>
      </c>
      <c r="N181" s="81">
        <v>22000</v>
      </c>
      <c r="O181" s="81">
        <v>22000</v>
      </c>
      <c r="P181" s="81">
        <v>22000</v>
      </c>
      <c r="Q181" s="81">
        <v>22000</v>
      </c>
      <c r="R181" s="81">
        <v>22000</v>
      </c>
      <c r="S181" s="81">
        <v>22000</v>
      </c>
      <c r="T181" s="81">
        <v>22000</v>
      </c>
      <c r="U181" s="81">
        <v>22000</v>
      </c>
      <c r="V181" s="81">
        <v>22000</v>
      </c>
      <c r="W181" s="81">
        <v>22000</v>
      </c>
      <c r="X181" s="81">
        <f>22000+20000</f>
        <v>42000</v>
      </c>
      <c r="Y181" s="413">
        <v>0</v>
      </c>
      <c r="Z181" s="441">
        <v>0</v>
      </c>
      <c r="AA181" s="441">
        <v>0</v>
      </c>
      <c r="AB181" s="441">
        <v>0</v>
      </c>
      <c r="AC181" s="441">
        <v>22000</v>
      </c>
      <c r="AD181" s="441">
        <v>22000</v>
      </c>
      <c r="AE181" s="437">
        <v>22000</v>
      </c>
      <c r="AF181" s="437">
        <v>22000</v>
      </c>
      <c r="AG181" s="437">
        <v>22000</v>
      </c>
      <c r="AH181" s="437">
        <v>22000</v>
      </c>
      <c r="AI181" s="437">
        <v>22000</v>
      </c>
    </row>
    <row r="182" spans="1:35">
      <c r="A182" s="145">
        <v>45628</v>
      </c>
      <c r="B182" s="376"/>
      <c r="C182" s="27">
        <v>241202</v>
      </c>
      <c r="D182" s="20" t="str">
        <f t="shared" si="88"/>
        <v>高雄工業 本社</v>
      </c>
      <c r="E182" s="20" t="str">
        <f t="shared" si="89"/>
        <v>NGUYEN THANH VAN</v>
      </c>
      <c r="F182" s="20" t="str">
        <f t="shared" si="90"/>
        <v>グエン　タイン　ヴァン</v>
      </c>
      <c r="G182" s="11"/>
      <c r="H182" s="11"/>
      <c r="I182" s="11">
        <v>22000</v>
      </c>
      <c r="J182" s="65"/>
      <c r="O182" s="81"/>
      <c r="P182" s="81"/>
      <c r="Q182" s="81"/>
      <c r="R182" s="81"/>
      <c r="S182" s="81"/>
      <c r="T182" s="81"/>
      <c r="U182" s="81"/>
      <c r="V182" s="81">
        <v>21290</v>
      </c>
      <c r="W182" s="81">
        <v>22000</v>
      </c>
      <c r="X182" s="81">
        <v>22000</v>
      </c>
      <c r="Y182" s="413">
        <v>22000</v>
      </c>
      <c r="Z182" s="441">
        <v>22000</v>
      </c>
      <c r="AA182" s="441">
        <v>22000</v>
      </c>
      <c r="AB182" s="441">
        <v>22000</v>
      </c>
      <c r="AC182" s="441">
        <v>22000</v>
      </c>
      <c r="AD182" s="441">
        <v>22000</v>
      </c>
      <c r="AE182" s="437">
        <v>22000</v>
      </c>
      <c r="AF182" s="437">
        <v>22000</v>
      </c>
      <c r="AG182" s="437">
        <v>22000</v>
      </c>
      <c r="AH182" s="437">
        <v>22000</v>
      </c>
      <c r="AI182" s="437">
        <v>22000</v>
      </c>
    </row>
    <row r="183" spans="1:35">
      <c r="A183" s="145">
        <v>45721</v>
      </c>
      <c r="B183" s="376"/>
      <c r="C183" s="20">
        <v>250224</v>
      </c>
      <c r="D183" s="20" t="str">
        <f t="shared" si="88"/>
        <v>高雄工業 本社</v>
      </c>
      <c r="E183" s="20" t="str">
        <f t="shared" si="89"/>
        <v>NONG DUC HUNG</v>
      </c>
      <c r="F183" s="20" t="str">
        <f t="shared" si="90"/>
        <v>ノン　ドゥック　フン</v>
      </c>
      <c r="G183" s="11"/>
      <c r="H183" s="11"/>
      <c r="I183" s="11">
        <v>22000</v>
      </c>
      <c r="J183" s="65"/>
      <c r="O183" s="81"/>
      <c r="P183" s="81"/>
      <c r="Q183" s="81"/>
      <c r="R183" s="81"/>
      <c r="S183" s="81"/>
      <c r="T183" s="81"/>
      <c r="U183" s="81"/>
      <c r="V183" s="81"/>
      <c r="W183" s="81"/>
      <c r="X183" s="81"/>
      <c r="Y183" s="413">
        <f>8423+2355+19161</f>
        <v>29939</v>
      </c>
      <c r="Z183" s="441">
        <v>22000</v>
      </c>
      <c r="AA183" s="441">
        <v>22000</v>
      </c>
      <c r="AB183" s="441">
        <v>22000</v>
      </c>
      <c r="AC183" s="441">
        <v>22000</v>
      </c>
      <c r="AD183" s="441">
        <v>22000</v>
      </c>
      <c r="AE183" s="437">
        <v>22000</v>
      </c>
      <c r="AF183" s="437">
        <v>22000</v>
      </c>
      <c r="AG183" s="437">
        <v>22000</v>
      </c>
      <c r="AH183" s="437">
        <v>22000</v>
      </c>
      <c r="AI183" s="437">
        <v>22000</v>
      </c>
    </row>
    <row r="184" spans="1:35">
      <c r="C184" s="47"/>
      <c r="E184" s="21"/>
      <c r="F184" s="177"/>
      <c r="G184" s="10"/>
      <c r="H184" s="10"/>
      <c r="I184" s="10"/>
      <c r="J184" s="74"/>
      <c r="K184" s="10"/>
      <c r="L184" s="10"/>
      <c r="M184" s="88"/>
      <c r="N184" s="88"/>
      <c r="O184" s="88"/>
      <c r="P184" s="88"/>
      <c r="Q184" s="88"/>
      <c r="R184" s="88"/>
      <c r="S184" s="88"/>
      <c r="T184" s="88"/>
      <c r="U184" s="88"/>
      <c r="V184" s="88"/>
      <c r="W184" s="88"/>
      <c r="X184" s="88"/>
      <c r="Y184" s="410"/>
      <c r="Z184" s="438"/>
      <c r="AA184" s="438"/>
      <c r="AB184" s="438"/>
    </row>
    <row r="185" spans="1:35">
      <c r="C185" s="51"/>
      <c r="D185" s="51"/>
      <c r="E185" s="51" t="s">
        <v>336</v>
      </c>
      <c r="F185" s="171"/>
      <c r="G185" s="210">
        <v>59500</v>
      </c>
      <c r="H185" s="210">
        <v>64500</v>
      </c>
      <c r="I185" s="210" t="s">
        <v>587</v>
      </c>
      <c r="J185" s="90"/>
      <c r="K185" s="10"/>
      <c r="L185" s="10"/>
      <c r="M185" s="88"/>
      <c r="N185" s="88"/>
      <c r="O185" s="88"/>
      <c r="P185" s="88"/>
      <c r="Q185" s="88"/>
      <c r="R185" s="88"/>
      <c r="S185" s="88"/>
      <c r="T185" s="88"/>
      <c r="U185" s="88"/>
      <c r="V185" s="88"/>
      <c r="W185" s="88"/>
      <c r="X185" s="88"/>
      <c r="Y185" s="410"/>
      <c r="Z185" s="438"/>
      <c r="AA185" s="438"/>
      <c r="AB185" s="438"/>
    </row>
    <row r="186" spans="1:35">
      <c r="A186" s="145" t="s">
        <v>1</v>
      </c>
      <c r="B186" s="376" t="s">
        <v>529</v>
      </c>
      <c r="C186" s="27" t="s">
        <v>2</v>
      </c>
      <c r="D186" s="27" t="s">
        <v>2532</v>
      </c>
      <c r="E186" s="27" t="s">
        <v>2433</v>
      </c>
      <c r="F186" s="165"/>
      <c r="G186" s="11" t="s">
        <v>629</v>
      </c>
      <c r="H186" s="11"/>
      <c r="I186" s="11" t="s">
        <v>3</v>
      </c>
      <c r="J186" s="67"/>
      <c r="K186" s="89"/>
      <c r="L186" s="91"/>
      <c r="M186" s="92"/>
      <c r="N186" s="92"/>
      <c r="O186" s="92"/>
      <c r="P186" s="92"/>
      <c r="Q186" s="92"/>
      <c r="R186" s="92"/>
      <c r="S186" s="92"/>
      <c r="T186" s="92"/>
      <c r="U186" s="92"/>
      <c r="V186" s="92"/>
      <c r="W186" s="92"/>
      <c r="X186" s="92"/>
      <c r="Y186" s="411"/>
      <c r="Z186" s="439"/>
      <c r="AA186" s="439"/>
      <c r="AB186" s="439"/>
    </row>
    <row r="187" spans="1:35">
      <c r="A187" s="145">
        <v>45133</v>
      </c>
      <c r="B187" s="376"/>
      <c r="C187" s="27">
        <v>230811</v>
      </c>
      <c r="D187" s="20" t="str">
        <f t="shared" si="70"/>
        <v>高雄工業 本社</v>
      </c>
      <c r="E187" s="20" t="str">
        <f t="shared" si="71"/>
        <v>NGUYEN VAN QUY</v>
      </c>
      <c r="F187" s="20" t="str">
        <f t="shared" si="72"/>
        <v>グエン　ヴァン　クイ</v>
      </c>
      <c r="G187" s="119"/>
      <c r="H187" s="119"/>
      <c r="I187" s="119">
        <v>21500</v>
      </c>
      <c r="J187" s="67"/>
      <c r="K187" s="11">
        <v>21500</v>
      </c>
      <c r="L187" s="11">
        <v>21500</v>
      </c>
      <c r="M187" s="81">
        <v>21500</v>
      </c>
      <c r="N187" s="81">
        <v>21500</v>
      </c>
      <c r="O187" s="130">
        <v>21500</v>
      </c>
      <c r="P187" s="130">
        <v>21500</v>
      </c>
      <c r="Q187" s="130">
        <v>21500</v>
      </c>
      <c r="R187" s="130">
        <v>21500</v>
      </c>
      <c r="S187" s="130">
        <v>21500</v>
      </c>
      <c r="T187" s="130">
        <v>21500</v>
      </c>
      <c r="U187" s="130">
        <v>21500</v>
      </c>
      <c r="V187" s="130">
        <v>21500</v>
      </c>
      <c r="W187" s="130">
        <v>21500</v>
      </c>
      <c r="X187" s="130">
        <v>21500</v>
      </c>
      <c r="Y187" s="408">
        <v>21500</v>
      </c>
      <c r="Z187" s="437">
        <v>21500</v>
      </c>
      <c r="AA187" s="437">
        <v>21500</v>
      </c>
      <c r="AB187" s="437">
        <v>21500</v>
      </c>
      <c r="AC187" s="437">
        <v>21500</v>
      </c>
      <c r="AD187" s="437">
        <v>21500</v>
      </c>
      <c r="AE187" s="437">
        <v>21500</v>
      </c>
      <c r="AF187" s="437">
        <v>21500</v>
      </c>
      <c r="AG187" s="437">
        <v>21500</v>
      </c>
      <c r="AH187" s="437">
        <v>21500</v>
      </c>
      <c r="AI187" s="437">
        <v>21500</v>
      </c>
    </row>
    <row r="188" spans="1:35">
      <c r="A188" s="145">
        <v>45595</v>
      </c>
      <c r="B188" s="376">
        <v>46054</v>
      </c>
      <c r="C188" s="27">
        <v>241101</v>
      </c>
      <c r="D188" s="20" t="str">
        <f t="shared" ref="D188:D190" si="91">IF(C188="","",_xlfn.XLOOKUP(C188,社員№,派遣先,"",0,-1))</f>
        <v>高雄工業 海南第一</v>
      </c>
      <c r="E188" s="20" t="str">
        <f t="shared" ref="E188:E190" si="92">IF(C188="","",_xlfn.XLOOKUP(C188,社員№,氏名,"",0,-1))</f>
        <v>NGUYEN QUOC BAO</v>
      </c>
      <c r="F188" s="20" t="str">
        <f t="shared" ref="F188:F190" si="93">IF(C188="","",_xlfn.XLOOKUP(C188,社員№,カナ,"",0,-1))</f>
        <v>グエン　クォック　バオ</v>
      </c>
      <c r="G188" s="119"/>
      <c r="H188" s="119"/>
      <c r="I188" s="119">
        <v>21500</v>
      </c>
      <c r="J188" s="67"/>
      <c r="P188" s="1"/>
      <c r="Q188" s="1"/>
      <c r="R188" s="27"/>
      <c r="S188" s="27"/>
      <c r="T188" s="27"/>
      <c r="U188" s="27">
        <f>1387+21500</f>
        <v>22887</v>
      </c>
      <c r="V188" s="27">
        <v>21500</v>
      </c>
      <c r="W188" s="27">
        <v>21500</v>
      </c>
      <c r="X188" s="27">
        <v>21500</v>
      </c>
      <c r="Y188" s="7">
        <v>21500</v>
      </c>
      <c r="Z188" s="448">
        <v>21500</v>
      </c>
      <c r="AA188" s="448">
        <v>21500</v>
      </c>
      <c r="AB188" s="448">
        <v>21500</v>
      </c>
      <c r="AC188" s="437">
        <v>21500</v>
      </c>
      <c r="AD188" s="437">
        <v>21500</v>
      </c>
      <c r="AE188" s="437">
        <v>21500</v>
      </c>
      <c r="AF188" s="437">
        <v>21500</v>
      </c>
      <c r="AG188" s="437">
        <v>21500</v>
      </c>
      <c r="AH188" s="437">
        <v>21500</v>
      </c>
      <c r="AI188" s="437">
        <v>21500</v>
      </c>
    </row>
    <row r="189" spans="1:35" hidden="1">
      <c r="A189" s="145">
        <v>45181</v>
      </c>
      <c r="B189" s="376">
        <v>45716</v>
      </c>
      <c r="C189" s="27">
        <v>230908</v>
      </c>
      <c r="D189" s="20" t="str">
        <f t="shared" si="91"/>
        <v>高雄工業 本社</v>
      </c>
      <c r="E189" s="20" t="str">
        <f t="shared" si="92"/>
        <v>LE VAN HAI</v>
      </c>
      <c r="F189" s="20" t="str">
        <f t="shared" si="93"/>
        <v>レー　バン　ハイ</v>
      </c>
      <c r="G189" s="120"/>
      <c r="H189" s="120"/>
      <c r="I189" s="120">
        <v>21500</v>
      </c>
      <c r="J189" s="65"/>
      <c r="K189" s="11">
        <v>21500</v>
      </c>
      <c r="L189" s="11">
        <v>21500</v>
      </c>
      <c r="M189" s="81">
        <v>21500</v>
      </c>
      <c r="N189" s="81">
        <v>21500</v>
      </c>
      <c r="O189" s="81">
        <v>21500</v>
      </c>
      <c r="P189" s="81">
        <v>21500</v>
      </c>
      <c r="Q189" s="81">
        <v>21500</v>
      </c>
      <c r="R189" s="81">
        <v>21500</v>
      </c>
      <c r="S189" s="81">
        <v>21500</v>
      </c>
      <c r="T189" s="81">
        <v>21500</v>
      </c>
      <c r="U189" s="81">
        <v>21500</v>
      </c>
      <c r="V189" s="81">
        <v>21500</v>
      </c>
      <c r="W189" s="81">
        <v>21500</v>
      </c>
      <c r="X189" s="81">
        <f>21500+20000</f>
        <v>41500</v>
      </c>
      <c r="Y189" s="413">
        <v>0</v>
      </c>
      <c r="Z189" s="441">
        <v>0</v>
      </c>
      <c r="AA189" s="441">
        <v>0</v>
      </c>
      <c r="AB189" s="441">
        <v>0</v>
      </c>
      <c r="AC189" s="437">
        <v>21500</v>
      </c>
      <c r="AD189" s="437">
        <v>21500</v>
      </c>
      <c r="AE189" s="437">
        <v>21500</v>
      </c>
      <c r="AF189" s="437">
        <v>21500</v>
      </c>
      <c r="AG189" s="437">
        <v>21500</v>
      </c>
      <c r="AH189" s="437">
        <v>21500</v>
      </c>
      <c r="AI189" s="437">
        <v>21500</v>
      </c>
    </row>
    <row r="190" spans="1:35">
      <c r="A190" s="145">
        <v>45729</v>
      </c>
      <c r="B190" s="376"/>
      <c r="C190" s="27">
        <v>250310</v>
      </c>
      <c r="D190" s="20" t="str">
        <f t="shared" si="91"/>
        <v>高雄工業 海南第二</v>
      </c>
      <c r="E190" s="20" t="str">
        <f t="shared" si="92"/>
        <v>LO VIET DUC</v>
      </c>
      <c r="F190" s="20" t="str">
        <f t="shared" si="93"/>
        <v>ロ　ヴィエット　ドゥック</v>
      </c>
      <c r="G190" s="120"/>
      <c r="H190" s="120"/>
      <c r="I190" s="120">
        <v>21500</v>
      </c>
      <c r="J190" s="65"/>
      <c r="O190" s="81"/>
      <c r="P190" s="81"/>
      <c r="Q190" s="81"/>
      <c r="R190" s="81"/>
      <c r="S190" s="81"/>
      <c r="T190" s="81"/>
      <c r="U190" s="81"/>
      <c r="V190" s="81"/>
      <c r="W190" s="81"/>
      <c r="X190" s="81"/>
      <c r="Y190" s="418">
        <v>13177</v>
      </c>
      <c r="Z190" s="446">
        <f>13177+21500</f>
        <v>34677</v>
      </c>
      <c r="AA190" s="446">
        <v>21500</v>
      </c>
      <c r="AB190" s="446">
        <v>21500</v>
      </c>
      <c r="AC190" s="437">
        <v>21500</v>
      </c>
      <c r="AD190" s="437">
        <v>21500</v>
      </c>
      <c r="AE190" s="437">
        <v>21500</v>
      </c>
      <c r="AF190" s="437">
        <v>21500</v>
      </c>
      <c r="AG190" s="437">
        <v>21500</v>
      </c>
      <c r="AH190" s="437">
        <v>21500</v>
      </c>
      <c r="AI190" s="437">
        <v>21500</v>
      </c>
    </row>
    <row r="191" spans="1:35">
      <c r="F191" s="160"/>
      <c r="G191" s="10"/>
      <c r="H191" s="10"/>
      <c r="I191" s="10"/>
      <c r="J191" s="74"/>
      <c r="K191" s="10"/>
      <c r="L191" s="10"/>
      <c r="M191" s="88"/>
      <c r="N191" s="88"/>
      <c r="O191" s="88"/>
      <c r="P191" s="88"/>
      <c r="Q191" s="88"/>
      <c r="R191" s="88"/>
      <c r="S191" s="88"/>
      <c r="T191" s="88"/>
      <c r="U191" s="88"/>
      <c r="V191" s="88"/>
      <c r="W191" s="88"/>
      <c r="X191" s="88"/>
      <c r="Y191" s="410"/>
      <c r="Z191" s="438"/>
      <c r="AA191" s="438"/>
      <c r="AB191" s="438"/>
      <c r="AG191" s="437"/>
    </row>
    <row r="192" spans="1:35">
      <c r="C192" s="51"/>
      <c r="D192" s="51"/>
      <c r="E192" s="51" t="s">
        <v>341</v>
      </c>
      <c r="F192" s="171"/>
      <c r="G192" s="210">
        <v>59500</v>
      </c>
      <c r="H192" s="210">
        <v>64500</v>
      </c>
      <c r="I192" s="210" t="s">
        <v>593</v>
      </c>
      <c r="J192" s="90"/>
      <c r="K192" s="10"/>
      <c r="L192" s="10"/>
      <c r="M192" s="88"/>
      <c r="N192" s="88"/>
      <c r="O192" s="88"/>
      <c r="P192" s="88"/>
      <c r="Q192" s="88"/>
      <c r="R192" s="88"/>
      <c r="S192" s="88"/>
      <c r="T192" s="88"/>
      <c r="U192" s="88"/>
      <c r="V192" s="88"/>
      <c r="W192" s="88"/>
      <c r="X192" s="88"/>
      <c r="Y192" s="410"/>
      <c r="Z192" s="438"/>
      <c r="AA192" s="438"/>
      <c r="AB192" s="438"/>
    </row>
    <row r="193" spans="1:35">
      <c r="A193" s="145" t="s">
        <v>1</v>
      </c>
      <c r="B193" s="376" t="s">
        <v>529</v>
      </c>
      <c r="C193" s="27" t="s">
        <v>2</v>
      </c>
      <c r="D193" s="27" t="s">
        <v>2532</v>
      </c>
      <c r="E193" s="27" t="s">
        <v>2433</v>
      </c>
      <c r="F193" s="165"/>
      <c r="G193" s="11" t="s">
        <v>629</v>
      </c>
      <c r="H193" s="11"/>
      <c r="I193" s="11" t="s">
        <v>3</v>
      </c>
      <c r="J193" s="67"/>
      <c r="K193" s="89"/>
      <c r="L193" s="91"/>
      <c r="M193" s="92"/>
      <c r="N193" s="92"/>
      <c r="O193" s="92"/>
      <c r="P193" s="92"/>
      <c r="Q193" s="92"/>
      <c r="R193" s="92"/>
      <c r="S193" s="92"/>
      <c r="T193" s="92"/>
      <c r="U193" s="92"/>
      <c r="V193" s="92"/>
      <c r="W193" s="92"/>
      <c r="X193" s="92"/>
      <c r="Y193" s="411"/>
      <c r="Z193" s="439"/>
      <c r="AA193" s="439"/>
      <c r="AB193" s="439"/>
    </row>
    <row r="194" spans="1:35">
      <c r="A194" s="145">
        <v>45689</v>
      </c>
      <c r="B194" s="376"/>
      <c r="C194" s="27">
        <v>241217</v>
      </c>
      <c r="D194" s="20" t="str">
        <f t="shared" si="70"/>
        <v>高雄工業 海南第一</v>
      </c>
      <c r="E194" s="20" t="str">
        <f t="shared" si="71"/>
        <v>PHAM BA DAI</v>
      </c>
      <c r="F194" s="20" t="str">
        <f t="shared" si="72"/>
        <v>ファム　バ　ダイ</v>
      </c>
      <c r="G194" s="15"/>
      <c r="H194" s="120"/>
      <c r="I194" s="120">
        <v>21500</v>
      </c>
      <c r="J194" s="65"/>
      <c r="O194" s="81"/>
      <c r="P194" s="81"/>
      <c r="Q194" s="81"/>
      <c r="R194" s="81"/>
      <c r="S194" s="118"/>
      <c r="T194" s="82"/>
      <c r="U194" s="82"/>
      <c r="V194" s="82"/>
      <c r="W194" s="82"/>
      <c r="X194" s="82">
        <v>21500</v>
      </c>
      <c r="Y194" s="202">
        <v>21500</v>
      </c>
      <c r="Z194" s="446">
        <v>21500</v>
      </c>
      <c r="AA194" s="446">
        <v>21500</v>
      </c>
      <c r="AB194" s="446">
        <v>21500</v>
      </c>
      <c r="AC194" s="446">
        <v>21500</v>
      </c>
      <c r="AD194" s="446">
        <v>21500</v>
      </c>
      <c r="AE194" s="444">
        <v>21500</v>
      </c>
      <c r="AF194" s="444">
        <v>21500</v>
      </c>
      <c r="AG194" s="444">
        <v>21500</v>
      </c>
      <c r="AH194" s="444">
        <v>21500</v>
      </c>
      <c r="AI194" s="444">
        <v>21500</v>
      </c>
    </row>
    <row r="195" spans="1:35">
      <c r="A195" s="145">
        <v>45689</v>
      </c>
      <c r="B195" s="376"/>
      <c r="C195" s="20">
        <v>241215</v>
      </c>
      <c r="D195" s="20" t="str">
        <f t="shared" ref="D195:D196" si="94">IF(C195="","",_xlfn.XLOOKUP(C195,社員№,派遣先,"",0,-1))</f>
        <v>高雄工業 海南第二</v>
      </c>
      <c r="E195" s="20" t="str">
        <f t="shared" ref="E195:E196" si="95">IF(C195="","",_xlfn.XLOOKUP(C195,社員№,氏名,"",0,-1))</f>
        <v>NGUYEN PHUONG CUONG</v>
      </c>
      <c r="F195" s="20" t="str">
        <f t="shared" ref="F195:F196" si="96">IF(C195="","",_xlfn.XLOOKUP(C195,社員№,カナ,"",0,-1))</f>
        <v>グエン　フォン　クオン</v>
      </c>
      <c r="G195" s="11"/>
      <c r="H195" s="11"/>
      <c r="I195" s="120">
        <v>21500</v>
      </c>
      <c r="J195" s="65"/>
      <c r="O195" s="81"/>
      <c r="P195" s="81"/>
      <c r="Q195" s="81"/>
      <c r="R195" s="81"/>
      <c r="S195" s="118"/>
      <c r="T195" s="82"/>
      <c r="U195" s="82"/>
      <c r="V195" s="82"/>
      <c r="W195" s="82"/>
      <c r="X195" s="82">
        <v>21500</v>
      </c>
      <c r="Y195" s="202">
        <v>21500</v>
      </c>
      <c r="Z195" s="446">
        <v>21500</v>
      </c>
      <c r="AA195" s="446">
        <v>21500</v>
      </c>
      <c r="AB195" s="446">
        <v>21500</v>
      </c>
      <c r="AC195" s="446">
        <v>21500</v>
      </c>
      <c r="AD195" s="446">
        <v>21500</v>
      </c>
      <c r="AE195" s="444">
        <v>21500</v>
      </c>
      <c r="AF195" s="444">
        <v>21500</v>
      </c>
      <c r="AG195" s="444">
        <v>21500</v>
      </c>
      <c r="AH195" s="444">
        <v>21500</v>
      </c>
      <c r="AI195" s="444">
        <v>21500</v>
      </c>
    </row>
    <row r="196" spans="1:35">
      <c r="A196" s="145">
        <v>45816</v>
      </c>
      <c r="B196" s="376"/>
      <c r="C196" s="27">
        <v>241007</v>
      </c>
      <c r="D196" s="20" t="str">
        <f t="shared" si="94"/>
        <v>高雄工業 海南第二</v>
      </c>
      <c r="E196" s="20" t="str">
        <f t="shared" si="95"/>
        <v>NGUYEN VAN TUNG</v>
      </c>
      <c r="F196" s="20" t="str">
        <f t="shared" si="96"/>
        <v>グエン　ヴァン　トゥン</v>
      </c>
      <c r="G196" s="11"/>
      <c r="H196" s="11"/>
      <c r="I196" s="120">
        <v>21500</v>
      </c>
      <c r="J196" s="65"/>
      <c r="O196" s="81"/>
      <c r="P196" s="81"/>
      <c r="Q196" s="81"/>
      <c r="R196" s="81"/>
      <c r="S196" s="81"/>
      <c r="T196" s="81"/>
      <c r="U196" s="81"/>
      <c r="V196" s="81"/>
      <c r="W196" s="81"/>
      <c r="X196" s="81"/>
      <c r="Y196" s="413"/>
      <c r="Z196" s="441"/>
      <c r="AA196" s="441"/>
      <c r="AB196" s="441">
        <f>7451+16483</f>
        <v>23934</v>
      </c>
      <c r="AC196" s="446">
        <v>21500</v>
      </c>
      <c r="AD196" s="446">
        <v>21500</v>
      </c>
      <c r="AE196" s="444">
        <v>21500</v>
      </c>
      <c r="AF196" s="444">
        <v>21500</v>
      </c>
      <c r="AG196" s="444">
        <v>21500</v>
      </c>
      <c r="AH196" s="444">
        <v>21500</v>
      </c>
      <c r="AI196" s="444">
        <v>21500</v>
      </c>
    </row>
    <row r="197" spans="1:35">
      <c r="F197" s="160"/>
      <c r="G197" s="10"/>
      <c r="H197" s="10"/>
      <c r="I197" s="10"/>
      <c r="J197" s="74"/>
      <c r="K197" s="10"/>
      <c r="L197" s="10"/>
      <c r="M197" s="88"/>
      <c r="N197" s="88"/>
      <c r="O197" s="88"/>
      <c r="P197" s="88"/>
      <c r="Q197" s="88"/>
      <c r="R197" s="88"/>
      <c r="S197" s="88"/>
      <c r="T197" s="88"/>
      <c r="U197" s="88"/>
      <c r="V197" s="88"/>
      <c r="W197" s="88"/>
      <c r="X197" s="88"/>
      <c r="Y197" s="410"/>
      <c r="Z197" s="438"/>
      <c r="AA197" s="438"/>
      <c r="AB197" s="438"/>
    </row>
    <row r="198" spans="1:35">
      <c r="A198" s="147"/>
      <c r="C198" s="36"/>
      <c r="D198" s="36"/>
      <c r="E198" s="36" t="s">
        <v>171</v>
      </c>
      <c r="F198" s="162"/>
      <c r="G198" s="210">
        <v>64500</v>
      </c>
      <c r="H198" s="210">
        <v>70000</v>
      </c>
      <c r="I198" s="210" t="s">
        <v>587</v>
      </c>
      <c r="J198" s="210"/>
      <c r="K198" s="10"/>
      <c r="L198" s="10"/>
      <c r="M198" s="88"/>
      <c r="N198" s="88"/>
      <c r="O198" s="88"/>
      <c r="P198" s="88"/>
      <c r="Q198" s="88"/>
      <c r="R198" s="88"/>
      <c r="S198" s="88"/>
      <c r="T198" s="88"/>
      <c r="U198" s="88"/>
      <c r="V198" s="88"/>
      <c r="W198" s="88"/>
      <c r="X198" s="88"/>
      <c r="Y198" s="410"/>
      <c r="Z198" s="438"/>
      <c r="AA198" s="438"/>
      <c r="AB198" s="438"/>
    </row>
    <row r="199" spans="1:35">
      <c r="A199" s="145" t="s">
        <v>1</v>
      </c>
      <c r="B199" s="376" t="s">
        <v>529</v>
      </c>
      <c r="C199" s="27" t="s">
        <v>2</v>
      </c>
      <c r="D199" s="27" t="s">
        <v>2532</v>
      </c>
      <c r="E199" s="27" t="s">
        <v>2433</v>
      </c>
      <c r="F199" s="165"/>
      <c r="G199" s="108" t="s">
        <v>632</v>
      </c>
      <c r="H199" s="108"/>
      <c r="I199" s="103" t="s">
        <v>3</v>
      </c>
      <c r="J199" s="90"/>
      <c r="K199" s="91"/>
      <c r="L199" s="91"/>
      <c r="M199" s="92"/>
      <c r="N199" s="92"/>
      <c r="O199" s="92"/>
      <c r="P199" s="92"/>
      <c r="Q199" s="92"/>
      <c r="R199" s="92"/>
      <c r="S199" s="92"/>
      <c r="T199" s="92"/>
      <c r="U199" s="92"/>
      <c r="V199" s="92"/>
      <c r="W199" s="92"/>
      <c r="X199" s="92"/>
      <c r="Y199" s="411"/>
      <c r="Z199" s="439"/>
      <c r="AA199" s="439"/>
      <c r="AB199" s="439"/>
    </row>
    <row r="200" spans="1:35" hidden="1">
      <c r="A200" s="145">
        <v>44834</v>
      </c>
      <c r="B200" s="376">
        <v>45651</v>
      </c>
      <c r="C200" s="27">
        <v>201106</v>
      </c>
      <c r="D200" s="20" t="str">
        <f t="shared" si="70"/>
        <v>高雄工業 海南第一</v>
      </c>
      <c r="E200" s="20" t="str">
        <f t="shared" si="71"/>
        <v>NGUYEN DINH TOAN</v>
      </c>
      <c r="F200" s="20" t="str">
        <f t="shared" si="72"/>
        <v>グエン　ディン　トアン</v>
      </c>
      <c r="G200" s="15"/>
      <c r="H200" s="15"/>
      <c r="I200" s="15">
        <v>64500</v>
      </c>
      <c r="J200" s="65"/>
      <c r="K200" s="11">
        <v>64500</v>
      </c>
      <c r="L200" s="11">
        <v>64500</v>
      </c>
      <c r="M200" s="81">
        <v>64500</v>
      </c>
      <c r="N200" s="81">
        <v>64500</v>
      </c>
      <c r="O200" s="81">
        <v>64500</v>
      </c>
      <c r="P200" s="81">
        <v>64500</v>
      </c>
      <c r="Q200" s="81">
        <v>64500</v>
      </c>
      <c r="R200" s="81">
        <v>64500</v>
      </c>
      <c r="S200" s="81">
        <v>64500</v>
      </c>
      <c r="T200" s="81">
        <v>64500</v>
      </c>
      <c r="U200" s="81">
        <v>64500</v>
      </c>
      <c r="V200" s="81">
        <v>64500</v>
      </c>
      <c r="W200" s="81">
        <v>0</v>
      </c>
      <c r="X200" s="81">
        <v>0</v>
      </c>
      <c r="Y200" s="413">
        <v>0</v>
      </c>
      <c r="Z200" s="441">
        <v>0</v>
      </c>
      <c r="AA200" s="441">
        <v>0</v>
      </c>
      <c r="AB200" s="441">
        <v>0</v>
      </c>
    </row>
    <row r="201" spans="1:35" hidden="1">
      <c r="A201" s="145">
        <v>45667</v>
      </c>
      <c r="B201" s="376">
        <v>45689</v>
      </c>
      <c r="C201" s="27">
        <v>241217</v>
      </c>
      <c r="D201" s="20" t="str">
        <f t="shared" ref="D201:D204" si="97">IF(C201="","",_xlfn.XLOOKUP(C201,社員№,派遣先,"",0,-1))</f>
        <v>高雄工業 海南第一</v>
      </c>
      <c r="E201" s="20" t="str">
        <f t="shared" ref="E201:E204" si="98">IF(C201="","",_xlfn.XLOOKUP(C201,社員№,氏名,"",0,-1))</f>
        <v>PHAM BA DAI</v>
      </c>
      <c r="F201" s="20" t="str">
        <f t="shared" ref="F201:F204" si="99">IF(C201="","",_xlfn.XLOOKUP(C201,社員№,カナ,"",0,-1))</f>
        <v>ファム　バ　ダイ</v>
      </c>
      <c r="G201" s="15"/>
      <c r="H201" s="15"/>
      <c r="I201" s="15">
        <v>17500</v>
      </c>
      <c r="J201" s="65"/>
      <c r="O201" s="81"/>
      <c r="P201" s="81"/>
      <c r="Q201" s="81"/>
      <c r="R201" s="81"/>
      <c r="S201" s="81"/>
      <c r="T201" s="81"/>
      <c r="U201" s="81"/>
      <c r="V201" s="81"/>
      <c r="W201" s="81">
        <f>6129+12419</f>
        <v>18548</v>
      </c>
      <c r="X201" s="81">
        <v>0</v>
      </c>
      <c r="Y201" s="413">
        <v>0</v>
      </c>
      <c r="Z201" s="441">
        <v>0</v>
      </c>
      <c r="AA201" s="441">
        <v>0</v>
      </c>
      <c r="AB201" s="441">
        <v>0</v>
      </c>
    </row>
    <row r="202" spans="1:35">
      <c r="A202" s="145">
        <v>45667</v>
      </c>
      <c r="B202" s="376"/>
      <c r="C202" s="27">
        <v>250107</v>
      </c>
      <c r="D202" s="20" t="str">
        <f t="shared" si="97"/>
        <v>高雄工業 海南第一</v>
      </c>
      <c r="E202" s="20" t="str">
        <f t="shared" si="98"/>
        <v>MAI THANH TUONG DUY</v>
      </c>
      <c r="F202" s="20" t="str">
        <f t="shared" si="99"/>
        <v>マイ　タイン　チュオン　ズイ</v>
      </c>
      <c r="G202" s="15"/>
      <c r="H202" s="15"/>
      <c r="I202" s="15">
        <v>23400</v>
      </c>
      <c r="J202" s="65"/>
      <c r="O202" s="81"/>
      <c r="P202" s="81"/>
      <c r="Q202" s="81"/>
      <c r="R202" s="81"/>
      <c r="S202" s="81"/>
      <c r="T202" s="81"/>
      <c r="U202" s="81"/>
      <c r="V202" s="81"/>
      <c r="W202" s="81">
        <v>12419</v>
      </c>
      <c r="X202" s="81">
        <v>23400</v>
      </c>
      <c r="Y202" s="413">
        <v>23400</v>
      </c>
      <c r="Z202" s="441">
        <v>23400</v>
      </c>
      <c r="AA202" s="441">
        <v>23400</v>
      </c>
      <c r="AB202" s="441">
        <v>23400</v>
      </c>
      <c r="AC202" s="441">
        <v>23400</v>
      </c>
      <c r="AD202" s="441">
        <v>23400</v>
      </c>
      <c r="AE202" s="437">
        <v>23400</v>
      </c>
      <c r="AF202" s="437">
        <v>23400</v>
      </c>
      <c r="AG202" s="437">
        <v>23400</v>
      </c>
      <c r="AH202" s="437">
        <v>23400</v>
      </c>
      <c r="AI202" s="437">
        <v>23400</v>
      </c>
    </row>
    <row r="203" spans="1:35">
      <c r="A203" s="145">
        <v>45667</v>
      </c>
      <c r="B203" s="376"/>
      <c r="C203" s="27">
        <v>250108</v>
      </c>
      <c r="D203" s="20" t="str">
        <f t="shared" si="97"/>
        <v>高雄工業 海南第二</v>
      </c>
      <c r="E203" s="20" t="str">
        <f t="shared" si="98"/>
        <v>NGUYEN HUU NGHIA</v>
      </c>
      <c r="F203" s="20" t="str">
        <f t="shared" si="99"/>
        <v>グエン　ヒュウ　ギア</v>
      </c>
      <c r="G203" s="15"/>
      <c r="H203" s="15"/>
      <c r="I203" s="15">
        <v>23400</v>
      </c>
      <c r="J203" s="65"/>
      <c r="O203" s="81"/>
      <c r="P203" s="81"/>
      <c r="Q203" s="81"/>
      <c r="R203" s="81"/>
      <c r="S203" s="81"/>
      <c r="T203" s="81"/>
      <c r="U203" s="81"/>
      <c r="V203" s="81"/>
      <c r="W203" s="81">
        <v>12419</v>
      </c>
      <c r="X203" s="81">
        <v>23400</v>
      </c>
      <c r="Y203" s="413">
        <v>23400</v>
      </c>
      <c r="Z203" s="441">
        <v>23400</v>
      </c>
      <c r="AA203" s="441">
        <v>23400</v>
      </c>
      <c r="AB203" s="441">
        <v>23400</v>
      </c>
      <c r="AC203" s="441">
        <v>23400</v>
      </c>
      <c r="AD203" s="441">
        <v>23400</v>
      </c>
      <c r="AE203" s="437">
        <v>23400</v>
      </c>
      <c r="AF203" s="437">
        <v>23400</v>
      </c>
      <c r="AG203" s="437">
        <v>23400</v>
      </c>
      <c r="AH203" s="437">
        <v>23400</v>
      </c>
      <c r="AI203" s="437">
        <v>23400</v>
      </c>
    </row>
    <row r="204" spans="1:35">
      <c r="A204" s="145">
        <v>45667</v>
      </c>
      <c r="B204" s="376"/>
      <c r="C204" s="27">
        <v>250109</v>
      </c>
      <c r="D204" s="20" t="str">
        <f t="shared" si="97"/>
        <v>高雄工業 海南第二</v>
      </c>
      <c r="E204" s="20" t="str">
        <f t="shared" si="98"/>
        <v>TRINH VAN NGOC ANH</v>
      </c>
      <c r="F204" s="20" t="str">
        <f t="shared" si="99"/>
        <v>チン　ヴァン　ゴック　アイン</v>
      </c>
      <c r="G204" s="15"/>
      <c r="H204" s="15"/>
      <c r="I204" s="15">
        <v>23400</v>
      </c>
      <c r="J204" s="65"/>
      <c r="O204" s="81"/>
      <c r="P204" s="81"/>
      <c r="Q204" s="81"/>
      <c r="R204" s="81"/>
      <c r="S204" s="81"/>
      <c r="T204" s="81"/>
      <c r="U204" s="81"/>
      <c r="V204" s="81"/>
      <c r="W204" s="81">
        <v>12419</v>
      </c>
      <c r="X204" s="81">
        <v>23400</v>
      </c>
      <c r="Y204" s="413">
        <v>23400</v>
      </c>
      <c r="Z204" s="441">
        <v>23400</v>
      </c>
      <c r="AA204" s="441">
        <v>23400</v>
      </c>
      <c r="AB204" s="441">
        <v>23400</v>
      </c>
      <c r="AC204" s="441">
        <v>23400</v>
      </c>
      <c r="AD204" s="441">
        <v>23400</v>
      </c>
      <c r="AE204" s="437">
        <v>23400</v>
      </c>
      <c r="AF204" s="437">
        <v>23400</v>
      </c>
      <c r="AG204" s="437">
        <v>23400</v>
      </c>
      <c r="AH204" s="437">
        <v>23400</v>
      </c>
      <c r="AI204" s="437">
        <v>23400</v>
      </c>
    </row>
    <row r="205" spans="1:35">
      <c r="F205" s="160"/>
      <c r="G205" s="10"/>
      <c r="H205" s="10"/>
      <c r="I205" s="10"/>
      <c r="J205" s="74"/>
      <c r="K205" s="10"/>
      <c r="L205" s="10"/>
      <c r="M205" s="88"/>
      <c r="N205" s="88"/>
      <c r="O205" s="88"/>
      <c r="P205" s="88"/>
      <c r="Q205" s="88"/>
      <c r="R205" s="88"/>
      <c r="S205" s="88"/>
      <c r="T205" s="88"/>
      <c r="U205" s="88"/>
      <c r="V205" s="88"/>
      <c r="W205" s="88"/>
      <c r="X205" s="88"/>
      <c r="Y205" s="410"/>
      <c r="Z205" s="438"/>
      <c r="AA205" s="438"/>
      <c r="AB205" s="438"/>
    </row>
    <row r="206" spans="1:35">
      <c r="C206" s="36"/>
      <c r="D206" s="36"/>
      <c r="E206" s="36" t="s">
        <v>404</v>
      </c>
      <c r="F206" s="162"/>
      <c r="G206" s="216">
        <v>58980</v>
      </c>
      <c r="H206" s="216">
        <v>64500</v>
      </c>
      <c r="I206" s="216" t="s">
        <v>574</v>
      </c>
      <c r="J206" s="74"/>
      <c r="K206" s="10"/>
      <c r="L206" s="10"/>
      <c r="M206" s="88"/>
      <c r="N206" s="88"/>
      <c r="O206" s="88"/>
      <c r="P206" s="88"/>
      <c r="Q206" s="88"/>
      <c r="R206" s="88"/>
      <c r="S206" s="88"/>
      <c r="T206" s="88"/>
      <c r="U206" s="88"/>
      <c r="V206" s="88"/>
      <c r="W206" s="88"/>
      <c r="X206" s="88"/>
      <c r="Y206" s="410"/>
      <c r="Z206" s="438"/>
      <c r="AA206" s="438"/>
      <c r="AB206" s="438"/>
    </row>
    <row r="207" spans="1:35">
      <c r="A207" s="145" t="s">
        <v>1</v>
      </c>
      <c r="B207" s="376" t="s">
        <v>529</v>
      </c>
      <c r="C207" s="27" t="s">
        <v>2</v>
      </c>
      <c r="D207" s="27" t="s">
        <v>2532</v>
      </c>
      <c r="E207" s="27" t="s">
        <v>2433</v>
      </c>
      <c r="F207" s="165"/>
      <c r="G207" s="11" t="s">
        <v>629</v>
      </c>
      <c r="H207" s="11"/>
      <c r="I207" s="11" t="s">
        <v>3</v>
      </c>
      <c r="J207" s="90"/>
      <c r="K207" s="91"/>
      <c r="L207" s="91"/>
      <c r="M207" s="92"/>
      <c r="N207" s="92"/>
      <c r="O207" s="92"/>
      <c r="P207" s="92"/>
      <c r="Q207" s="92"/>
      <c r="R207" s="92"/>
      <c r="S207" s="92"/>
      <c r="T207" s="92"/>
      <c r="U207" s="92"/>
      <c r="V207" s="92"/>
      <c r="W207" s="92"/>
      <c r="X207" s="92"/>
      <c r="Y207" s="411"/>
      <c r="Z207" s="439"/>
      <c r="AA207" s="439"/>
      <c r="AB207" s="439"/>
    </row>
    <row r="208" spans="1:35">
      <c r="A208" s="145">
        <v>45226</v>
      </c>
      <c r="B208" s="376"/>
      <c r="C208" s="27">
        <v>231102</v>
      </c>
      <c r="D208" s="20" t="str">
        <f t="shared" ref="D208:D277" si="100">IF(C208="","",_xlfn.XLOOKUP(C208,社員№,派遣先,"",0,-1))</f>
        <v>高雄工業 本社</v>
      </c>
      <c r="E208" s="20" t="str">
        <f t="shared" ref="E208:E277" si="101">IF(C208="","",_xlfn.XLOOKUP(C208,社員№,氏名,"",0,-1))</f>
        <v>DUONG THANH TUNG</v>
      </c>
      <c r="F208" s="20" t="str">
        <f t="shared" ref="F208:F277" si="102">IF(C208="","",_xlfn.XLOOKUP(C208,社員№,カナ,"",0,-1))</f>
        <v>ズオン　タイン　トゥン</v>
      </c>
      <c r="G208" s="11"/>
      <c r="H208" s="11"/>
      <c r="I208" s="11">
        <v>21500</v>
      </c>
      <c r="J208" s="217"/>
      <c r="K208" s="11">
        <v>21500</v>
      </c>
      <c r="L208" s="11">
        <v>21500</v>
      </c>
      <c r="M208" s="81">
        <v>21500</v>
      </c>
      <c r="N208" s="81">
        <v>21500</v>
      </c>
      <c r="O208" s="130">
        <v>21500</v>
      </c>
      <c r="P208" s="130">
        <v>21500</v>
      </c>
      <c r="Q208" s="130">
        <v>21500</v>
      </c>
      <c r="R208" s="130">
        <v>21500</v>
      </c>
      <c r="S208" s="130">
        <v>21500</v>
      </c>
      <c r="T208" s="130">
        <v>21500</v>
      </c>
      <c r="U208" s="130">
        <v>21500</v>
      </c>
      <c r="V208" s="130">
        <v>21500</v>
      </c>
      <c r="W208" s="130">
        <v>21500</v>
      </c>
      <c r="X208" s="130">
        <v>21500</v>
      </c>
      <c r="Y208" s="408">
        <v>21500</v>
      </c>
      <c r="Z208" s="437">
        <v>21500</v>
      </c>
      <c r="AA208" s="437">
        <v>21500</v>
      </c>
      <c r="AB208" s="437">
        <v>21500</v>
      </c>
      <c r="AC208" s="437">
        <v>21500</v>
      </c>
      <c r="AD208" s="437">
        <v>21500</v>
      </c>
      <c r="AE208" s="437">
        <v>21500</v>
      </c>
      <c r="AF208" s="437">
        <v>21500</v>
      </c>
      <c r="AG208" s="437">
        <v>21500</v>
      </c>
      <c r="AH208" s="437">
        <v>21500</v>
      </c>
      <c r="AI208" s="437">
        <v>21500</v>
      </c>
    </row>
    <row r="209" spans="1:35">
      <c r="A209" s="145">
        <v>45226</v>
      </c>
      <c r="B209" s="376"/>
      <c r="C209" s="27">
        <v>231103</v>
      </c>
      <c r="D209" s="20" t="str">
        <f t="shared" ref="D209:D210" si="103">IF(C209="","",_xlfn.XLOOKUP(C209,社員№,派遣先,"",0,-1))</f>
        <v>高雄工業 本社</v>
      </c>
      <c r="E209" s="20" t="str">
        <f t="shared" ref="E209:E210" si="104">IF(C209="","",_xlfn.XLOOKUP(C209,社員№,氏名,"",0,-1))</f>
        <v>LOC TRUNG THIEN</v>
      </c>
      <c r="F209" s="20" t="str">
        <f t="shared" ref="F209:F210" si="105">IF(C209="","",_xlfn.XLOOKUP(C209,社員№,カナ,"",0,-1))</f>
        <v>ロック　チュン　ティエン</v>
      </c>
      <c r="G209" s="11"/>
      <c r="H209" s="11"/>
      <c r="I209" s="11">
        <v>21500</v>
      </c>
      <c r="J209" s="67"/>
      <c r="K209" s="11">
        <v>21500</v>
      </c>
      <c r="L209" s="11">
        <v>21500</v>
      </c>
      <c r="M209" s="81">
        <v>21500</v>
      </c>
      <c r="N209" s="81">
        <v>21500</v>
      </c>
      <c r="O209" s="130">
        <v>21500</v>
      </c>
      <c r="P209" s="130">
        <v>21500</v>
      </c>
      <c r="Q209" s="130">
        <v>21500</v>
      </c>
      <c r="R209" s="130">
        <v>21500</v>
      </c>
      <c r="S209" s="130">
        <v>21500</v>
      </c>
      <c r="T209" s="130">
        <v>21500</v>
      </c>
      <c r="U209" s="130">
        <v>21500</v>
      </c>
      <c r="V209" s="130">
        <v>21500</v>
      </c>
      <c r="W209" s="130">
        <v>21500</v>
      </c>
      <c r="X209" s="130">
        <v>21500</v>
      </c>
      <c r="Y209" s="408">
        <v>21500</v>
      </c>
      <c r="Z209" s="437">
        <v>21500</v>
      </c>
      <c r="AA209" s="437">
        <v>21500</v>
      </c>
      <c r="AB209" s="437">
        <v>21500</v>
      </c>
      <c r="AC209" s="437">
        <v>21500</v>
      </c>
      <c r="AD209" s="437">
        <v>21500</v>
      </c>
      <c r="AE209" s="437">
        <v>21500</v>
      </c>
      <c r="AF209" s="437">
        <v>21500</v>
      </c>
      <c r="AG209" s="437">
        <v>21500</v>
      </c>
      <c r="AH209" s="437">
        <v>21500</v>
      </c>
      <c r="AI209" s="437">
        <v>21500</v>
      </c>
    </row>
    <row r="210" spans="1:35">
      <c r="A210" s="145">
        <v>45226</v>
      </c>
      <c r="B210" s="376"/>
      <c r="C210" s="27">
        <v>231107</v>
      </c>
      <c r="D210" s="20" t="str">
        <f t="shared" si="103"/>
        <v>高雄工業 海南第一</v>
      </c>
      <c r="E210" s="20" t="str">
        <f t="shared" si="104"/>
        <v>NGUYEN VAN LONG</v>
      </c>
      <c r="F210" s="20" t="str">
        <f t="shared" si="105"/>
        <v>グエン　ヴァン　ロン</v>
      </c>
      <c r="G210" s="11"/>
      <c r="H210" s="11"/>
      <c r="I210" s="11">
        <v>21500</v>
      </c>
      <c r="J210" s="67"/>
      <c r="K210" s="11">
        <v>21500</v>
      </c>
      <c r="L210" s="11">
        <v>21500</v>
      </c>
      <c r="M210" s="81">
        <v>21500</v>
      </c>
      <c r="N210" s="81">
        <v>21500</v>
      </c>
      <c r="O210" s="130">
        <v>21500</v>
      </c>
      <c r="P210" s="130">
        <v>21500</v>
      </c>
      <c r="Q210" s="130">
        <v>21500</v>
      </c>
      <c r="R210" s="130">
        <v>21500</v>
      </c>
      <c r="S210" s="130">
        <v>21500</v>
      </c>
      <c r="T210" s="130">
        <v>21500</v>
      </c>
      <c r="U210" s="130">
        <v>21500</v>
      </c>
      <c r="V210" s="130">
        <v>21500</v>
      </c>
      <c r="W210" s="130">
        <v>21500</v>
      </c>
      <c r="X210" s="130">
        <v>21500</v>
      </c>
      <c r="Y210" s="408">
        <v>21500</v>
      </c>
      <c r="Z210" s="437">
        <v>21500</v>
      </c>
      <c r="AA210" s="437">
        <v>21500</v>
      </c>
      <c r="AB210" s="437">
        <v>21500</v>
      </c>
      <c r="AC210" s="437">
        <v>21500</v>
      </c>
      <c r="AD210" s="437">
        <v>21500</v>
      </c>
      <c r="AE210" s="437">
        <v>21500</v>
      </c>
      <c r="AF210" s="437">
        <v>21500</v>
      </c>
      <c r="AG210" s="437">
        <v>21500</v>
      </c>
      <c r="AH210" s="437">
        <v>21500</v>
      </c>
      <c r="AI210" s="437">
        <v>21500</v>
      </c>
    </row>
    <row r="211" spans="1:35">
      <c r="F211" s="160"/>
      <c r="G211" s="10"/>
      <c r="H211" s="10"/>
      <c r="I211" s="10"/>
      <c r="J211" s="74"/>
      <c r="K211" s="10"/>
      <c r="L211" s="10"/>
      <c r="M211" s="88"/>
      <c r="N211" s="88"/>
      <c r="O211" s="88"/>
      <c r="P211" s="88"/>
      <c r="Q211" s="88"/>
      <c r="R211" s="88"/>
      <c r="S211" s="88"/>
      <c r="T211" s="88"/>
      <c r="U211" s="88"/>
      <c r="V211" s="88"/>
      <c r="W211" s="88"/>
      <c r="X211" s="88"/>
      <c r="Y211" s="410"/>
      <c r="Z211" s="438"/>
      <c r="AA211" s="438"/>
      <c r="AB211" s="438"/>
      <c r="AC211" s="437"/>
    </row>
    <row r="212" spans="1:35">
      <c r="C212" s="36"/>
      <c r="D212" s="36"/>
      <c r="E212" s="36" t="s">
        <v>439</v>
      </c>
      <c r="F212" s="162"/>
      <c r="G212" s="216">
        <v>50880</v>
      </c>
      <c r="H212" s="216">
        <v>55880</v>
      </c>
      <c r="I212" s="216" t="s">
        <v>584</v>
      </c>
      <c r="J212" s="74"/>
      <c r="K212" s="10"/>
      <c r="L212" s="10"/>
      <c r="M212" s="88"/>
      <c r="N212" s="88"/>
      <c r="O212" s="88"/>
      <c r="P212" s="88"/>
      <c r="Q212" s="88"/>
      <c r="R212" s="88"/>
      <c r="S212" s="88"/>
      <c r="T212" s="88"/>
      <c r="U212" s="88"/>
      <c r="V212" s="88"/>
      <c r="W212" s="88"/>
      <c r="X212" s="88"/>
      <c r="Y212" s="410"/>
      <c r="Z212" s="438"/>
      <c r="AA212" s="438"/>
      <c r="AB212" s="438"/>
    </row>
    <row r="213" spans="1:35">
      <c r="A213" s="145" t="s">
        <v>1</v>
      </c>
      <c r="B213" s="376" t="s">
        <v>529</v>
      </c>
      <c r="C213" s="27" t="s">
        <v>2</v>
      </c>
      <c r="D213" s="27" t="s">
        <v>2532</v>
      </c>
      <c r="E213" s="27" t="s">
        <v>2433</v>
      </c>
      <c r="F213" s="165"/>
      <c r="G213" s="11" t="s">
        <v>629</v>
      </c>
      <c r="H213" s="11"/>
      <c r="I213" s="11" t="s">
        <v>3</v>
      </c>
      <c r="J213" s="90"/>
      <c r="K213" s="91"/>
      <c r="L213" s="91"/>
      <c r="M213" s="92"/>
      <c r="N213" s="92"/>
      <c r="O213" s="92"/>
      <c r="P213" s="92"/>
      <c r="Q213" s="92"/>
      <c r="R213" s="92"/>
      <c r="S213" s="92"/>
      <c r="T213" s="92"/>
      <c r="U213" s="92"/>
      <c r="V213" s="92"/>
      <c r="W213" s="92"/>
      <c r="X213" s="92"/>
      <c r="Y213" s="411"/>
      <c r="Z213" s="439"/>
      <c r="AA213" s="439"/>
      <c r="AB213" s="439"/>
    </row>
    <row r="214" spans="1:35">
      <c r="A214" s="145">
        <v>45257</v>
      </c>
      <c r="B214" s="376"/>
      <c r="C214" s="27">
        <v>231206</v>
      </c>
      <c r="D214" s="20" t="str">
        <f t="shared" si="100"/>
        <v>高雄工業 本社</v>
      </c>
      <c r="E214" s="20" t="str">
        <f t="shared" si="101"/>
        <v>PHAM VAN PHUONG</v>
      </c>
      <c r="F214" s="20" t="str">
        <f t="shared" si="102"/>
        <v>ファム　ヴァン　フォン</v>
      </c>
      <c r="G214" s="12"/>
      <c r="H214" s="12"/>
      <c r="I214" s="12">
        <v>27940</v>
      </c>
      <c r="J214" s="65"/>
      <c r="K214" s="11">
        <v>27940</v>
      </c>
      <c r="L214" s="11">
        <v>27940</v>
      </c>
      <c r="M214" s="81">
        <v>27940</v>
      </c>
      <c r="N214" s="81">
        <v>27940</v>
      </c>
      <c r="O214" s="81">
        <v>27940</v>
      </c>
      <c r="P214" s="81">
        <v>27940</v>
      </c>
      <c r="Q214" s="81">
        <v>27940</v>
      </c>
      <c r="R214" s="81">
        <v>27940</v>
      </c>
      <c r="S214" s="81">
        <v>27940</v>
      </c>
      <c r="T214" s="81">
        <v>27940</v>
      </c>
      <c r="U214" s="81">
        <v>27940</v>
      </c>
      <c r="V214" s="81">
        <v>27940</v>
      </c>
      <c r="W214" s="81">
        <v>27940</v>
      </c>
      <c r="X214" s="81">
        <v>27940</v>
      </c>
      <c r="Y214" s="413">
        <v>27940</v>
      </c>
      <c r="Z214" s="441">
        <v>27940</v>
      </c>
      <c r="AA214" s="441">
        <v>27940</v>
      </c>
      <c r="AB214" s="441">
        <v>27940</v>
      </c>
      <c r="AC214" s="441">
        <v>27940</v>
      </c>
      <c r="AD214" s="441">
        <v>27940</v>
      </c>
      <c r="AE214" s="437">
        <v>27940</v>
      </c>
      <c r="AF214" s="437">
        <v>27940</v>
      </c>
      <c r="AG214" s="437">
        <v>27940</v>
      </c>
      <c r="AH214" s="437">
        <v>27940</v>
      </c>
      <c r="AI214" s="437">
        <v>27940</v>
      </c>
    </row>
    <row r="215" spans="1:35">
      <c r="A215" s="145">
        <v>45579</v>
      </c>
      <c r="B215" s="376">
        <v>45816</v>
      </c>
      <c r="C215" s="27">
        <v>241007</v>
      </c>
      <c r="D215" s="20" t="str">
        <f t="shared" ref="D215:D216" si="106">IF(C215="","",_xlfn.XLOOKUP(C215,社員№,派遣先,"",0,-1))</f>
        <v>高雄工業 海南第二</v>
      </c>
      <c r="E215" s="20" t="str">
        <f t="shared" ref="E215:E216" si="107">IF(C215="","",_xlfn.XLOOKUP(C215,社員№,氏名,"",0,-1))</f>
        <v>NGUYEN VAN TUNG</v>
      </c>
      <c r="F215" s="20" t="str">
        <f t="shared" ref="F215:F216" si="108">IF(C215="","",_xlfn.XLOOKUP(C215,社員№,カナ,"",0,-1))</f>
        <v>グエン　ヴァン　トゥン</v>
      </c>
      <c r="G215" s="12"/>
      <c r="H215" s="12" t="s">
        <v>965</v>
      </c>
      <c r="I215" s="12">
        <v>27940</v>
      </c>
      <c r="J215" s="65"/>
      <c r="O215" s="81"/>
      <c r="P215" s="81"/>
      <c r="Q215" s="81"/>
      <c r="R215" s="81"/>
      <c r="S215" s="81"/>
      <c r="T215" s="118">
        <v>16223</v>
      </c>
      <c r="U215" s="82">
        <f>16223+27940</f>
        <v>44163</v>
      </c>
      <c r="V215" s="82">
        <v>27940</v>
      </c>
      <c r="W215" s="82">
        <v>27940</v>
      </c>
      <c r="X215" s="82">
        <v>27940</v>
      </c>
      <c r="Y215" s="202">
        <v>27940</v>
      </c>
      <c r="Z215" s="446">
        <v>27940</v>
      </c>
      <c r="AA215" s="446">
        <v>27940</v>
      </c>
      <c r="AB215" s="446">
        <v>0</v>
      </c>
      <c r="AC215" s="446">
        <v>0</v>
      </c>
      <c r="AD215" s="446">
        <v>0</v>
      </c>
      <c r="AE215" s="444">
        <v>0</v>
      </c>
      <c r="AF215" s="444">
        <v>0</v>
      </c>
    </row>
    <row r="216" spans="1:35">
      <c r="A216" s="145">
        <v>45995</v>
      </c>
      <c r="B216" s="376"/>
      <c r="C216" s="27">
        <v>251202</v>
      </c>
      <c r="D216" s="20" t="str">
        <f t="shared" si="106"/>
        <v>高雄工業 本社</v>
      </c>
      <c r="E216" s="20" t="str">
        <f t="shared" si="107"/>
        <v>LE DUC MANH</v>
      </c>
      <c r="F216" s="20" t="str">
        <f t="shared" si="108"/>
        <v>レー　ドゥック　マイン</v>
      </c>
      <c r="G216" s="12"/>
      <c r="H216" s="12"/>
      <c r="I216" s="12"/>
      <c r="J216" s="65"/>
      <c r="O216" s="81"/>
      <c r="P216" s="81"/>
      <c r="Q216" s="81"/>
      <c r="R216" s="81"/>
      <c r="S216" s="81"/>
      <c r="T216" s="81"/>
      <c r="U216" s="81"/>
      <c r="V216" s="81"/>
      <c r="W216" s="81"/>
      <c r="X216" s="81"/>
      <c r="Y216" s="413"/>
      <c r="Z216" s="441"/>
      <c r="AA216" s="441"/>
      <c r="AB216" s="441"/>
      <c r="AC216" s="448"/>
      <c r="AD216" s="1"/>
      <c r="AE216" s="1"/>
      <c r="AF216" s="27"/>
      <c r="AG216" s="1"/>
      <c r="AH216" s="551">
        <v>27946</v>
      </c>
      <c r="AI216" s="448">
        <v>27940</v>
      </c>
    </row>
    <row r="217" spans="1:35">
      <c r="F217" s="160"/>
      <c r="G217" s="6"/>
      <c r="H217" s="6"/>
      <c r="I217" s="6"/>
      <c r="J217" s="74"/>
      <c r="K217" s="10"/>
      <c r="L217" s="10"/>
      <c r="M217" s="88"/>
      <c r="N217" s="88"/>
      <c r="O217" s="88"/>
      <c r="P217" s="88"/>
      <c r="Q217" s="88"/>
      <c r="R217" s="88"/>
      <c r="S217" s="88"/>
      <c r="T217" s="88"/>
      <c r="U217" s="88"/>
      <c r="V217" s="88"/>
      <c r="W217" s="88"/>
      <c r="X217" s="88"/>
      <c r="Y217" s="410"/>
      <c r="Z217" s="438"/>
      <c r="AA217" s="438"/>
      <c r="AB217" s="438"/>
      <c r="AF217" s="538"/>
      <c r="AG217" s="544"/>
    </row>
    <row r="218" spans="1:35">
      <c r="C218" s="36"/>
      <c r="D218" s="36"/>
      <c r="E218" s="36" t="s">
        <v>936</v>
      </c>
      <c r="F218" s="162"/>
      <c r="G218" s="216">
        <v>50320</v>
      </c>
      <c r="H218" s="216">
        <v>55320</v>
      </c>
      <c r="I218" s="216" t="s">
        <v>584</v>
      </c>
      <c r="J218" s="74"/>
      <c r="K218" s="10"/>
      <c r="L218" s="10"/>
      <c r="M218" s="88"/>
      <c r="N218" s="88"/>
      <c r="O218" s="88"/>
      <c r="P218" s="88"/>
      <c r="Q218" s="88"/>
      <c r="R218" s="88"/>
      <c r="S218" s="88"/>
      <c r="T218" s="88"/>
      <c r="U218" s="88"/>
      <c r="V218" s="88"/>
      <c r="W218" s="88"/>
      <c r="X218" s="88"/>
      <c r="Y218" s="410"/>
      <c r="Z218" s="438"/>
      <c r="AA218" s="438"/>
      <c r="AB218" s="438"/>
    </row>
    <row r="219" spans="1:35">
      <c r="A219" s="145" t="s">
        <v>1</v>
      </c>
      <c r="B219" s="376" t="s">
        <v>529</v>
      </c>
      <c r="C219" s="27" t="s">
        <v>2</v>
      </c>
      <c r="D219" s="27" t="s">
        <v>2532</v>
      </c>
      <c r="E219" s="27" t="s">
        <v>2433</v>
      </c>
      <c r="F219" s="165"/>
      <c r="G219" s="11" t="s">
        <v>629</v>
      </c>
      <c r="H219" s="11"/>
      <c r="I219" s="11" t="s">
        <v>3</v>
      </c>
      <c r="J219" s="90"/>
      <c r="K219" s="91"/>
      <c r="L219" s="91"/>
      <c r="M219" s="92"/>
      <c r="N219" s="92"/>
      <c r="O219" s="92"/>
      <c r="P219" s="92"/>
      <c r="Q219" s="92"/>
      <c r="R219" s="92"/>
      <c r="S219" s="92"/>
      <c r="T219" s="92"/>
      <c r="U219" s="92"/>
      <c r="V219" s="92"/>
      <c r="W219" s="92"/>
      <c r="X219" s="92"/>
      <c r="Y219" s="411"/>
      <c r="Z219" s="439"/>
      <c r="AA219" s="439"/>
      <c r="AB219" s="439"/>
    </row>
    <row r="220" spans="1:35">
      <c r="A220" s="145">
        <v>45712</v>
      </c>
      <c r="B220" s="376">
        <v>45915</v>
      </c>
      <c r="C220" s="20">
        <v>240318</v>
      </c>
      <c r="D220" s="20" t="str">
        <f t="shared" si="100"/>
        <v>高雄工業 本社</v>
      </c>
      <c r="E220" s="20" t="str">
        <f t="shared" si="101"/>
        <v>NGUYEN VAN HUNG</v>
      </c>
      <c r="F220" s="20" t="str">
        <f t="shared" si="102"/>
        <v>グエン　ヴァン　フン</v>
      </c>
      <c r="G220" s="12"/>
      <c r="H220" s="12"/>
      <c r="I220" s="12">
        <v>27700</v>
      </c>
      <c r="J220" s="67"/>
      <c r="X220" s="130">
        <f>20946+4946</f>
        <v>25892</v>
      </c>
      <c r="Y220" s="408">
        <v>27700</v>
      </c>
      <c r="Z220" s="437">
        <v>27700</v>
      </c>
      <c r="AA220" s="437">
        <v>27700</v>
      </c>
      <c r="AB220" s="437">
        <v>27700</v>
      </c>
      <c r="AC220" s="437">
        <v>27700</v>
      </c>
      <c r="AD220" s="437">
        <v>27700</v>
      </c>
      <c r="AE220" s="437">
        <v>27700</v>
      </c>
      <c r="AF220" s="540">
        <v>20000</v>
      </c>
    </row>
    <row r="221" spans="1:35">
      <c r="A221" s="145">
        <v>45712</v>
      </c>
      <c r="B221" s="376"/>
      <c r="C221" s="20">
        <v>240317</v>
      </c>
      <c r="D221" s="20" t="str">
        <f t="shared" ref="D221" si="109">IF(C221="","",_xlfn.XLOOKUP(C221,社員№,派遣先,"",0,-1))</f>
        <v>高雄工業 本社</v>
      </c>
      <c r="E221" s="20" t="str">
        <f t="shared" ref="E221" si="110">IF(C221="","",_xlfn.XLOOKUP(C221,社員№,氏名,"",0,-1))</f>
        <v>NGUYEN ANH TUAN</v>
      </c>
      <c r="F221" s="20" t="str">
        <f t="shared" ref="F221" si="111">IF(C221="","",_xlfn.XLOOKUP(C221,社員№,カナ,"",0,-1))</f>
        <v>グエン　アイン　トゥアン</v>
      </c>
      <c r="G221" s="12"/>
      <c r="H221" s="12"/>
      <c r="I221" s="12">
        <v>27700</v>
      </c>
      <c r="J221" s="67"/>
      <c r="X221" s="130">
        <f>20946+4946</f>
        <v>25892</v>
      </c>
      <c r="Y221" s="408">
        <v>27700</v>
      </c>
      <c r="Z221" s="437">
        <v>27700</v>
      </c>
      <c r="AA221" s="437">
        <v>27700</v>
      </c>
      <c r="AB221" s="437">
        <v>27700</v>
      </c>
      <c r="AC221" s="437">
        <v>27700</v>
      </c>
      <c r="AD221" s="437">
        <v>27700</v>
      </c>
      <c r="AE221" s="437">
        <v>27700</v>
      </c>
      <c r="AF221" s="437">
        <v>27700</v>
      </c>
      <c r="AG221" s="437">
        <v>27700</v>
      </c>
      <c r="AH221" s="437">
        <v>27700</v>
      </c>
      <c r="AI221" s="437">
        <v>27700</v>
      </c>
    </row>
    <row r="222" spans="1:35">
      <c r="F222" s="160"/>
      <c r="G222" s="6"/>
      <c r="H222" s="6"/>
      <c r="I222" s="6"/>
      <c r="J222" s="97"/>
      <c r="K222" s="98"/>
      <c r="L222" s="98"/>
      <c r="M222" s="99"/>
      <c r="N222" s="99"/>
      <c r="O222" s="99"/>
      <c r="P222" s="99"/>
      <c r="Q222" s="99"/>
      <c r="R222" s="99"/>
      <c r="S222" s="99"/>
      <c r="T222" s="99"/>
      <c r="U222" s="99"/>
      <c r="V222" s="99"/>
      <c r="W222" s="99"/>
      <c r="X222" s="99"/>
      <c r="Y222" s="416"/>
      <c r="Z222" s="445"/>
      <c r="AA222" s="445"/>
      <c r="AB222" s="445"/>
    </row>
    <row r="223" spans="1:35">
      <c r="C223" s="36"/>
      <c r="D223" s="36"/>
      <c r="E223" s="36" t="s">
        <v>2451</v>
      </c>
      <c r="F223" s="162"/>
      <c r="G223" s="216">
        <v>69000</v>
      </c>
      <c r="H223" s="235">
        <v>75000</v>
      </c>
      <c r="I223" s="210" t="s">
        <v>591</v>
      </c>
      <c r="J223" s="216"/>
      <c r="K223" s="10"/>
      <c r="L223" s="10"/>
      <c r="M223" s="88"/>
      <c r="N223" s="88"/>
      <c r="O223" s="88"/>
      <c r="P223" s="88"/>
      <c r="Q223" s="88"/>
      <c r="R223" s="88"/>
      <c r="S223" s="88"/>
      <c r="T223" s="88"/>
      <c r="U223" s="88"/>
      <c r="V223" s="88"/>
      <c r="W223" s="88"/>
      <c r="X223" s="88"/>
      <c r="Y223" s="410"/>
      <c r="Z223" s="438"/>
      <c r="AA223" s="438"/>
      <c r="AB223" s="438"/>
    </row>
    <row r="224" spans="1:35">
      <c r="A224" s="145" t="s">
        <v>1</v>
      </c>
      <c r="B224" s="376" t="s">
        <v>529</v>
      </c>
      <c r="C224" s="27" t="s">
        <v>2</v>
      </c>
      <c r="D224" s="27" t="s">
        <v>2532</v>
      </c>
      <c r="E224" s="27" t="s">
        <v>2433</v>
      </c>
      <c r="F224" s="165"/>
      <c r="G224" s="22" t="s">
        <v>629</v>
      </c>
      <c r="H224" s="22"/>
      <c r="I224" s="22" t="s">
        <v>590</v>
      </c>
      <c r="J224" s="90"/>
      <c r="K224" s="91"/>
      <c r="L224" s="91"/>
      <c r="M224" s="92"/>
      <c r="N224" s="92"/>
      <c r="O224" s="92"/>
      <c r="P224" s="92"/>
      <c r="Q224" s="92"/>
      <c r="R224" s="92"/>
      <c r="S224" s="92"/>
      <c r="T224" s="92"/>
      <c r="U224" s="92"/>
      <c r="V224" s="92"/>
      <c r="W224" s="92"/>
      <c r="X224" s="92"/>
      <c r="Y224" s="411"/>
      <c r="Z224" s="439"/>
      <c r="AA224" s="439"/>
      <c r="AB224" s="439"/>
    </row>
    <row r="225" spans="1:35">
      <c r="A225" s="145">
        <v>45362</v>
      </c>
      <c r="B225" s="376"/>
      <c r="C225" s="20">
        <v>240315</v>
      </c>
      <c r="D225" s="20" t="str">
        <f t="shared" si="100"/>
        <v>高雄工業 海南第一</v>
      </c>
      <c r="E225" s="20" t="str">
        <f t="shared" si="101"/>
        <v>TRAN NGUYEN MINH KHOA</v>
      </c>
      <c r="F225" s="20" t="str">
        <f t="shared" si="102"/>
        <v>チャン　グエン　ミン　コア</v>
      </c>
      <c r="G225" s="11"/>
      <c r="H225" s="11"/>
      <c r="I225" s="11">
        <v>25000</v>
      </c>
      <c r="J225" s="67"/>
      <c r="M225" s="81">
        <v>16935</v>
      </c>
      <c r="N225" s="81">
        <v>25000</v>
      </c>
      <c r="O225" s="130">
        <v>25000</v>
      </c>
      <c r="P225" s="130">
        <v>25000</v>
      </c>
      <c r="Q225" s="130">
        <v>25000</v>
      </c>
      <c r="R225" s="130">
        <v>25000</v>
      </c>
      <c r="S225" s="130">
        <v>25000</v>
      </c>
      <c r="T225" s="130">
        <v>25000</v>
      </c>
      <c r="U225" s="130">
        <v>25000</v>
      </c>
      <c r="V225" s="81">
        <v>18750</v>
      </c>
      <c r="W225" s="81">
        <v>25000</v>
      </c>
      <c r="X225" s="81">
        <v>25000</v>
      </c>
      <c r="Y225" s="413">
        <v>25000</v>
      </c>
      <c r="Z225" s="441">
        <v>25000</v>
      </c>
      <c r="AA225" s="441">
        <v>25000</v>
      </c>
      <c r="AB225" s="441">
        <v>25000</v>
      </c>
      <c r="AC225" s="441">
        <v>25000</v>
      </c>
      <c r="AD225" s="441">
        <v>25000</v>
      </c>
      <c r="AE225" s="437">
        <v>25000</v>
      </c>
      <c r="AF225" s="437">
        <v>25000</v>
      </c>
      <c r="AG225" s="437">
        <v>25000</v>
      </c>
      <c r="AH225" s="437">
        <v>25000</v>
      </c>
      <c r="AI225" s="437">
        <v>25000</v>
      </c>
    </row>
    <row r="226" spans="1:35">
      <c r="A226" s="145">
        <v>45362</v>
      </c>
      <c r="B226" s="376"/>
      <c r="C226" s="20">
        <v>240314</v>
      </c>
      <c r="D226" s="20" t="str">
        <f t="shared" ref="D226:D227" si="112">IF(C226="","",_xlfn.XLOOKUP(C226,社員№,派遣先,"",0,-1))</f>
        <v>高雄工業 海南第一</v>
      </c>
      <c r="E226" s="20" t="str">
        <f t="shared" ref="E226:E227" si="113">IF(C226="","",_xlfn.XLOOKUP(C226,社員№,氏名,"",0,-1))</f>
        <v>PHAM HUNG LUONG</v>
      </c>
      <c r="F226" s="20" t="str">
        <f t="shared" ref="F226:F227" si="114">IF(C226="","",_xlfn.XLOOKUP(C226,社員№,カナ,"",0,-1))</f>
        <v>ファム　フン　ルオン</v>
      </c>
      <c r="G226" s="11"/>
      <c r="H226" s="11"/>
      <c r="I226" s="11">
        <v>25000</v>
      </c>
      <c r="J226" s="65"/>
      <c r="M226" s="81">
        <v>16935</v>
      </c>
      <c r="N226" s="81">
        <v>25000</v>
      </c>
      <c r="O226" s="130">
        <v>25000</v>
      </c>
      <c r="P226" s="130">
        <v>25000</v>
      </c>
      <c r="Q226" s="130">
        <v>25000</v>
      </c>
      <c r="R226" s="130">
        <v>25000</v>
      </c>
      <c r="S226" s="130">
        <v>25000</v>
      </c>
      <c r="T226" s="130">
        <v>25000</v>
      </c>
      <c r="U226" s="130">
        <v>25000</v>
      </c>
      <c r="V226" s="81">
        <v>18750</v>
      </c>
      <c r="W226" s="81">
        <v>25000</v>
      </c>
      <c r="X226" s="81">
        <v>25000</v>
      </c>
      <c r="Y226" s="413">
        <v>25000</v>
      </c>
      <c r="Z226" s="441">
        <v>25000</v>
      </c>
      <c r="AA226" s="441">
        <v>25000</v>
      </c>
      <c r="AB226" s="441">
        <v>25000</v>
      </c>
      <c r="AC226" s="441">
        <v>25000</v>
      </c>
      <c r="AD226" s="441">
        <v>25000</v>
      </c>
      <c r="AE226" s="437">
        <v>25000</v>
      </c>
      <c r="AF226" s="437">
        <v>25000</v>
      </c>
      <c r="AG226" s="437">
        <v>25000</v>
      </c>
      <c r="AH226" s="437">
        <v>25000</v>
      </c>
      <c r="AI226" s="437">
        <v>25000</v>
      </c>
    </row>
    <row r="227" spans="1:35">
      <c r="A227" s="145">
        <v>45380</v>
      </c>
      <c r="B227" s="376"/>
      <c r="C227" s="20">
        <v>240401</v>
      </c>
      <c r="D227" s="20" t="str">
        <f t="shared" si="112"/>
        <v>高雄工業 海南第一</v>
      </c>
      <c r="E227" s="20" t="str">
        <f t="shared" si="113"/>
        <v>PHAM HOANG MINH</v>
      </c>
      <c r="F227" s="20" t="str">
        <f t="shared" si="114"/>
        <v>ファム　ホアン　ミン</v>
      </c>
      <c r="G227" s="11"/>
      <c r="H227" s="11"/>
      <c r="I227" s="11">
        <v>25000</v>
      </c>
      <c r="J227" s="65"/>
      <c r="N227" s="81">
        <f>2419+25000</f>
        <v>27419</v>
      </c>
      <c r="O227" s="81">
        <v>25000</v>
      </c>
      <c r="P227" s="81">
        <v>25000</v>
      </c>
      <c r="Q227" s="81">
        <v>25000</v>
      </c>
      <c r="R227" s="81">
        <v>25000</v>
      </c>
      <c r="S227" s="81">
        <v>25000</v>
      </c>
      <c r="T227" s="81">
        <v>25000</v>
      </c>
      <c r="U227" s="81">
        <v>25000</v>
      </c>
      <c r="V227" s="81">
        <v>18750</v>
      </c>
      <c r="W227" s="81">
        <v>25000</v>
      </c>
      <c r="X227" s="81">
        <v>25000</v>
      </c>
      <c r="Y227" s="413">
        <v>25000</v>
      </c>
      <c r="Z227" s="441">
        <v>25000</v>
      </c>
      <c r="AA227" s="441">
        <v>25000</v>
      </c>
      <c r="AB227" s="441">
        <v>25000</v>
      </c>
      <c r="AC227" s="441">
        <v>25000</v>
      </c>
      <c r="AD227" s="441">
        <v>25000</v>
      </c>
      <c r="AE227" s="437">
        <v>25000</v>
      </c>
      <c r="AF227" s="437">
        <v>25000</v>
      </c>
      <c r="AG227" s="437">
        <v>25000</v>
      </c>
      <c r="AH227" s="437">
        <v>25000</v>
      </c>
      <c r="AI227" s="437">
        <v>25000</v>
      </c>
    </row>
    <row r="228" spans="1:35" hidden="1">
      <c r="A228" s="145">
        <v>45628</v>
      </c>
      <c r="B228" s="376">
        <v>46022</v>
      </c>
      <c r="C228" s="20">
        <v>21205</v>
      </c>
      <c r="D228" s="27" t="s">
        <v>473</v>
      </c>
      <c r="E228" s="27" t="s">
        <v>865</v>
      </c>
      <c r="F228" s="165" t="s">
        <v>866</v>
      </c>
      <c r="G228" s="11"/>
      <c r="H228" s="11"/>
      <c r="I228" s="11"/>
      <c r="J228" s="65"/>
      <c r="O228" s="81"/>
      <c r="P228" s="81"/>
      <c r="Q228" s="81"/>
      <c r="R228" s="81"/>
      <c r="S228" s="81"/>
      <c r="T228" s="81"/>
      <c r="U228" s="81"/>
      <c r="V228" s="81">
        <v>18145</v>
      </c>
      <c r="W228" s="81">
        <v>0</v>
      </c>
      <c r="X228" s="81">
        <v>0</v>
      </c>
      <c r="Y228" s="413">
        <v>0</v>
      </c>
      <c r="Z228" s="441">
        <v>0</v>
      </c>
      <c r="AA228" s="441">
        <v>0</v>
      </c>
      <c r="AB228" s="441">
        <v>0</v>
      </c>
    </row>
    <row r="229" spans="1:35">
      <c r="C229" s="47"/>
      <c r="F229" s="160"/>
      <c r="G229" s="10"/>
      <c r="H229" s="10"/>
      <c r="I229" s="10"/>
      <c r="J229" s="74"/>
      <c r="K229" s="10"/>
      <c r="L229" s="10"/>
      <c r="M229" s="88"/>
      <c r="N229" s="88"/>
      <c r="O229" s="88"/>
      <c r="P229" s="88"/>
      <c r="Q229" s="88"/>
      <c r="R229" s="88"/>
      <c r="S229" s="88"/>
      <c r="T229" s="88"/>
      <c r="U229" s="88"/>
      <c r="V229" s="88"/>
      <c r="W229" s="88"/>
      <c r="X229" s="88"/>
      <c r="Y229" s="410"/>
      <c r="Z229" s="438"/>
      <c r="AA229" s="438"/>
      <c r="AB229" s="438"/>
    </row>
    <row r="230" spans="1:35">
      <c r="C230" s="36"/>
      <c r="D230" s="36"/>
      <c r="E230" s="36" t="s">
        <v>532</v>
      </c>
      <c r="F230" s="162"/>
      <c r="G230" s="210">
        <v>57170</v>
      </c>
      <c r="H230" s="210">
        <v>62100</v>
      </c>
      <c r="I230" s="210" t="s">
        <v>25</v>
      </c>
      <c r="J230" s="74"/>
      <c r="K230" s="10"/>
      <c r="L230" s="10"/>
      <c r="M230" s="88"/>
      <c r="N230" s="88"/>
      <c r="O230" s="88"/>
      <c r="P230" s="88"/>
      <c r="Q230" s="88"/>
      <c r="R230" s="88"/>
      <c r="S230" s="88"/>
      <c r="T230" s="88"/>
      <c r="U230" s="88"/>
      <c r="V230" s="88"/>
      <c r="W230" s="88"/>
      <c r="X230" s="88"/>
      <c r="Y230" s="410"/>
      <c r="Z230" s="438"/>
      <c r="AA230" s="438"/>
      <c r="AB230" s="438"/>
    </row>
    <row r="231" spans="1:35">
      <c r="A231" s="145" t="s">
        <v>1</v>
      </c>
      <c r="B231" s="376" t="s">
        <v>529</v>
      </c>
      <c r="C231" s="27" t="s">
        <v>2</v>
      </c>
      <c r="D231" s="27" t="s">
        <v>2532</v>
      </c>
      <c r="E231" s="27" t="s">
        <v>2433</v>
      </c>
      <c r="F231" s="165"/>
      <c r="G231" s="22" t="s">
        <v>629</v>
      </c>
      <c r="H231" s="22"/>
      <c r="I231" s="22" t="s">
        <v>3</v>
      </c>
      <c r="J231" s="564" t="s">
        <v>554</v>
      </c>
      <c r="K231" s="565"/>
      <c r="L231" s="565"/>
      <c r="M231" s="565"/>
      <c r="N231" s="92"/>
      <c r="O231" s="92"/>
      <c r="P231" s="92"/>
      <c r="Q231" s="92"/>
      <c r="R231" s="92"/>
      <c r="S231" s="92"/>
      <c r="T231" s="92"/>
      <c r="U231" s="92"/>
      <c r="V231" s="92"/>
      <c r="W231" s="92"/>
      <c r="X231" s="92"/>
      <c r="Y231" s="411"/>
      <c r="Z231" s="439"/>
      <c r="AA231" s="439"/>
      <c r="AB231" s="439"/>
    </row>
    <row r="232" spans="1:35">
      <c r="A232" s="145">
        <v>45410</v>
      </c>
      <c r="B232" s="376"/>
      <c r="C232" s="20">
        <v>240504</v>
      </c>
      <c r="D232" s="20" t="str">
        <f t="shared" si="100"/>
        <v>高雄工業 本社</v>
      </c>
      <c r="E232" s="20" t="str">
        <f t="shared" si="101"/>
        <v>NGUYEN HOANG TRUNG</v>
      </c>
      <c r="F232" s="20" t="str">
        <f t="shared" si="102"/>
        <v>グエン　ホアン　チュン</v>
      </c>
      <c r="G232" s="12"/>
      <c r="H232" s="12"/>
      <c r="I232" s="12">
        <v>31000</v>
      </c>
      <c r="J232" s="119">
        <v>20700</v>
      </c>
      <c r="O232" s="130">
        <f>3100+31000</f>
        <v>34100</v>
      </c>
      <c r="P232" s="130">
        <v>31000</v>
      </c>
      <c r="Q232" s="130">
        <f>16000+10016</f>
        <v>26016</v>
      </c>
      <c r="R232" s="130">
        <v>20700</v>
      </c>
      <c r="S232" s="130">
        <v>20700</v>
      </c>
      <c r="T232" s="130">
        <v>20700</v>
      </c>
      <c r="U232" s="130">
        <v>20700</v>
      </c>
      <c r="V232" s="130">
        <v>20700</v>
      </c>
      <c r="W232" s="130">
        <v>20700</v>
      </c>
      <c r="X232" s="130">
        <v>20700</v>
      </c>
      <c r="Y232" s="408">
        <v>20700</v>
      </c>
      <c r="Z232" s="446">
        <f>13800+10333</f>
        <v>24133</v>
      </c>
      <c r="AA232" s="446">
        <v>31000</v>
      </c>
      <c r="AB232" s="446">
        <v>31000</v>
      </c>
      <c r="AC232" s="446">
        <v>31000</v>
      </c>
      <c r="AD232" s="446">
        <v>31000</v>
      </c>
      <c r="AE232" s="444">
        <v>31000</v>
      </c>
      <c r="AF232" s="444">
        <v>31000</v>
      </c>
      <c r="AG232" s="444">
        <v>31000</v>
      </c>
      <c r="AH232" s="444">
        <v>31000</v>
      </c>
      <c r="AI232" s="444">
        <v>31000</v>
      </c>
    </row>
    <row r="233" spans="1:35">
      <c r="A233" s="145">
        <v>45490</v>
      </c>
      <c r="B233" s="376"/>
      <c r="C233" s="20">
        <v>240711</v>
      </c>
      <c r="D233" s="20" t="str">
        <f t="shared" ref="D233" si="115">IF(C233="","",_xlfn.XLOOKUP(C233,社員№,派遣先,"",0,-1))</f>
        <v>高雄工業 海南第一</v>
      </c>
      <c r="E233" s="20" t="str">
        <f t="shared" ref="E233" si="116">IF(C233="","",_xlfn.XLOOKUP(C233,社員№,氏名,"",0,-1))</f>
        <v>NGUYEN VAN LINH</v>
      </c>
      <c r="F233" s="20" t="str">
        <f t="shared" ref="F233" si="117">IF(C233="","",_xlfn.XLOOKUP(C233,社員№,カナ,"",0,-1))</f>
        <v>グエン　ヴァン　リン</v>
      </c>
      <c r="G233" s="12"/>
      <c r="H233" s="12"/>
      <c r="I233" s="12"/>
      <c r="J233" s="218">
        <v>20700</v>
      </c>
      <c r="O233" s="81"/>
      <c r="P233" s="81"/>
      <c r="Q233" s="81">
        <v>10016</v>
      </c>
      <c r="R233" s="81">
        <f>10016+20700</f>
        <v>30716</v>
      </c>
      <c r="S233" s="81">
        <v>20700</v>
      </c>
      <c r="T233" s="81">
        <v>20700</v>
      </c>
      <c r="U233" s="81">
        <v>20700</v>
      </c>
      <c r="V233" s="81">
        <v>20700</v>
      </c>
      <c r="W233" s="81">
        <v>20700</v>
      </c>
      <c r="X233" s="81">
        <v>20700</v>
      </c>
      <c r="Y233" s="413">
        <v>20700</v>
      </c>
      <c r="Z233" s="446">
        <f>13800+10333</f>
        <v>24133</v>
      </c>
      <c r="AA233" s="446">
        <v>31000</v>
      </c>
      <c r="AB233" s="446">
        <v>31000</v>
      </c>
      <c r="AC233" s="446">
        <v>31000</v>
      </c>
      <c r="AD233" s="446">
        <v>31000</v>
      </c>
      <c r="AE233" s="444">
        <v>31000</v>
      </c>
      <c r="AF233" s="444">
        <v>31000</v>
      </c>
      <c r="AG233" s="444">
        <v>31000</v>
      </c>
      <c r="AH233" s="444">
        <v>31000</v>
      </c>
      <c r="AI233" s="444">
        <v>31000</v>
      </c>
    </row>
    <row r="234" spans="1:35">
      <c r="C234" s="47"/>
      <c r="F234" s="160"/>
      <c r="G234" s="6"/>
      <c r="H234" s="6"/>
      <c r="I234" s="6"/>
      <c r="J234" s="219"/>
      <c r="K234" s="10"/>
      <c r="L234" s="10"/>
      <c r="M234" s="88"/>
      <c r="N234" s="88"/>
      <c r="O234" s="88"/>
      <c r="P234" s="88"/>
      <c r="Q234" s="88"/>
      <c r="R234" s="88"/>
      <c r="S234" s="88"/>
      <c r="T234" s="88"/>
      <c r="U234" s="88"/>
      <c r="V234" s="88"/>
      <c r="W234" s="88"/>
      <c r="X234" s="88"/>
      <c r="Y234" s="410"/>
      <c r="Z234" s="438"/>
      <c r="AA234" s="438"/>
      <c r="AB234" s="438"/>
    </row>
    <row r="235" spans="1:35">
      <c r="C235" s="36"/>
      <c r="D235" s="36"/>
      <c r="E235" s="36" t="s">
        <v>926</v>
      </c>
      <c r="F235" s="162"/>
      <c r="G235" s="216">
        <v>53400</v>
      </c>
      <c r="H235" s="235">
        <v>58400</v>
      </c>
      <c r="I235" s="210" t="s">
        <v>935</v>
      </c>
      <c r="J235" s="216"/>
      <c r="K235" s="10"/>
      <c r="L235" s="10"/>
      <c r="M235" s="88"/>
      <c r="N235" s="88"/>
      <c r="O235" s="88"/>
      <c r="P235" s="88"/>
      <c r="Q235" s="88"/>
      <c r="R235" s="88"/>
      <c r="S235" s="88"/>
      <c r="T235" s="88"/>
      <c r="U235" s="88"/>
      <c r="V235" s="88"/>
      <c r="W235" s="88"/>
      <c r="X235" s="88"/>
      <c r="Y235" s="410"/>
      <c r="Z235" s="438"/>
      <c r="AA235" s="438"/>
      <c r="AB235" s="438"/>
    </row>
    <row r="236" spans="1:35">
      <c r="A236" s="145" t="s">
        <v>1</v>
      </c>
      <c r="B236" s="376" t="s">
        <v>529</v>
      </c>
      <c r="C236" s="27" t="s">
        <v>2</v>
      </c>
      <c r="D236" s="27" t="s">
        <v>2532</v>
      </c>
      <c r="E236" s="27" t="s">
        <v>2433</v>
      </c>
      <c r="F236" s="165"/>
      <c r="G236" s="22" t="s">
        <v>629</v>
      </c>
      <c r="H236" s="22"/>
      <c r="I236" s="22" t="s">
        <v>590</v>
      </c>
      <c r="J236" s="90"/>
      <c r="K236" s="91"/>
      <c r="L236" s="91"/>
      <c r="M236" s="92"/>
      <c r="N236" s="92"/>
      <c r="O236" s="92"/>
      <c r="P236" s="92"/>
      <c r="Q236" s="92"/>
      <c r="R236" s="92"/>
      <c r="S236" s="92"/>
      <c r="T236" s="92"/>
      <c r="U236" s="92"/>
      <c r="V236" s="92"/>
      <c r="W236" s="92"/>
      <c r="X236" s="92"/>
      <c r="Y236" s="411"/>
      <c r="Z236" s="439"/>
      <c r="AA236" s="439"/>
      <c r="AB236" s="439"/>
    </row>
    <row r="237" spans="1:35">
      <c r="A237" s="145">
        <v>45691</v>
      </c>
      <c r="B237" s="376"/>
      <c r="C237" s="20">
        <v>250205</v>
      </c>
      <c r="D237" s="20" t="str">
        <f t="shared" si="100"/>
        <v>高雄工業 海南第二</v>
      </c>
      <c r="E237" s="20" t="str">
        <f t="shared" si="101"/>
        <v>NGUYEN TIEN KHOA</v>
      </c>
      <c r="F237" s="20" t="str">
        <f t="shared" si="102"/>
        <v>グエン　ティエン　コア</v>
      </c>
      <c r="G237" s="11"/>
      <c r="H237" s="11"/>
      <c r="I237" s="11">
        <v>19500</v>
      </c>
      <c r="J237" s="67"/>
      <c r="V237" s="81"/>
      <c r="W237" s="81"/>
      <c r="X237" s="81">
        <f t="shared" ref="X237:X238" si="118">8250+8423</f>
        <v>16673</v>
      </c>
      <c r="Y237" s="413">
        <v>19500</v>
      </c>
      <c r="Z237" s="441">
        <v>19500</v>
      </c>
      <c r="AA237" s="441">
        <v>19500</v>
      </c>
      <c r="AB237" s="441">
        <v>19500</v>
      </c>
      <c r="AC237" s="441">
        <v>19500</v>
      </c>
      <c r="AD237" s="441">
        <v>19500</v>
      </c>
      <c r="AE237" s="437">
        <v>19500</v>
      </c>
      <c r="AF237" s="437">
        <v>19500</v>
      </c>
      <c r="AG237" s="437">
        <v>19500</v>
      </c>
      <c r="AH237" s="437">
        <v>19500</v>
      </c>
      <c r="AI237" s="437">
        <v>19500</v>
      </c>
    </row>
    <row r="238" spans="1:35">
      <c r="A238" s="145">
        <v>45691</v>
      </c>
      <c r="B238" s="376"/>
      <c r="C238" s="20">
        <v>250206</v>
      </c>
      <c r="D238" s="20" t="str">
        <f t="shared" ref="D238:D239" si="119">IF(C238="","",_xlfn.XLOOKUP(C238,社員№,派遣先,"",0,-1))</f>
        <v>高雄工業 海南第一</v>
      </c>
      <c r="E238" s="20" t="str">
        <f t="shared" ref="E238:E239" si="120">IF(C238="","",_xlfn.XLOOKUP(C238,社員№,氏名,"",0,-1))</f>
        <v>TRAN VU</v>
      </c>
      <c r="F238" s="20" t="str">
        <f t="shared" ref="F238:F239" si="121">IF(C238="","",_xlfn.XLOOKUP(C238,社員№,カナ,"",0,-1))</f>
        <v>チャン　ヴ</v>
      </c>
      <c r="G238" s="11"/>
      <c r="H238" s="11"/>
      <c r="I238" s="11">
        <v>19500</v>
      </c>
      <c r="J238" s="65"/>
      <c r="V238" s="81"/>
      <c r="W238" s="81"/>
      <c r="X238" s="81">
        <f t="shared" si="118"/>
        <v>16673</v>
      </c>
      <c r="Y238" s="413">
        <v>19500</v>
      </c>
      <c r="Z238" s="441">
        <v>19500</v>
      </c>
      <c r="AA238" s="441">
        <v>19500</v>
      </c>
      <c r="AB238" s="441">
        <v>19500</v>
      </c>
      <c r="AC238" s="441">
        <v>19500</v>
      </c>
      <c r="AD238" s="441">
        <v>19500</v>
      </c>
      <c r="AE238" s="437">
        <v>19500</v>
      </c>
      <c r="AF238" s="437">
        <v>19500</v>
      </c>
      <c r="AG238" s="437">
        <v>19500</v>
      </c>
      <c r="AH238" s="437">
        <v>19500</v>
      </c>
      <c r="AI238" s="437">
        <v>19500</v>
      </c>
    </row>
    <row r="239" spans="1:35">
      <c r="A239" s="145">
        <v>45702</v>
      </c>
      <c r="B239" s="376"/>
      <c r="C239" s="20">
        <v>250223</v>
      </c>
      <c r="D239" s="20" t="str">
        <f t="shared" si="119"/>
        <v>高雄工業 本社</v>
      </c>
      <c r="E239" s="20" t="str">
        <f t="shared" si="120"/>
        <v>TRAN MINH TRUONG</v>
      </c>
      <c r="F239" s="20" t="str">
        <f t="shared" si="121"/>
        <v>チャン　ミン　チュオン</v>
      </c>
      <c r="G239" s="11"/>
      <c r="H239" s="11"/>
      <c r="I239" s="11">
        <v>19500</v>
      </c>
      <c r="J239" s="65"/>
      <c r="O239" s="81"/>
      <c r="P239" s="81"/>
      <c r="Q239" s="81"/>
      <c r="R239" s="81"/>
      <c r="S239" s="81"/>
      <c r="T239" s="81"/>
      <c r="U239" s="81"/>
      <c r="V239" s="81"/>
      <c r="W239" s="81"/>
      <c r="X239" s="118">
        <v>8423</v>
      </c>
      <c r="Y239" s="202">
        <f>8423+19500</f>
        <v>27923</v>
      </c>
      <c r="Z239" s="441">
        <v>19500</v>
      </c>
      <c r="AA239" s="441">
        <v>19500</v>
      </c>
      <c r="AB239" s="441">
        <v>19500</v>
      </c>
      <c r="AC239" s="441">
        <v>19500</v>
      </c>
      <c r="AD239" s="441">
        <v>19500</v>
      </c>
      <c r="AE239" s="437">
        <v>19500</v>
      </c>
      <c r="AF239" s="437">
        <v>19500</v>
      </c>
      <c r="AG239" s="437">
        <v>19500</v>
      </c>
      <c r="AH239" s="437">
        <v>19500</v>
      </c>
      <c r="AI239" s="437">
        <v>19500</v>
      </c>
    </row>
    <row r="240" spans="1:35">
      <c r="C240" s="47"/>
      <c r="F240" s="160"/>
      <c r="G240" s="6"/>
      <c r="H240" s="6"/>
      <c r="I240" s="6"/>
      <c r="J240" s="235"/>
      <c r="K240" s="10"/>
      <c r="L240" s="10"/>
      <c r="M240" s="88"/>
      <c r="N240" s="88"/>
      <c r="O240" s="88"/>
      <c r="P240" s="88"/>
      <c r="Q240" s="88"/>
      <c r="R240" s="88"/>
      <c r="S240" s="88"/>
      <c r="T240" s="88"/>
      <c r="U240" s="88"/>
      <c r="V240" s="88"/>
      <c r="W240" s="88"/>
      <c r="X240" s="88"/>
      <c r="Y240" s="410"/>
      <c r="Z240" s="438"/>
      <c r="AA240" s="438"/>
      <c r="AB240" s="438"/>
    </row>
    <row r="241" spans="1:35">
      <c r="C241" s="36"/>
      <c r="D241" s="36"/>
      <c r="E241" s="36" t="s">
        <v>555</v>
      </c>
      <c r="F241" s="162"/>
      <c r="G241" s="216">
        <v>58530</v>
      </c>
      <c r="H241" s="216">
        <v>58530</v>
      </c>
      <c r="I241" s="216" t="s">
        <v>574</v>
      </c>
      <c r="J241" s="216" t="s">
        <v>631</v>
      </c>
      <c r="K241" s="10"/>
      <c r="L241" s="10"/>
      <c r="M241" s="88"/>
      <c r="N241" s="88"/>
      <c r="O241" s="88"/>
      <c r="P241" s="88"/>
      <c r="Q241" s="88"/>
      <c r="R241" s="88"/>
      <c r="S241" s="88"/>
      <c r="T241" s="88"/>
      <c r="U241" s="88"/>
      <c r="V241" s="88"/>
      <c r="W241" s="88"/>
      <c r="X241" s="88"/>
      <c r="Y241" s="410"/>
      <c r="Z241" s="438"/>
      <c r="AA241" s="438"/>
      <c r="AB241" s="438"/>
    </row>
    <row r="242" spans="1:35">
      <c r="A242" s="145" t="s">
        <v>1</v>
      </c>
      <c r="B242" s="376" t="s">
        <v>529</v>
      </c>
      <c r="C242" s="27" t="s">
        <v>2</v>
      </c>
      <c r="D242" s="27" t="s">
        <v>2532</v>
      </c>
      <c r="E242" s="27" t="s">
        <v>2433</v>
      </c>
      <c r="F242" s="165"/>
      <c r="G242" s="11" t="s">
        <v>629</v>
      </c>
      <c r="H242" s="11"/>
      <c r="I242" s="11" t="s">
        <v>3</v>
      </c>
      <c r="J242" s="67"/>
      <c r="K242" s="89"/>
      <c r="L242" s="91"/>
      <c r="M242" s="92"/>
      <c r="N242" s="92"/>
      <c r="O242" s="92"/>
      <c r="P242" s="92"/>
      <c r="Q242" s="92"/>
      <c r="R242" s="92"/>
      <c r="S242" s="92"/>
      <c r="T242" s="92"/>
      <c r="U242" s="92"/>
      <c r="V242" s="92"/>
      <c r="W242" s="92"/>
      <c r="X242" s="92"/>
      <c r="Y242" s="411"/>
      <c r="Z242" s="439"/>
      <c r="AA242" s="439"/>
      <c r="AB242" s="439"/>
    </row>
    <row r="243" spans="1:35">
      <c r="A243" s="145">
        <v>45444</v>
      </c>
      <c r="B243" s="484" t="s">
        <v>2665</v>
      </c>
      <c r="C243" s="27">
        <v>230812</v>
      </c>
      <c r="D243" s="20" t="str">
        <f t="shared" si="100"/>
        <v>高雄工業 本社</v>
      </c>
      <c r="E243" s="20" t="str">
        <f t="shared" si="101"/>
        <v>NGUYEN NGOC THANH</v>
      </c>
      <c r="F243" s="20" t="str">
        <f t="shared" si="102"/>
        <v>グエン　ゴック　タイン</v>
      </c>
      <c r="G243" s="119"/>
      <c r="H243" s="119"/>
      <c r="I243" s="119">
        <f>53000+4400+800+330</f>
        <v>58530</v>
      </c>
      <c r="J243" s="67"/>
      <c r="R243" s="130">
        <v>58530</v>
      </c>
      <c r="S243" s="130">
        <v>58530</v>
      </c>
      <c r="T243" s="130">
        <v>58530</v>
      </c>
      <c r="U243" s="130">
        <v>58530</v>
      </c>
      <c r="V243" s="130">
        <v>58530</v>
      </c>
      <c r="W243" s="130">
        <v>58530</v>
      </c>
      <c r="X243" s="130">
        <v>58530</v>
      </c>
      <c r="Y243" s="408">
        <v>58530</v>
      </c>
      <c r="Z243" s="437">
        <v>58530</v>
      </c>
      <c r="AA243" s="437">
        <v>58530</v>
      </c>
      <c r="AB243" s="437">
        <v>58530</v>
      </c>
      <c r="AC243" s="437">
        <v>58530</v>
      </c>
      <c r="AD243" s="437">
        <v>58530</v>
      </c>
      <c r="AE243" s="437">
        <v>58530</v>
      </c>
      <c r="AF243" s="437">
        <v>58530</v>
      </c>
      <c r="AG243" s="437">
        <v>58530</v>
      </c>
      <c r="AH243" s="508">
        <v>58530</v>
      </c>
      <c r="AI243" s="448">
        <v>58530</v>
      </c>
    </row>
    <row r="244" spans="1:35">
      <c r="C244" s="47"/>
      <c r="F244" s="160"/>
      <c r="G244" s="6"/>
      <c r="H244" s="6"/>
      <c r="I244" s="6"/>
      <c r="J244" s="138"/>
      <c r="K244" s="10"/>
      <c r="L244" s="10"/>
      <c r="M244" s="88"/>
      <c r="N244" s="88"/>
      <c r="O244" s="88"/>
      <c r="P244" s="88"/>
      <c r="Q244" s="88"/>
      <c r="R244" s="88"/>
      <c r="S244" s="88"/>
      <c r="T244" s="88"/>
      <c r="U244" s="88"/>
      <c r="V244" s="88"/>
      <c r="W244" s="88"/>
      <c r="X244" s="88"/>
      <c r="Y244" s="410"/>
      <c r="Z244" s="438"/>
      <c r="AA244" s="438"/>
      <c r="AB244" s="438"/>
    </row>
    <row r="245" spans="1:35">
      <c r="A245" s="147"/>
      <c r="C245" s="36"/>
      <c r="D245" s="36"/>
      <c r="E245" s="36" t="s">
        <v>2452</v>
      </c>
      <c r="F245" s="162"/>
      <c r="G245" s="216">
        <v>50720</v>
      </c>
      <c r="H245" s="216">
        <v>50720</v>
      </c>
      <c r="I245" s="216" t="s">
        <v>584</v>
      </c>
      <c r="J245" s="216" t="s">
        <v>631</v>
      </c>
      <c r="K245" s="10"/>
      <c r="L245" s="10"/>
      <c r="M245" s="88"/>
      <c r="N245" s="88"/>
      <c r="O245" s="88"/>
      <c r="P245" s="88"/>
      <c r="Q245" s="88"/>
      <c r="R245" s="88"/>
      <c r="S245" s="88"/>
      <c r="T245" s="88"/>
      <c r="U245" s="88"/>
      <c r="V245" s="88"/>
      <c r="W245" s="88"/>
      <c r="X245" s="88"/>
      <c r="Y245" s="410"/>
      <c r="Z245" s="438"/>
      <c r="AA245" s="438"/>
      <c r="AB245" s="438"/>
    </row>
    <row r="246" spans="1:35">
      <c r="A246" s="148" t="s">
        <v>1</v>
      </c>
      <c r="B246" s="377" t="s">
        <v>529</v>
      </c>
      <c r="C246" s="27" t="s">
        <v>2</v>
      </c>
      <c r="D246" s="27" t="s">
        <v>2532</v>
      </c>
      <c r="E246" s="27" t="s">
        <v>2433</v>
      </c>
      <c r="F246" s="165"/>
      <c r="G246" s="22" t="s">
        <v>629</v>
      </c>
      <c r="H246" s="22"/>
      <c r="I246" s="22" t="s">
        <v>3</v>
      </c>
      <c r="J246" s="90"/>
      <c r="K246" s="91"/>
      <c r="L246" s="91"/>
      <c r="M246" s="92"/>
      <c r="N246" s="92"/>
      <c r="O246" s="92"/>
      <c r="P246" s="92"/>
      <c r="Q246" s="92"/>
      <c r="R246" s="92"/>
      <c r="S246" s="92"/>
      <c r="T246" s="92"/>
      <c r="U246" s="92"/>
      <c r="V246" s="92"/>
      <c r="W246" s="92"/>
      <c r="X246" s="92"/>
      <c r="Y246" s="411"/>
      <c r="Z246" s="439"/>
      <c r="AA246" s="439"/>
      <c r="AB246" s="439"/>
    </row>
    <row r="247" spans="1:35">
      <c r="A247" s="145">
        <v>45500</v>
      </c>
      <c r="B247" s="376"/>
      <c r="C247" s="27">
        <v>221209</v>
      </c>
      <c r="D247" s="20" t="str">
        <f t="shared" si="100"/>
        <v>高雄工業 本社</v>
      </c>
      <c r="E247" s="20" t="str">
        <f t="shared" si="101"/>
        <v>TRAN DUC TRUONG</v>
      </c>
      <c r="F247" s="20" t="str">
        <f t="shared" si="102"/>
        <v>チャン　ドゥック　チュオン</v>
      </c>
      <c r="G247" s="11"/>
      <c r="H247" s="11"/>
      <c r="I247" s="11">
        <f>46000+3500+670+550</f>
        <v>50720</v>
      </c>
      <c r="J247" s="65"/>
      <c r="S247" s="130">
        <v>50720</v>
      </c>
      <c r="T247" s="130">
        <v>50720</v>
      </c>
      <c r="U247" s="130">
        <v>50720</v>
      </c>
      <c r="V247" s="130">
        <v>50720</v>
      </c>
      <c r="W247" s="130">
        <v>50720</v>
      </c>
      <c r="X247" s="130">
        <v>50720</v>
      </c>
      <c r="Y247" s="408">
        <v>50720</v>
      </c>
      <c r="Z247" s="437">
        <v>50720</v>
      </c>
      <c r="AA247" s="437">
        <v>50720</v>
      </c>
      <c r="AB247" s="437">
        <v>50720</v>
      </c>
      <c r="AC247" s="437">
        <v>50720</v>
      </c>
      <c r="AD247" s="437">
        <v>50720</v>
      </c>
      <c r="AE247" s="437">
        <v>50720</v>
      </c>
      <c r="AF247" s="437">
        <v>50720</v>
      </c>
      <c r="AG247" s="437">
        <v>50720</v>
      </c>
      <c r="AH247" s="437">
        <v>50720</v>
      </c>
      <c r="AI247" s="437">
        <v>50720</v>
      </c>
    </row>
    <row r="248" spans="1:35">
      <c r="D248" s="47"/>
      <c r="E248" s="47"/>
      <c r="F248" s="47"/>
      <c r="G248" s="91"/>
      <c r="H248" s="91"/>
      <c r="I248" s="91"/>
      <c r="J248" s="90"/>
      <c r="K248" s="10"/>
      <c r="L248" s="10"/>
      <c r="M248" s="88"/>
      <c r="N248" s="88"/>
      <c r="O248" s="88"/>
      <c r="P248" s="88"/>
      <c r="Q248" s="88"/>
      <c r="R248" s="88"/>
      <c r="S248" s="88"/>
      <c r="T248" s="88"/>
      <c r="U248" s="88"/>
      <c r="V248" s="88"/>
      <c r="W248" s="88"/>
      <c r="X248" s="88"/>
      <c r="Y248" s="410"/>
      <c r="Z248" s="438"/>
      <c r="AA248" s="438"/>
      <c r="AB248" s="438"/>
      <c r="AC248" s="438"/>
      <c r="AD248" s="438"/>
      <c r="AE248" s="438"/>
      <c r="AF248" s="437"/>
    </row>
    <row r="249" spans="1:35">
      <c r="A249" s="147"/>
      <c r="C249" s="36"/>
      <c r="D249" s="36"/>
      <c r="E249" s="36" t="s">
        <v>2594</v>
      </c>
      <c r="F249" s="162"/>
      <c r="G249" s="216">
        <v>55000</v>
      </c>
      <c r="H249" s="216">
        <v>55000</v>
      </c>
      <c r="I249" s="216" t="s">
        <v>593</v>
      </c>
      <c r="J249" s="216" t="s">
        <v>631</v>
      </c>
      <c r="K249" s="10"/>
      <c r="L249" s="10"/>
      <c r="M249" s="88"/>
      <c r="N249" s="88"/>
      <c r="O249" s="88"/>
      <c r="P249" s="88"/>
      <c r="Q249" s="88"/>
      <c r="R249" s="88"/>
      <c r="S249" s="88"/>
      <c r="T249" s="88"/>
      <c r="U249" s="88"/>
      <c r="V249" s="88"/>
      <c r="W249" s="88"/>
      <c r="X249" s="88"/>
      <c r="Y249" s="410"/>
      <c r="Z249" s="438"/>
      <c r="AA249" s="438"/>
      <c r="AB249" s="438"/>
    </row>
    <row r="250" spans="1:35">
      <c r="A250" s="148" t="s">
        <v>1</v>
      </c>
      <c r="B250" s="377" t="s">
        <v>529</v>
      </c>
      <c r="C250" s="27" t="s">
        <v>2</v>
      </c>
      <c r="D250" s="27" t="s">
        <v>2532</v>
      </c>
      <c r="E250" s="27" t="s">
        <v>2433</v>
      </c>
      <c r="F250" s="165"/>
      <c r="G250" s="22" t="s">
        <v>629</v>
      </c>
      <c r="H250" s="22"/>
      <c r="I250" s="22" t="s">
        <v>3</v>
      </c>
      <c r="J250" s="90"/>
      <c r="K250" s="91"/>
      <c r="L250" s="91"/>
      <c r="M250" s="92"/>
      <c r="N250" s="92"/>
      <c r="O250" s="92"/>
      <c r="P250" s="92"/>
      <c r="Q250" s="92"/>
      <c r="R250" s="92"/>
      <c r="S250" s="92"/>
      <c r="T250" s="92"/>
      <c r="U250" s="92"/>
      <c r="V250" s="92"/>
      <c r="W250" s="92"/>
      <c r="X250" s="92"/>
      <c r="Y250" s="411"/>
      <c r="Z250" s="439"/>
      <c r="AA250" s="439"/>
      <c r="AB250" s="439"/>
    </row>
    <row r="251" spans="1:35">
      <c r="A251" s="145">
        <v>45901</v>
      </c>
      <c r="B251" s="376"/>
      <c r="C251" s="27">
        <v>250904</v>
      </c>
      <c r="D251" s="20" t="str">
        <f t="shared" ref="D251" si="122">IF(C251="","",_xlfn.XLOOKUP(C251,社員№,派遣先,"",0,-1))</f>
        <v>高雄工業 海南第二</v>
      </c>
      <c r="E251" s="20" t="str">
        <f t="shared" ref="E251" si="123">IF(C251="","",_xlfn.XLOOKUP(C251,社員№,氏名,"",0,-1))</f>
        <v>神山　龍也</v>
      </c>
      <c r="F251" s="20" t="str">
        <f t="shared" ref="F251" si="124">IF(C251="","",_xlfn.XLOOKUP(C251,社員№,カナ,"",0,-1))</f>
        <v>カミヤマ　リュウヤ</v>
      </c>
      <c r="G251" s="11"/>
      <c r="H251" s="11"/>
      <c r="I251" s="11">
        <v>55000</v>
      </c>
      <c r="J251" s="65"/>
      <c r="S251" s="130">
        <v>50720</v>
      </c>
      <c r="T251" s="130">
        <v>50720</v>
      </c>
      <c r="U251" s="130">
        <v>50720</v>
      </c>
      <c r="V251" s="130">
        <v>50720</v>
      </c>
      <c r="W251" s="130">
        <v>50720</v>
      </c>
      <c r="X251" s="130">
        <v>50720</v>
      </c>
      <c r="Y251" s="408">
        <v>50720</v>
      </c>
      <c r="Z251" s="437">
        <v>50720</v>
      </c>
      <c r="AA251" s="437">
        <v>50720</v>
      </c>
      <c r="AB251" s="437">
        <v>50720</v>
      </c>
      <c r="AC251" s="437">
        <v>50720</v>
      </c>
      <c r="AD251" s="437"/>
      <c r="AE251" s="437"/>
      <c r="AF251" s="437">
        <v>110000</v>
      </c>
      <c r="AG251" s="522">
        <v>55000</v>
      </c>
      <c r="AH251" s="508">
        <v>55000</v>
      </c>
      <c r="AI251" s="508">
        <v>55000</v>
      </c>
    </row>
    <row r="252" spans="1:35">
      <c r="A252" s="147"/>
      <c r="F252" s="160"/>
      <c r="J252" s="74"/>
      <c r="K252" s="10"/>
      <c r="L252" s="10"/>
      <c r="M252" s="88"/>
      <c r="N252" s="88"/>
      <c r="O252" s="88"/>
      <c r="P252" s="88"/>
      <c r="Q252" s="88"/>
      <c r="R252" s="88"/>
      <c r="S252" s="88"/>
      <c r="T252" s="88"/>
      <c r="U252" s="88"/>
      <c r="V252" s="88"/>
      <c r="W252" s="88"/>
      <c r="X252" s="88"/>
      <c r="Y252" s="410"/>
      <c r="Z252" s="438"/>
      <c r="AA252" s="438"/>
      <c r="AB252" s="438"/>
    </row>
    <row r="253" spans="1:35">
      <c r="A253" s="147"/>
      <c r="C253" s="32"/>
      <c r="D253" s="32"/>
      <c r="E253" s="32" t="s">
        <v>8</v>
      </c>
      <c r="F253" s="172"/>
      <c r="G253" s="216">
        <v>46850</v>
      </c>
      <c r="H253" s="216">
        <v>50000</v>
      </c>
      <c r="I253" s="216" t="s">
        <v>584</v>
      </c>
      <c r="J253" s="74"/>
      <c r="K253" s="10"/>
      <c r="L253" s="10"/>
      <c r="M253" s="88"/>
      <c r="N253" s="88"/>
      <c r="O253" s="88"/>
      <c r="P253" s="88"/>
      <c r="Q253" s="88"/>
      <c r="R253" s="88"/>
      <c r="S253" s="88"/>
      <c r="T253" s="88"/>
      <c r="U253" s="88"/>
      <c r="V253" s="88"/>
      <c r="W253" s="88"/>
      <c r="X253" s="88"/>
      <c r="Y253" s="410"/>
      <c r="Z253" s="438"/>
      <c r="AA253" s="438"/>
      <c r="AB253" s="438"/>
    </row>
    <row r="254" spans="1:35">
      <c r="A254" s="148" t="s">
        <v>1</v>
      </c>
      <c r="B254" s="377" t="s">
        <v>529</v>
      </c>
      <c r="C254" s="27" t="s">
        <v>2</v>
      </c>
      <c r="D254" s="27" t="s">
        <v>2532</v>
      </c>
      <c r="E254" s="27" t="s">
        <v>2433</v>
      </c>
      <c r="F254" s="165"/>
      <c r="G254" s="22" t="s">
        <v>629</v>
      </c>
      <c r="H254" s="22"/>
      <c r="I254" s="22" t="s">
        <v>3</v>
      </c>
      <c r="J254" s="90"/>
      <c r="K254" s="91"/>
      <c r="L254" s="91"/>
      <c r="M254" s="92"/>
      <c r="N254" s="92"/>
      <c r="O254" s="92"/>
      <c r="P254" s="92"/>
      <c r="Q254" s="92"/>
      <c r="R254" s="92"/>
      <c r="S254" s="92"/>
      <c r="T254" s="92"/>
      <c r="U254" s="92"/>
      <c r="V254" s="92"/>
      <c r="W254" s="92"/>
      <c r="X254" s="92"/>
      <c r="Y254" s="411"/>
      <c r="Z254" s="439"/>
      <c r="AA254" s="439"/>
      <c r="AB254" s="439"/>
    </row>
    <row r="255" spans="1:35" hidden="1">
      <c r="A255" s="145">
        <v>44758</v>
      </c>
      <c r="B255" s="376">
        <v>45869</v>
      </c>
      <c r="C255" s="27">
        <v>220210</v>
      </c>
      <c r="D255" s="20" t="str">
        <f t="shared" si="100"/>
        <v>高雄工業 静岡</v>
      </c>
      <c r="E255" s="20" t="str">
        <f t="shared" si="101"/>
        <v>HOANG ANH TUAN</v>
      </c>
      <c r="F255" s="20" t="str">
        <f t="shared" si="102"/>
        <v>ホアン　アイン　トゥアン</v>
      </c>
      <c r="G255" s="11"/>
      <c r="H255" s="11"/>
      <c r="I255" s="11">
        <v>25000</v>
      </c>
      <c r="J255" s="65"/>
      <c r="K255" s="11">
        <v>25000</v>
      </c>
      <c r="L255" s="11">
        <v>25000</v>
      </c>
      <c r="M255" s="81">
        <v>25000</v>
      </c>
      <c r="N255" s="81">
        <v>25000</v>
      </c>
      <c r="O255" s="81">
        <v>25000</v>
      </c>
      <c r="P255" s="81">
        <v>25000</v>
      </c>
      <c r="Q255" s="81">
        <v>25000</v>
      </c>
      <c r="R255" s="81">
        <v>25000</v>
      </c>
      <c r="S255" s="81">
        <v>25000</v>
      </c>
      <c r="T255" s="81">
        <v>25000</v>
      </c>
      <c r="U255" s="81">
        <v>25000</v>
      </c>
      <c r="V255" s="81">
        <v>25000</v>
      </c>
      <c r="W255" s="81">
        <v>25000</v>
      </c>
      <c r="X255" s="81">
        <v>25000</v>
      </c>
      <c r="Y255" s="413">
        <v>25000</v>
      </c>
      <c r="Z255" s="441">
        <v>25000</v>
      </c>
      <c r="AA255" s="441">
        <v>25000</v>
      </c>
      <c r="AB255" s="441">
        <v>25000</v>
      </c>
      <c r="AC255" s="464">
        <v>45000</v>
      </c>
      <c r="AD255" s="464">
        <v>0</v>
      </c>
      <c r="AE255" s="464">
        <v>0</v>
      </c>
      <c r="AF255" s="508">
        <v>0</v>
      </c>
    </row>
    <row r="256" spans="1:35" hidden="1">
      <c r="A256" s="145">
        <v>44864</v>
      </c>
      <c r="B256" s="376">
        <v>45557</v>
      </c>
      <c r="C256" s="27">
        <v>211110</v>
      </c>
      <c r="D256" s="20" t="str">
        <f t="shared" ref="D256:D258" si="125">IF(C256="","",_xlfn.XLOOKUP(C256,社員№,派遣先,"",0,-1))</f>
        <v>高雄工業 静岡</v>
      </c>
      <c r="E256" s="20" t="str">
        <f t="shared" ref="E256:E258" si="126">IF(C256="","",_xlfn.XLOOKUP(C256,社員№,氏名,"",0,-1))</f>
        <v>PHAM DUC BAO</v>
      </c>
      <c r="F256" s="20" t="str">
        <f t="shared" ref="F256:F258" si="127">IF(C256="","",_xlfn.XLOOKUP(C256,社員№,カナ,"",0,-1))</f>
        <v>ファム　ドゥック　バオ</v>
      </c>
      <c r="G256" s="11"/>
      <c r="H256" s="11"/>
      <c r="I256" s="11">
        <v>25000</v>
      </c>
      <c r="J256" s="65"/>
      <c r="K256" s="11">
        <v>25000</v>
      </c>
      <c r="L256" s="11">
        <v>25000</v>
      </c>
      <c r="M256" s="81">
        <v>25000</v>
      </c>
      <c r="N256" s="81">
        <v>25000</v>
      </c>
      <c r="O256" s="81">
        <v>25000</v>
      </c>
      <c r="P256" s="81">
        <v>25000</v>
      </c>
      <c r="Q256" s="81">
        <v>25000</v>
      </c>
      <c r="R256" s="81">
        <v>25000</v>
      </c>
      <c r="S256" s="81">
        <f>25000+20000</f>
        <v>45000</v>
      </c>
      <c r="T256" s="81">
        <v>0</v>
      </c>
      <c r="U256" s="81">
        <v>0</v>
      </c>
      <c r="V256" s="81">
        <v>0</v>
      </c>
      <c r="W256" s="81">
        <v>0</v>
      </c>
      <c r="X256" s="81">
        <v>0</v>
      </c>
      <c r="Y256" s="413">
        <v>0</v>
      </c>
      <c r="Z256" s="441">
        <v>0</v>
      </c>
      <c r="AA256" s="441">
        <v>0</v>
      </c>
      <c r="AB256" s="441">
        <v>0</v>
      </c>
    </row>
    <row r="257" spans="1:35">
      <c r="A257" s="145">
        <v>45658</v>
      </c>
      <c r="B257" s="376"/>
      <c r="C257" s="27">
        <v>231216</v>
      </c>
      <c r="D257" s="20" t="str">
        <f t="shared" si="125"/>
        <v>高雄工業 静岡</v>
      </c>
      <c r="E257" s="20" t="str">
        <f t="shared" si="126"/>
        <v>NGUYEN DUY HIEU</v>
      </c>
      <c r="F257" s="20" t="str">
        <f t="shared" si="127"/>
        <v>グエン　ズイ　ヒエウ</v>
      </c>
      <c r="G257" s="11"/>
      <c r="H257" s="11"/>
      <c r="I257" s="11">
        <v>25000</v>
      </c>
      <c r="J257" s="65"/>
      <c r="O257" s="81"/>
      <c r="P257" s="81"/>
      <c r="Q257" s="81"/>
      <c r="R257" s="81"/>
      <c r="S257" s="81"/>
      <c r="T257" s="81"/>
      <c r="U257" s="81"/>
      <c r="V257" s="81"/>
      <c r="W257" s="81">
        <v>25000</v>
      </c>
      <c r="X257" s="81">
        <v>25000</v>
      </c>
      <c r="Y257" s="413">
        <v>25000</v>
      </c>
      <c r="Z257" s="441">
        <v>25000</v>
      </c>
      <c r="AA257" s="441">
        <v>25000</v>
      </c>
      <c r="AB257" s="441">
        <v>25000</v>
      </c>
      <c r="AC257" s="441">
        <v>25000</v>
      </c>
      <c r="AD257" s="441">
        <v>25000</v>
      </c>
      <c r="AE257" s="437">
        <v>25000</v>
      </c>
      <c r="AF257" s="437">
        <v>25000</v>
      </c>
      <c r="AG257" s="437">
        <v>25000</v>
      </c>
      <c r="AH257" s="437">
        <v>25000</v>
      </c>
      <c r="AI257" s="437">
        <v>25000</v>
      </c>
    </row>
    <row r="258" spans="1:35">
      <c r="A258" s="145">
        <v>45868</v>
      </c>
      <c r="B258" s="376"/>
      <c r="C258" s="27">
        <v>250802</v>
      </c>
      <c r="D258" s="20" t="str">
        <f t="shared" si="125"/>
        <v>高雄工業 静岡</v>
      </c>
      <c r="E258" s="20" t="str">
        <f t="shared" si="126"/>
        <v>HA TRONG HUNG</v>
      </c>
      <c r="F258" s="20" t="str">
        <f t="shared" si="127"/>
        <v>ハー　チョン　フン</v>
      </c>
      <c r="G258" s="11"/>
      <c r="H258" s="11"/>
      <c r="I258" s="11"/>
      <c r="J258" s="65"/>
      <c r="O258" s="81"/>
      <c r="P258" s="81"/>
      <c r="Q258" s="81"/>
      <c r="R258" s="81"/>
      <c r="S258" s="81"/>
      <c r="T258" s="81"/>
      <c r="U258" s="81"/>
      <c r="V258" s="81"/>
      <c r="W258" s="81"/>
      <c r="X258" s="81"/>
      <c r="Y258" s="413"/>
      <c r="Z258" s="441"/>
      <c r="AA258" s="441"/>
      <c r="AB258" s="441"/>
      <c r="AC258" s="441"/>
      <c r="AD258" s="441">
        <v>25000</v>
      </c>
      <c r="AE258" s="437">
        <v>25000</v>
      </c>
      <c r="AF258" s="437">
        <v>25000</v>
      </c>
      <c r="AG258" s="437">
        <v>25000</v>
      </c>
      <c r="AH258" s="437">
        <v>25000</v>
      </c>
      <c r="AI258" s="437">
        <v>25000</v>
      </c>
    </row>
    <row r="259" spans="1:35">
      <c r="A259" s="147"/>
      <c r="F259" s="160"/>
      <c r="J259" s="74"/>
      <c r="K259" s="10"/>
      <c r="L259" s="10"/>
      <c r="M259" s="88"/>
      <c r="N259" s="88"/>
      <c r="O259" s="88"/>
      <c r="P259" s="88"/>
      <c r="Q259" s="88"/>
      <c r="R259" s="88"/>
      <c r="S259" s="88"/>
      <c r="T259" s="88"/>
      <c r="U259" s="88"/>
      <c r="V259" s="88"/>
      <c r="W259" s="88"/>
      <c r="X259" s="88"/>
      <c r="Y259" s="410"/>
      <c r="Z259" s="438"/>
      <c r="AA259" s="438"/>
      <c r="AB259" s="438"/>
    </row>
    <row r="260" spans="1:35">
      <c r="A260" s="147"/>
      <c r="C260" s="32"/>
      <c r="D260" s="32"/>
      <c r="E260" s="32" t="s">
        <v>11</v>
      </c>
      <c r="F260" s="172"/>
      <c r="G260" s="216">
        <v>47200</v>
      </c>
      <c r="H260" s="216">
        <v>48000</v>
      </c>
      <c r="I260" s="216" t="s">
        <v>584</v>
      </c>
      <c r="J260" s="74"/>
      <c r="K260" s="10"/>
      <c r="L260" s="10"/>
      <c r="M260" s="88"/>
      <c r="N260" s="88"/>
      <c r="O260" s="88"/>
      <c r="P260" s="88"/>
      <c r="Q260" s="88"/>
      <c r="R260" s="88"/>
      <c r="S260" s="88"/>
      <c r="T260" s="88"/>
      <c r="U260" s="88"/>
      <c r="V260" s="88"/>
      <c r="W260" s="88"/>
      <c r="X260" s="88"/>
      <c r="Y260" s="410"/>
      <c r="Z260" s="438"/>
      <c r="AA260" s="438"/>
      <c r="AB260" s="438"/>
    </row>
    <row r="261" spans="1:35">
      <c r="A261" s="148" t="s">
        <v>1</v>
      </c>
      <c r="B261" s="377" t="s">
        <v>529</v>
      </c>
      <c r="C261" s="27" t="s">
        <v>2</v>
      </c>
      <c r="D261" s="27" t="s">
        <v>2532</v>
      </c>
      <c r="E261" s="27" t="s">
        <v>2433</v>
      </c>
      <c r="F261" s="165"/>
      <c r="G261" s="22" t="s">
        <v>629</v>
      </c>
      <c r="H261" s="22"/>
      <c r="I261" s="22" t="s">
        <v>3</v>
      </c>
      <c r="J261" s="90"/>
      <c r="K261" s="91"/>
      <c r="L261" s="91"/>
      <c r="M261" s="92"/>
      <c r="N261" s="92"/>
      <c r="O261" s="92"/>
      <c r="P261" s="92"/>
      <c r="Q261" s="92"/>
      <c r="R261" s="92"/>
      <c r="S261" s="92"/>
      <c r="T261" s="92"/>
      <c r="U261" s="92"/>
      <c r="V261" s="92"/>
      <c r="W261" s="92"/>
      <c r="X261" s="92"/>
      <c r="Y261" s="411"/>
      <c r="Z261" s="439"/>
      <c r="AA261" s="439"/>
      <c r="AB261" s="439"/>
    </row>
    <row r="262" spans="1:35">
      <c r="A262" s="145">
        <v>44896</v>
      </c>
      <c r="B262" s="376"/>
      <c r="C262" s="27">
        <v>210416</v>
      </c>
      <c r="D262" s="20" t="str">
        <f t="shared" si="100"/>
        <v>高雄工業 静岡</v>
      </c>
      <c r="E262" s="20" t="str">
        <f t="shared" si="101"/>
        <v>NGUYEN XUAN DUY</v>
      </c>
      <c r="F262" s="20" t="str">
        <f t="shared" si="102"/>
        <v>グエン　スアン　ズイ</v>
      </c>
      <c r="G262" s="11"/>
      <c r="H262" s="11"/>
      <c r="I262" s="11">
        <v>48000</v>
      </c>
      <c r="J262" s="65" t="s">
        <v>121</v>
      </c>
      <c r="K262" s="11">
        <v>42742</v>
      </c>
      <c r="L262" s="11">
        <v>48000</v>
      </c>
      <c r="M262" s="81">
        <v>48000</v>
      </c>
      <c r="N262" s="81">
        <v>48000</v>
      </c>
      <c r="O262" s="130">
        <v>48000</v>
      </c>
      <c r="P262" s="130">
        <v>48000</v>
      </c>
      <c r="Q262" s="130">
        <v>48000</v>
      </c>
      <c r="R262" s="130">
        <v>48000</v>
      </c>
      <c r="S262" s="130">
        <v>48000</v>
      </c>
      <c r="T262" s="130">
        <v>48000</v>
      </c>
      <c r="U262" s="130">
        <v>48000</v>
      </c>
      <c r="V262" s="130">
        <v>48000</v>
      </c>
      <c r="W262" s="130">
        <v>48000</v>
      </c>
      <c r="X262" s="130">
        <v>0</v>
      </c>
      <c r="Y262" s="7">
        <f>48000+48000</f>
        <v>96000</v>
      </c>
      <c r="Z262" s="448">
        <v>48000</v>
      </c>
      <c r="AA262" s="448">
        <v>48000</v>
      </c>
      <c r="AB262" s="448">
        <v>48000</v>
      </c>
      <c r="AC262" s="448">
        <v>48000</v>
      </c>
      <c r="AD262" s="448">
        <v>48000</v>
      </c>
      <c r="AE262" s="508">
        <v>48000</v>
      </c>
      <c r="AF262" s="508">
        <v>48000</v>
      </c>
      <c r="AG262" s="508">
        <v>48000</v>
      </c>
      <c r="AH262" s="508">
        <v>48000</v>
      </c>
      <c r="AI262" s="508">
        <v>48000</v>
      </c>
    </row>
    <row r="263" spans="1:35">
      <c r="F263" s="160"/>
      <c r="G263" s="10"/>
      <c r="H263" s="10"/>
      <c r="I263" s="10"/>
      <c r="J263" s="97"/>
      <c r="K263" s="98"/>
      <c r="L263" s="98"/>
      <c r="M263" s="99"/>
      <c r="N263" s="99"/>
      <c r="O263" s="99"/>
      <c r="P263" s="99"/>
      <c r="Q263" s="99"/>
      <c r="R263" s="99"/>
      <c r="S263" s="99"/>
      <c r="T263" s="99"/>
      <c r="U263" s="99"/>
      <c r="V263" s="99"/>
      <c r="W263" s="99"/>
      <c r="X263" s="99"/>
      <c r="Y263" s="416"/>
      <c r="Z263" s="445"/>
      <c r="AA263" s="445"/>
      <c r="AB263" s="445"/>
    </row>
    <row r="264" spans="1:35">
      <c r="A264" s="147"/>
      <c r="C264" s="52"/>
      <c r="D264" s="52"/>
      <c r="E264" s="52" t="s">
        <v>952</v>
      </c>
      <c r="F264" s="173"/>
      <c r="G264" s="216">
        <v>50030</v>
      </c>
      <c r="H264" s="216">
        <v>55200</v>
      </c>
      <c r="I264" s="216" t="s">
        <v>584</v>
      </c>
      <c r="K264" s="10"/>
      <c r="L264" s="10"/>
      <c r="M264" s="88"/>
      <c r="N264" s="88"/>
      <c r="O264" s="88"/>
      <c r="P264" s="88"/>
      <c r="Q264" s="88"/>
      <c r="R264" s="88"/>
      <c r="S264" s="88"/>
      <c r="T264" s="88"/>
      <c r="U264" s="88"/>
      <c r="V264" s="88"/>
      <c r="W264" s="88"/>
      <c r="X264" s="88"/>
      <c r="Y264" s="410"/>
      <c r="Z264" s="438"/>
      <c r="AA264" s="438"/>
      <c r="AB264" s="438"/>
    </row>
    <row r="265" spans="1:35">
      <c r="A265" s="148" t="s">
        <v>1</v>
      </c>
      <c r="B265" s="377" t="s">
        <v>529</v>
      </c>
      <c r="C265" s="27" t="s">
        <v>2</v>
      </c>
      <c r="D265" s="27" t="s">
        <v>2532</v>
      </c>
      <c r="E265" s="27" t="s">
        <v>2433</v>
      </c>
      <c r="F265" s="165"/>
      <c r="G265" s="22" t="s">
        <v>629</v>
      </c>
      <c r="H265" s="22"/>
      <c r="I265" s="22" t="s">
        <v>3</v>
      </c>
      <c r="J265" s="69"/>
      <c r="K265" s="91"/>
      <c r="L265" s="91"/>
      <c r="M265" s="92"/>
      <c r="N265" s="92"/>
      <c r="O265" s="92"/>
      <c r="P265" s="92"/>
      <c r="Q265" s="92"/>
      <c r="R265" s="92"/>
      <c r="S265" s="92"/>
      <c r="T265" s="92"/>
      <c r="U265" s="92"/>
      <c r="V265" s="92"/>
      <c r="W265" s="92"/>
      <c r="X265" s="92"/>
      <c r="Y265" s="411"/>
      <c r="Z265" s="439"/>
      <c r="AA265" s="439"/>
      <c r="AB265" s="439"/>
    </row>
    <row r="266" spans="1:35">
      <c r="A266" s="145">
        <v>45694</v>
      </c>
      <c r="B266" s="376">
        <v>46046</v>
      </c>
      <c r="C266" s="27">
        <v>250215</v>
      </c>
      <c r="D266" s="20" t="str">
        <f t="shared" si="100"/>
        <v>高雄工業 静岡</v>
      </c>
      <c r="E266" s="20" t="str">
        <f t="shared" si="101"/>
        <v>NGUYEN DUY THANH</v>
      </c>
      <c r="F266" s="20" t="str">
        <f t="shared" si="102"/>
        <v>グエン　ズイ　タイン</v>
      </c>
      <c r="G266" s="11"/>
      <c r="H266" s="11"/>
      <c r="I266" s="11">
        <v>27600</v>
      </c>
      <c r="J266" s="65"/>
      <c r="X266" s="130">
        <v>22671</v>
      </c>
      <c r="Y266" s="408">
        <v>27600</v>
      </c>
      <c r="Z266" s="437">
        <v>27600</v>
      </c>
      <c r="AA266" s="437">
        <v>27600</v>
      </c>
      <c r="AB266" s="437">
        <v>27600</v>
      </c>
      <c r="AC266" s="437">
        <v>27600</v>
      </c>
      <c r="AD266" s="437">
        <v>27600</v>
      </c>
      <c r="AE266" s="437">
        <v>27600</v>
      </c>
      <c r="AF266" s="437">
        <v>27600</v>
      </c>
      <c r="AG266" s="437">
        <v>27600</v>
      </c>
      <c r="AH266" s="437">
        <v>27600</v>
      </c>
      <c r="AI266" s="437"/>
    </row>
    <row r="267" spans="1:35">
      <c r="A267" s="145">
        <v>45694</v>
      </c>
      <c r="B267" s="376"/>
      <c r="C267" s="27">
        <v>250219</v>
      </c>
      <c r="D267" s="20" t="str">
        <f t="shared" ref="D267" si="128">IF(C267="","",_xlfn.XLOOKUP(C267,社員№,派遣先,"",0,-1))</f>
        <v>高雄工業 静岡</v>
      </c>
      <c r="E267" s="20" t="str">
        <f t="shared" ref="E267" si="129">IF(C267="","",_xlfn.XLOOKUP(C267,社員№,氏名,"",0,-1))</f>
        <v>NGUYEN TIEN DUNG</v>
      </c>
      <c r="F267" s="20" t="str">
        <f t="shared" ref="F267" si="130">IF(C267="","",_xlfn.XLOOKUP(C267,社員№,カナ,"",0,-1))</f>
        <v>グエン　ティエン　ズン</v>
      </c>
      <c r="G267" s="11"/>
      <c r="H267" s="11"/>
      <c r="I267" s="11">
        <v>27600</v>
      </c>
      <c r="J267" s="65"/>
      <c r="X267" s="130">
        <v>22671</v>
      </c>
      <c r="Y267" s="408">
        <v>27600</v>
      </c>
      <c r="Z267" s="437">
        <v>27600</v>
      </c>
      <c r="AA267" s="437">
        <v>27600</v>
      </c>
      <c r="AB267" s="437">
        <v>27600</v>
      </c>
      <c r="AC267" s="437">
        <v>27600</v>
      </c>
      <c r="AD267" s="437">
        <v>27600</v>
      </c>
      <c r="AE267" s="437">
        <v>27600</v>
      </c>
      <c r="AF267" s="437">
        <v>27600</v>
      </c>
      <c r="AG267" s="437">
        <v>27600</v>
      </c>
      <c r="AH267" s="437">
        <v>27600</v>
      </c>
      <c r="AI267" s="437">
        <v>27600</v>
      </c>
    </row>
    <row r="268" spans="1:35">
      <c r="A268" s="147"/>
      <c r="F268" s="160"/>
      <c r="J268" s="74"/>
      <c r="K268" s="10"/>
      <c r="L268" s="10"/>
      <c r="M268" s="88"/>
      <c r="N268" s="88"/>
      <c r="O268" s="88"/>
      <c r="P268" s="88"/>
      <c r="Q268" s="88"/>
      <c r="R268" s="88"/>
      <c r="S268" s="88"/>
      <c r="T268" s="88"/>
      <c r="U268" s="88"/>
      <c r="V268" s="88"/>
      <c r="W268" s="88"/>
      <c r="X268" s="88"/>
      <c r="Y268" s="410"/>
      <c r="Z268" s="438"/>
      <c r="AA268" s="438"/>
      <c r="AB268" s="438"/>
    </row>
    <row r="269" spans="1:35">
      <c r="A269" s="147"/>
      <c r="C269" s="52"/>
      <c r="D269" s="52"/>
      <c r="E269" s="52" t="s">
        <v>601</v>
      </c>
      <c r="F269" s="173"/>
      <c r="G269" s="216">
        <v>47500</v>
      </c>
      <c r="H269" s="216">
        <v>53000</v>
      </c>
      <c r="I269" s="216" t="s">
        <v>584</v>
      </c>
      <c r="K269" s="10"/>
      <c r="L269" s="10"/>
      <c r="M269" s="88"/>
      <c r="N269" s="88"/>
      <c r="O269" s="88"/>
      <c r="P269" s="88"/>
      <c r="Q269" s="88"/>
      <c r="R269" s="88"/>
      <c r="S269" s="88"/>
      <c r="T269" s="88"/>
      <c r="U269" s="88"/>
      <c r="V269" s="88"/>
      <c r="W269" s="88"/>
      <c r="X269" s="88"/>
      <c r="Y269" s="410"/>
      <c r="Z269" s="438"/>
      <c r="AA269" s="438"/>
      <c r="AB269" s="438"/>
    </row>
    <row r="270" spans="1:35">
      <c r="A270" s="148" t="s">
        <v>1</v>
      </c>
      <c r="B270" s="377" t="s">
        <v>529</v>
      </c>
      <c r="C270" s="27" t="s">
        <v>2</v>
      </c>
      <c r="D270" s="27" t="s">
        <v>2532</v>
      </c>
      <c r="E270" s="27" t="s">
        <v>2433</v>
      </c>
      <c r="F270" s="165"/>
      <c r="G270" s="22" t="s">
        <v>629</v>
      </c>
      <c r="H270" s="22"/>
      <c r="I270" s="22" t="s">
        <v>3</v>
      </c>
      <c r="J270" s="69" t="s">
        <v>120</v>
      </c>
      <c r="K270" s="91"/>
      <c r="L270" s="91"/>
      <c r="M270" s="92"/>
      <c r="N270" s="92"/>
      <c r="O270" s="92"/>
      <c r="P270" s="92"/>
      <c r="Q270" s="92"/>
      <c r="R270" s="92"/>
      <c r="S270" s="92"/>
      <c r="T270" s="92"/>
      <c r="U270" s="92"/>
      <c r="V270" s="92"/>
      <c r="W270" s="92"/>
      <c r="X270" s="92"/>
      <c r="Y270" s="411"/>
      <c r="Z270" s="439"/>
      <c r="AA270" s="439"/>
      <c r="AB270" s="439"/>
    </row>
    <row r="271" spans="1:35">
      <c r="A271" s="145">
        <v>44897</v>
      </c>
      <c r="B271" s="376">
        <v>46035</v>
      </c>
      <c r="C271" s="27">
        <v>221207</v>
      </c>
      <c r="D271" s="20" t="str">
        <f t="shared" si="100"/>
        <v>高雄工業 静岡</v>
      </c>
      <c r="E271" s="20" t="str">
        <f t="shared" si="101"/>
        <v>PHAM TRUNG DUNG</v>
      </c>
      <c r="F271" s="20" t="str">
        <f t="shared" si="102"/>
        <v>ファム　チュン　ズン</v>
      </c>
      <c r="G271" s="11"/>
      <c r="H271" s="11"/>
      <c r="I271" s="11">
        <v>26500</v>
      </c>
      <c r="J271" s="65">
        <v>17670</v>
      </c>
      <c r="K271" s="11">
        <v>26500</v>
      </c>
      <c r="L271" s="11">
        <v>26500</v>
      </c>
      <c r="M271" s="81">
        <v>26500</v>
      </c>
      <c r="N271" s="81">
        <v>26500</v>
      </c>
      <c r="O271" s="130">
        <v>26500</v>
      </c>
      <c r="P271" s="130">
        <v>26500</v>
      </c>
      <c r="Q271" s="130">
        <v>26500</v>
      </c>
      <c r="R271" s="130">
        <v>26500</v>
      </c>
      <c r="S271" s="130">
        <v>26500</v>
      </c>
      <c r="T271" s="130">
        <v>26500</v>
      </c>
      <c r="U271" s="130">
        <v>26500</v>
      </c>
      <c r="V271" s="130">
        <v>26500</v>
      </c>
      <c r="W271" s="130">
        <v>26500</v>
      </c>
      <c r="X271" s="130">
        <v>26500</v>
      </c>
      <c r="Y271" s="408">
        <v>26500</v>
      </c>
      <c r="Z271" s="437">
        <v>26500</v>
      </c>
      <c r="AA271" s="437">
        <v>26500</v>
      </c>
      <c r="AB271" s="437">
        <v>26500</v>
      </c>
      <c r="AC271" s="437">
        <v>26500</v>
      </c>
      <c r="AD271" s="437">
        <v>26500</v>
      </c>
      <c r="AE271" s="437">
        <v>26500</v>
      </c>
      <c r="AF271" s="437">
        <v>26500</v>
      </c>
      <c r="AG271" s="437">
        <v>26500</v>
      </c>
      <c r="AH271" s="437">
        <v>26500</v>
      </c>
      <c r="AI271" s="448">
        <v>46500</v>
      </c>
    </row>
    <row r="272" spans="1:35">
      <c r="A272" s="145">
        <v>45249</v>
      </c>
      <c r="B272" s="376"/>
      <c r="C272" s="27">
        <v>221211</v>
      </c>
      <c r="D272" s="20" t="str">
        <f t="shared" ref="D272" si="131">IF(C272="","",_xlfn.XLOOKUP(C272,社員№,派遣先,"",0,-1))</f>
        <v>高雄工業 静岡</v>
      </c>
      <c r="E272" s="20" t="str">
        <f t="shared" ref="E272" si="132">IF(C272="","",_xlfn.XLOOKUP(C272,社員№,氏名,"",0,-1))</f>
        <v>TA DUC TUAN</v>
      </c>
      <c r="F272" s="20" t="str">
        <f t="shared" ref="F272" si="133">IF(C272="","",_xlfn.XLOOKUP(C272,社員№,カナ,"",0,-1))</f>
        <v>ター　ドゥック　トゥアン</v>
      </c>
      <c r="G272" s="11"/>
      <c r="H272" s="11"/>
      <c r="I272" s="11">
        <v>26500</v>
      </c>
      <c r="J272" s="65">
        <v>17670</v>
      </c>
      <c r="K272" s="11">
        <v>26500</v>
      </c>
      <c r="L272" s="11">
        <v>26500</v>
      </c>
      <c r="M272" s="81">
        <v>26500</v>
      </c>
      <c r="N272" s="81">
        <v>26500</v>
      </c>
      <c r="O272" s="130">
        <v>26500</v>
      </c>
      <c r="P272" s="130">
        <v>26500</v>
      </c>
      <c r="Q272" s="130">
        <v>26500</v>
      </c>
      <c r="R272" s="130">
        <v>26500</v>
      </c>
      <c r="S272" s="130">
        <v>26500</v>
      </c>
      <c r="T272" s="130">
        <v>26500</v>
      </c>
      <c r="U272" s="130">
        <v>26500</v>
      </c>
      <c r="V272" s="130">
        <v>26500</v>
      </c>
      <c r="W272" s="130">
        <v>26500</v>
      </c>
      <c r="X272" s="130">
        <v>26500</v>
      </c>
      <c r="Y272" s="408">
        <v>26500</v>
      </c>
      <c r="Z272" s="437">
        <v>26500</v>
      </c>
      <c r="AA272" s="437">
        <v>26500</v>
      </c>
      <c r="AB272" s="437">
        <v>26500</v>
      </c>
      <c r="AC272" s="437">
        <v>26500</v>
      </c>
      <c r="AD272" s="437">
        <v>26500</v>
      </c>
      <c r="AE272" s="437">
        <v>26500</v>
      </c>
      <c r="AF272" s="437">
        <v>26500</v>
      </c>
      <c r="AG272" s="437">
        <v>26500</v>
      </c>
      <c r="AH272" s="437">
        <v>26500</v>
      </c>
      <c r="AI272" s="437">
        <v>26500</v>
      </c>
    </row>
    <row r="273" spans="1:35">
      <c r="A273" s="145">
        <v>46037</v>
      </c>
      <c r="B273" s="376"/>
      <c r="C273" s="27">
        <v>260110</v>
      </c>
      <c r="D273" s="20" t="s">
        <v>2841</v>
      </c>
      <c r="E273" s="20" t="s">
        <v>2842</v>
      </c>
      <c r="F273" s="20" t="s">
        <v>2843</v>
      </c>
      <c r="G273" s="11"/>
      <c r="H273" s="11"/>
      <c r="I273" s="11"/>
      <c r="J273" s="65"/>
      <c r="O273" s="81"/>
      <c r="P273" s="81"/>
      <c r="Q273" s="81"/>
      <c r="R273" s="81"/>
      <c r="S273" s="81"/>
      <c r="T273" s="81"/>
      <c r="U273" s="81"/>
      <c r="V273" s="81"/>
      <c r="W273" s="81"/>
      <c r="X273" s="81"/>
      <c r="Y273" s="413"/>
      <c r="Z273" s="441"/>
      <c r="AA273" s="441"/>
      <c r="AB273" s="441"/>
      <c r="AC273" s="441"/>
      <c r="AD273" s="441"/>
      <c r="AE273" s="441"/>
      <c r="AF273" s="441"/>
      <c r="AG273" s="441"/>
      <c r="AH273" s="441"/>
      <c r="AI273" s="441">
        <v>13700</v>
      </c>
    </row>
    <row r="274" spans="1:35">
      <c r="F274" s="160"/>
      <c r="G274" s="10"/>
      <c r="H274" s="10"/>
      <c r="I274" s="10"/>
      <c r="J274" s="74"/>
      <c r="K274" s="10"/>
      <c r="L274" s="10"/>
      <c r="M274" s="88"/>
      <c r="N274" s="88"/>
      <c r="O274" s="88"/>
      <c r="P274" s="88"/>
      <c r="Q274" s="88"/>
      <c r="R274" s="88"/>
      <c r="S274" s="88"/>
      <c r="T274" s="88"/>
      <c r="U274" s="88"/>
      <c r="V274" s="88"/>
      <c r="W274" s="88"/>
      <c r="X274" s="88"/>
      <c r="Y274" s="410"/>
      <c r="Z274" s="438"/>
      <c r="AA274" s="438"/>
      <c r="AB274" s="438"/>
      <c r="AF274" s="538"/>
      <c r="AG274" s="544"/>
      <c r="AH274" s="550"/>
      <c r="AI274" s="553"/>
    </row>
    <row r="275" spans="1:35">
      <c r="A275" s="147"/>
      <c r="C275" s="52"/>
      <c r="D275" s="52"/>
      <c r="E275" s="52" t="s">
        <v>2453</v>
      </c>
      <c r="F275" s="173"/>
      <c r="G275" s="211">
        <v>28000</v>
      </c>
      <c r="H275" s="211">
        <v>32000</v>
      </c>
      <c r="I275" s="211" t="s">
        <v>588</v>
      </c>
      <c r="J275" s="74"/>
      <c r="K275" s="10"/>
      <c r="L275" s="10"/>
      <c r="M275" s="88"/>
      <c r="N275" s="88"/>
      <c r="O275" s="88"/>
      <c r="P275" s="88"/>
      <c r="Q275" s="88"/>
      <c r="R275" s="88"/>
      <c r="S275" s="88"/>
      <c r="T275" s="88"/>
      <c r="U275" s="88"/>
      <c r="V275" s="88"/>
      <c r="W275" s="88"/>
      <c r="X275" s="88"/>
      <c r="Y275" s="410"/>
      <c r="Z275" s="438"/>
      <c r="AA275" s="438"/>
      <c r="AB275" s="438"/>
    </row>
    <row r="276" spans="1:35">
      <c r="A276" s="148" t="s">
        <v>1</v>
      </c>
      <c r="B276" s="377" t="s">
        <v>529</v>
      </c>
      <c r="C276" s="27" t="s">
        <v>2</v>
      </c>
      <c r="D276" s="27" t="s">
        <v>2532</v>
      </c>
      <c r="E276" s="27" t="s">
        <v>2433</v>
      </c>
      <c r="F276" s="165"/>
      <c r="G276" s="22" t="s">
        <v>629</v>
      </c>
      <c r="H276" s="22"/>
      <c r="I276" s="22" t="s">
        <v>3</v>
      </c>
      <c r="J276" s="90"/>
      <c r="K276" s="91"/>
      <c r="L276" s="91"/>
      <c r="M276" s="92"/>
      <c r="N276" s="92"/>
      <c r="O276" s="92"/>
      <c r="P276" s="92"/>
      <c r="Q276" s="92"/>
      <c r="R276" s="92"/>
      <c r="S276" s="92"/>
      <c r="T276" s="92"/>
      <c r="U276" s="92"/>
      <c r="V276" s="92"/>
      <c r="W276" s="92"/>
      <c r="X276" s="92"/>
      <c r="Y276" s="411"/>
      <c r="Z276" s="439"/>
      <c r="AA276" s="439"/>
      <c r="AB276" s="439"/>
    </row>
    <row r="277" spans="1:35">
      <c r="A277" s="145">
        <v>45180</v>
      </c>
      <c r="B277" s="376"/>
      <c r="C277" s="27">
        <v>230613</v>
      </c>
      <c r="D277" s="20" t="str">
        <f t="shared" si="100"/>
        <v>高雄工業 静岡</v>
      </c>
      <c r="E277" s="20" t="str">
        <f t="shared" si="101"/>
        <v>TRAN DINH THANH</v>
      </c>
      <c r="F277" s="20" t="str">
        <f t="shared" si="102"/>
        <v>チャン　ディン　タイン</v>
      </c>
      <c r="G277" s="11"/>
      <c r="H277" s="11"/>
      <c r="I277" s="11">
        <v>32000</v>
      </c>
      <c r="J277" s="65"/>
      <c r="K277" s="11">
        <v>32000</v>
      </c>
      <c r="L277" s="11">
        <v>32000</v>
      </c>
      <c r="M277" s="81">
        <v>32000</v>
      </c>
      <c r="N277" s="81">
        <v>32000</v>
      </c>
      <c r="O277" s="130">
        <v>32000</v>
      </c>
      <c r="P277" s="130">
        <v>32000</v>
      </c>
      <c r="Q277" s="130">
        <v>32000</v>
      </c>
      <c r="R277" s="130">
        <v>32000</v>
      </c>
      <c r="S277" s="130">
        <v>32000</v>
      </c>
      <c r="T277" s="130">
        <v>32000</v>
      </c>
      <c r="U277" s="130">
        <v>32000</v>
      </c>
      <c r="V277" s="130">
        <v>32000</v>
      </c>
      <c r="W277" s="130">
        <v>32000</v>
      </c>
      <c r="X277" s="130">
        <v>32000</v>
      </c>
      <c r="Y277" s="408">
        <v>32000</v>
      </c>
      <c r="Z277" s="437">
        <v>32000</v>
      </c>
      <c r="AA277" s="437">
        <v>32000</v>
      </c>
      <c r="AB277" s="437">
        <v>32000</v>
      </c>
      <c r="AC277" s="437">
        <v>32000</v>
      </c>
      <c r="AD277" s="437">
        <v>32000</v>
      </c>
      <c r="AE277" s="437">
        <v>32000</v>
      </c>
      <c r="AF277" s="437">
        <v>32000</v>
      </c>
      <c r="AG277" s="437">
        <v>32000</v>
      </c>
      <c r="AH277" s="437">
        <v>32000</v>
      </c>
      <c r="AI277" s="437">
        <v>32000</v>
      </c>
    </row>
    <row r="278" spans="1:35">
      <c r="D278" s="47"/>
      <c r="E278" s="47"/>
      <c r="F278" s="47"/>
      <c r="G278" s="10"/>
      <c r="H278" s="10"/>
      <c r="I278" s="10"/>
      <c r="J278" s="74"/>
      <c r="K278" s="10"/>
      <c r="L278" s="10"/>
      <c r="M278" s="88"/>
      <c r="N278" s="88"/>
      <c r="O278" s="88"/>
      <c r="P278" s="88"/>
      <c r="Q278" s="88"/>
      <c r="R278" s="88"/>
      <c r="S278" s="88"/>
      <c r="T278" s="88"/>
      <c r="U278" s="88"/>
      <c r="V278" s="88"/>
      <c r="W278" s="88"/>
      <c r="X278" s="88"/>
      <c r="Y278" s="410"/>
      <c r="Z278" s="438"/>
      <c r="AA278" s="438"/>
      <c r="AB278" s="438"/>
      <c r="AC278" s="438"/>
      <c r="AD278" s="438"/>
      <c r="AE278" s="438"/>
      <c r="AF278" s="437"/>
      <c r="AG278" s="437"/>
    </row>
    <row r="279" spans="1:35">
      <c r="C279" s="28"/>
      <c r="D279" s="28"/>
      <c r="E279" s="28" t="s">
        <v>2646</v>
      </c>
      <c r="F279" s="28"/>
      <c r="G279" s="10">
        <v>28000</v>
      </c>
      <c r="H279" s="10">
        <v>32000</v>
      </c>
      <c r="I279" s="10"/>
      <c r="J279" s="74"/>
      <c r="K279" s="10"/>
      <c r="L279" s="10"/>
      <c r="M279" s="88"/>
      <c r="N279" s="88"/>
      <c r="O279" s="88"/>
      <c r="P279" s="88"/>
      <c r="Q279" s="88"/>
      <c r="R279" s="88"/>
      <c r="S279" s="88"/>
      <c r="T279" s="88"/>
      <c r="U279" s="88"/>
      <c r="V279" s="88"/>
      <c r="W279" s="88"/>
      <c r="X279" s="88"/>
      <c r="Y279" s="410"/>
      <c r="Z279" s="438"/>
      <c r="AA279" s="438"/>
      <c r="AB279" s="438"/>
      <c r="AC279" s="438"/>
      <c r="AD279" s="438"/>
      <c r="AE279" s="438"/>
      <c r="AF279" s="437"/>
      <c r="AG279" s="437"/>
    </row>
    <row r="280" spans="1:35">
      <c r="A280" s="145" t="s">
        <v>1</v>
      </c>
      <c r="B280" s="376" t="s">
        <v>529</v>
      </c>
      <c r="C280" s="27" t="s">
        <v>2</v>
      </c>
      <c r="D280" s="20" t="s">
        <v>2547</v>
      </c>
      <c r="E280" s="20" t="s">
        <v>2548</v>
      </c>
      <c r="F280" s="20"/>
      <c r="G280" s="11" t="s">
        <v>629</v>
      </c>
      <c r="H280" s="11"/>
      <c r="I280" s="11"/>
      <c r="J280" s="65"/>
      <c r="O280" s="81"/>
      <c r="P280" s="81"/>
      <c r="Q280" s="81"/>
      <c r="R280" s="81"/>
      <c r="S280" s="81"/>
      <c r="T280" s="81"/>
      <c r="U280" s="81"/>
      <c r="V280" s="81"/>
      <c r="W280" s="81"/>
      <c r="X280" s="81"/>
      <c r="Y280" s="413"/>
      <c r="Z280" s="441"/>
      <c r="AA280" s="441"/>
      <c r="AB280" s="441"/>
      <c r="AC280" s="441"/>
      <c r="AD280" s="441"/>
      <c r="AE280" s="441"/>
      <c r="AF280" s="437"/>
      <c r="AG280" s="437"/>
    </row>
    <row r="281" spans="1:35">
      <c r="A281" s="145">
        <v>45967</v>
      </c>
      <c r="B281" s="376">
        <v>45991</v>
      </c>
      <c r="C281" s="27">
        <v>251105</v>
      </c>
      <c r="D281" s="20" t="str">
        <f t="shared" ref="D281" si="134">IF(C281="","",_xlfn.XLOOKUP(C281,社員№,派遣先,"",0,-1))</f>
        <v>高雄工業 静岡</v>
      </c>
      <c r="E281" s="20" t="str">
        <f t="shared" ref="E281" si="135">IF(C281="","",_xlfn.XLOOKUP(C281,社員№,氏名,"",0,-1))</f>
        <v>DOAN NGOC THANG</v>
      </c>
      <c r="F281" s="20" t="str">
        <f t="shared" ref="F281" si="136">IF(C281="","",_xlfn.XLOOKUP(C281,社員№,カナ,"",0,-1))</f>
        <v>ドアン　ゴック　タン</v>
      </c>
      <c r="G281" s="11"/>
      <c r="H281" s="11"/>
      <c r="I281" s="11"/>
      <c r="J281" s="65"/>
      <c r="O281" s="81"/>
      <c r="P281" s="81"/>
      <c r="Q281" s="81"/>
      <c r="R281" s="81"/>
      <c r="S281" s="81"/>
      <c r="T281" s="81"/>
      <c r="U281" s="81"/>
      <c r="V281" s="81"/>
      <c r="W281" s="81"/>
      <c r="X281" s="81"/>
      <c r="Y281" s="413"/>
      <c r="Z281" s="441"/>
      <c r="AA281" s="441"/>
      <c r="AB281" s="441"/>
      <c r="AC281" s="441"/>
      <c r="AD281" s="441"/>
      <c r="AE281" s="441"/>
      <c r="AF281" s="437"/>
      <c r="AG281" s="437">
        <v>8920</v>
      </c>
      <c r="AH281" s="508">
        <v>0</v>
      </c>
    </row>
    <row r="282" spans="1:35">
      <c r="A282" s="145">
        <v>45967</v>
      </c>
      <c r="B282" s="376">
        <v>45991</v>
      </c>
      <c r="C282" s="27">
        <v>251106</v>
      </c>
      <c r="D282" s="20" t="str">
        <f t="shared" ref="D282:D284" si="137">IF(C282="","",_xlfn.XLOOKUP(C282,社員№,派遣先,"",0,-1))</f>
        <v>高雄工業 静岡</v>
      </c>
      <c r="E282" s="20" t="str">
        <f t="shared" ref="E282:E284" si="138">IF(C282="","",_xlfn.XLOOKUP(C282,社員№,氏名,"",0,-1))</f>
        <v>NGUYEN MANH HA</v>
      </c>
      <c r="F282" s="20" t="str">
        <f t="shared" ref="F282:F284" si="139">IF(C282="","",_xlfn.XLOOKUP(C282,社員№,カナ,"",0,-1))</f>
        <v>グエン　マイン　ハー</v>
      </c>
      <c r="G282" s="11"/>
      <c r="H282" s="11"/>
      <c r="I282" s="11"/>
      <c r="J282" s="65"/>
      <c r="O282" s="81"/>
      <c r="P282" s="81"/>
      <c r="Q282" s="81"/>
      <c r="R282" s="81"/>
      <c r="S282" s="81"/>
      <c r="T282" s="81"/>
      <c r="U282" s="81"/>
      <c r="V282" s="81"/>
      <c r="W282" s="81"/>
      <c r="X282" s="81"/>
      <c r="Y282" s="413"/>
      <c r="Z282" s="441"/>
      <c r="AA282" s="441"/>
      <c r="AB282" s="441"/>
      <c r="AC282" s="441"/>
      <c r="AD282" s="441"/>
      <c r="AE282" s="441"/>
      <c r="AF282" s="437"/>
      <c r="AG282" s="437">
        <v>8920</v>
      </c>
      <c r="AH282" s="508">
        <v>0</v>
      </c>
    </row>
    <row r="283" spans="1:35">
      <c r="A283" s="145">
        <v>45967</v>
      </c>
      <c r="B283" s="376">
        <v>45991</v>
      </c>
      <c r="C283" s="27">
        <v>251107</v>
      </c>
      <c r="D283" s="20" t="str">
        <f t="shared" si="137"/>
        <v>高雄工業 静岡</v>
      </c>
      <c r="E283" s="20" t="str">
        <f t="shared" si="138"/>
        <v>DUONG CHI THANH</v>
      </c>
      <c r="F283" s="20" t="str">
        <f t="shared" si="139"/>
        <v>ズオン　チー　タイン</v>
      </c>
      <c r="G283" s="11"/>
      <c r="H283" s="11"/>
      <c r="I283" s="11"/>
      <c r="J283" s="65"/>
      <c r="O283" s="81"/>
      <c r="P283" s="81"/>
      <c r="Q283" s="81"/>
      <c r="R283" s="81"/>
      <c r="S283" s="81"/>
      <c r="T283" s="81"/>
      <c r="U283" s="81"/>
      <c r="V283" s="81"/>
      <c r="W283" s="81"/>
      <c r="X283" s="81"/>
      <c r="Y283" s="413"/>
      <c r="Z283" s="441"/>
      <c r="AA283" s="441"/>
      <c r="AB283" s="441"/>
      <c r="AC283" s="441"/>
      <c r="AD283" s="441"/>
      <c r="AE283" s="441"/>
      <c r="AF283" s="437"/>
      <c r="AG283" s="437">
        <v>8920</v>
      </c>
      <c r="AH283" s="508">
        <v>0</v>
      </c>
    </row>
    <row r="284" spans="1:35">
      <c r="A284" s="145">
        <v>45991</v>
      </c>
      <c r="B284" s="376"/>
      <c r="C284" s="27">
        <v>210406</v>
      </c>
      <c r="D284" s="20" t="str">
        <f t="shared" si="137"/>
        <v>高雄工業 静岡</v>
      </c>
      <c r="E284" s="20" t="str">
        <f t="shared" si="138"/>
        <v>MAI HUNG ANH</v>
      </c>
      <c r="F284" s="20" t="str">
        <f t="shared" si="139"/>
        <v>マイ　フン　アイン</v>
      </c>
      <c r="G284" s="11"/>
      <c r="H284" s="11"/>
      <c r="I284" s="11"/>
      <c r="J284" s="65"/>
      <c r="O284" s="81"/>
      <c r="P284" s="81"/>
      <c r="Q284" s="81"/>
      <c r="R284" s="81"/>
      <c r="S284" s="81"/>
      <c r="T284" s="81"/>
      <c r="U284" s="81"/>
      <c r="V284" s="81"/>
      <c r="W284" s="81"/>
      <c r="X284" s="81"/>
      <c r="Y284" s="413"/>
      <c r="Z284" s="441"/>
      <c r="AA284" s="441"/>
      <c r="AB284" s="441"/>
      <c r="AC284" s="441"/>
      <c r="AD284" s="441"/>
      <c r="AE284" s="441"/>
      <c r="AF284" s="441"/>
      <c r="AG284" s="437">
        <v>0</v>
      </c>
      <c r="AH284" s="508">
        <v>32000</v>
      </c>
      <c r="AI284" s="448">
        <v>32000</v>
      </c>
    </row>
    <row r="285" spans="1:35">
      <c r="A285" s="147"/>
      <c r="F285" s="160"/>
      <c r="J285" s="74"/>
      <c r="K285" s="10"/>
      <c r="L285" s="10"/>
      <c r="M285" s="88"/>
      <c r="N285" s="88"/>
      <c r="O285" s="88"/>
      <c r="P285" s="88"/>
      <c r="Q285" s="88"/>
      <c r="R285" s="88"/>
      <c r="S285" s="88"/>
      <c r="T285" s="88"/>
      <c r="U285" s="88"/>
      <c r="V285" s="88"/>
      <c r="W285" s="88"/>
      <c r="X285" s="88"/>
      <c r="Y285" s="410"/>
      <c r="Z285" s="438"/>
      <c r="AA285" s="438"/>
      <c r="AB285" s="438"/>
      <c r="AF285" s="538"/>
      <c r="AG285" s="544"/>
    </row>
    <row r="286" spans="1:35">
      <c r="A286" s="147"/>
      <c r="C286" s="28"/>
      <c r="D286" s="28"/>
      <c r="E286" s="28" t="s">
        <v>13</v>
      </c>
      <c r="F286" s="174"/>
      <c r="G286" s="216">
        <v>53000</v>
      </c>
      <c r="H286" s="216">
        <v>60000</v>
      </c>
      <c r="I286" s="216" t="s">
        <v>600</v>
      </c>
      <c r="J286" s="74"/>
      <c r="K286" s="10"/>
      <c r="L286" s="10"/>
      <c r="M286" s="88"/>
      <c r="N286" s="88"/>
      <c r="O286" s="88"/>
      <c r="P286" s="88"/>
      <c r="Q286" s="88"/>
      <c r="R286" s="88"/>
      <c r="S286" s="88"/>
      <c r="T286" s="88"/>
      <c r="U286" s="88"/>
      <c r="V286" s="88"/>
      <c r="W286" s="88"/>
      <c r="X286" s="88"/>
      <c r="Y286" s="410"/>
      <c r="Z286" s="438"/>
      <c r="AA286" s="438"/>
      <c r="AB286" s="438"/>
    </row>
    <row r="287" spans="1:35">
      <c r="A287" s="148" t="s">
        <v>1</v>
      </c>
      <c r="B287" s="377" t="s">
        <v>529</v>
      </c>
      <c r="C287" s="27" t="s">
        <v>2</v>
      </c>
      <c r="D287" s="27" t="s">
        <v>2532</v>
      </c>
      <c r="E287" s="27" t="s">
        <v>2433</v>
      </c>
      <c r="F287" s="165"/>
      <c r="G287" s="22" t="s">
        <v>629</v>
      </c>
      <c r="H287" s="22"/>
      <c r="I287" s="22" t="s">
        <v>3</v>
      </c>
      <c r="J287" s="90"/>
      <c r="K287" s="91"/>
      <c r="L287" s="91"/>
      <c r="M287" s="92"/>
      <c r="N287" s="92"/>
      <c r="O287" s="92"/>
      <c r="P287" s="92"/>
      <c r="Q287" s="92"/>
      <c r="R287" s="92"/>
      <c r="S287" s="92"/>
      <c r="T287" s="92"/>
      <c r="U287" s="92"/>
      <c r="V287" s="92"/>
      <c r="W287" s="92"/>
      <c r="X287" s="92"/>
      <c r="Y287" s="411"/>
      <c r="Z287" s="439"/>
      <c r="AA287" s="439"/>
      <c r="AB287" s="439"/>
    </row>
    <row r="288" spans="1:35" hidden="1">
      <c r="A288" s="145">
        <v>45284</v>
      </c>
      <c r="B288" s="376">
        <v>45657</v>
      </c>
      <c r="C288" s="27">
        <v>230911</v>
      </c>
      <c r="D288" s="20" t="str">
        <f t="shared" ref="D288:D349" si="140">IF(C288="","",_xlfn.XLOOKUP(C288,社員№,派遣先,"",0,-1))</f>
        <v>高雄工業 静岡</v>
      </c>
      <c r="E288" s="20" t="str">
        <f t="shared" ref="E288:E349" si="141">IF(C288="","",_xlfn.XLOOKUP(C288,社員№,氏名,"",0,-1))</f>
        <v>NGUYEN DUC MANH</v>
      </c>
      <c r="F288" s="20" t="str">
        <f t="shared" ref="F288:F349" si="142">IF(C288="","",_xlfn.XLOOKUP(C288,社員№,カナ,"",0,-1))</f>
        <v>グエン　ドゥック　マン</v>
      </c>
      <c r="G288" s="11"/>
      <c r="H288" s="11"/>
      <c r="I288" s="11">
        <v>20000</v>
      </c>
      <c r="J288" s="65"/>
      <c r="K288" s="11">
        <v>20000</v>
      </c>
      <c r="L288" s="11">
        <v>20000</v>
      </c>
      <c r="M288" s="81">
        <v>20000</v>
      </c>
      <c r="N288" s="81">
        <v>20000</v>
      </c>
      <c r="O288" s="130">
        <v>20000</v>
      </c>
      <c r="P288" s="130">
        <v>20000</v>
      </c>
      <c r="Q288" s="130">
        <v>20000</v>
      </c>
      <c r="R288" s="130">
        <v>20000</v>
      </c>
      <c r="S288" s="130">
        <v>20000</v>
      </c>
      <c r="T288" s="130">
        <v>20000</v>
      </c>
      <c r="U288" s="130">
        <v>20000</v>
      </c>
      <c r="V288" s="130">
        <f>20000+20000</f>
        <v>40000</v>
      </c>
      <c r="W288" s="130">
        <v>0</v>
      </c>
      <c r="X288" s="130">
        <v>0</v>
      </c>
      <c r="Y288" s="408">
        <v>0</v>
      </c>
      <c r="Z288" s="437">
        <v>0</v>
      </c>
      <c r="AA288" s="437">
        <v>0</v>
      </c>
      <c r="AB288" s="437">
        <v>0</v>
      </c>
    </row>
    <row r="289" spans="1:35">
      <c r="A289" s="145">
        <v>45443</v>
      </c>
      <c r="B289" s="376"/>
      <c r="C289" s="27">
        <v>240108</v>
      </c>
      <c r="D289" s="20" t="str">
        <f t="shared" ref="D289:D291" si="143">IF(C289="","",_xlfn.XLOOKUP(C289,社員№,派遣先,"",0,-1))</f>
        <v>高雄工業 静岡</v>
      </c>
      <c r="E289" s="20" t="str">
        <f t="shared" ref="E289:E291" si="144">IF(C289="","",_xlfn.XLOOKUP(C289,社員№,氏名,"",0,-1))</f>
        <v>NGUYEN CONG DAT</v>
      </c>
      <c r="F289" s="20" t="str">
        <f t="shared" ref="F289:F291" si="145">IF(C289="","",_xlfn.XLOOKUP(C289,社員№,カナ,"",0,-1))</f>
        <v>グエン　コン　ダット</v>
      </c>
      <c r="G289" s="11"/>
      <c r="H289" s="11"/>
      <c r="I289" s="11">
        <v>20000</v>
      </c>
      <c r="J289" s="65"/>
      <c r="O289" s="81"/>
      <c r="P289" s="81">
        <v>20000</v>
      </c>
      <c r="Q289" s="81">
        <v>20000</v>
      </c>
      <c r="R289" s="81">
        <v>20000</v>
      </c>
      <c r="S289" s="81">
        <v>20000</v>
      </c>
      <c r="T289" s="81">
        <v>20000</v>
      </c>
      <c r="U289" s="81">
        <v>20000</v>
      </c>
      <c r="V289" s="81">
        <v>20000</v>
      </c>
      <c r="W289" s="81">
        <v>20000</v>
      </c>
      <c r="X289" s="81">
        <v>20000</v>
      </c>
      <c r="Y289" s="413">
        <v>20000</v>
      </c>
      <c r="Z289" s="441">
        <v>20000</v>
      </c>
      <c r="AA289" s="441">
        <v>20000</v>
      </c>
      <c r="AB289" s="441">
        <v>20000</v>
      </c>
      <c r="AC289" s="441">
        <v>20000</v>
      </c>
      <c r="AD289" s="441">
        <v>20000</v>
      </c>
      <c r="AE289" s="437">
        <v>20000</v>
      </c>
      <c r="AF289" s="437">
        <v>20000</v>
      </c>
      <c r="AG289" s="437">
        <v>20000</v>
      </c>
      <c r="AH289" s="437">
        <v>20000</v>
      </c>
      <c r="AI289" s="437">
        <v>20000</v>
      </c>
    </row>
    <row r="290" spans="1:35">
      <c r="A290" s="145">
        <v>45658</v>
      </c>
      <c r="B290" s="376"/>
      <c r="C290" s="27">
        <v>240107</v>
      </c>
      <c r="D290" s="20" t="str">
        <f t="shared" si="143"/>
        <v>高雄工業 静岡</v>
      </c>
      <c r="E290" s="20" t="str">
        <f t="shared" si="144"/>
        <v>LUU MINH HIEU</v>
      </c>
      <c r="F290" s="20" t="str">
        <f t="shared" si="145"/>
        <v>リュ　ミン　ヒエウ</v>
      </c>
      <c r="G290" s="11"/>
      <c r="H290" s="11"/>
      <c r="I290" s="11">
        <v>20000</v>
      </c>
      <c r="J290" s="65"/>
      <c r="O290" s="81"/>
      <c r="P290" s="81"/>
      <c r="Q290" s="81"/>
      <c r="R290" s="81"/>
      <c r="S290" s="81"/>
      <c r="T290" s="81"/>
      <c r="U290" s="81"/>
      <c r="V290" s="81"/>
      <c r="W290" s="81">
        <v>20000</v>
      </c>
      <c r="X290" s="81">
        <v>20000</v>
      </c>
      <c r="Y290" s="413">
        <v>20000</v>
      </c>
      <c r="Z290" s="441">
        <v>20000</v>
      </c>
      <c r="AA290" s="441">
        <v>20000</v>
      </c>
      <c r="AB290" s="441">
        <v>20000</v>
      </c>
      <c r="AC290" s="441">
        <v>20000</v>
      </c>
      <c r="AD290" s="441">
        <v>20000</v>
      </c>
      <c r="AE290" s="437">
        <v>20000</v>
      </c>
      <c r="AF290" s="437">
        <v>20000</v>
      </c>
      <c r="AG290" s="437">
        <v>20000</v>
      </c>
      <c r="AH290" s="437">
        <v>20000</v>
      </c>
      <c r="AI290" s="437">
        <v>20000</v>
      </c>
    </row>
    <row r="291" spans="1:35">
      <c r="A291" s="145">
        <v>45868</v>
      </c>
      <c r="B291" s="376"/>
      <c r="C291" s="27">
        <v>250803</v>
      </c>
      <c r="D291" s="20" t="str">
        <f t="shared" si="143"/>
        <v>高雄工業 静岡</v>
      </c>
      <c r="E291" s="20" t="str">
        <f t="shared" si="144"/>
        <v>HUA TRUONG TIEN</v>
      </c>
      <c r="F291" s="20" t="str">
        <f t="shared" si="145"/>
        <v>フア　チュオン　ティエン</v>
      </c>
      <c r="G291" s="11"/>
      <c r="H291" s="11"/>
      <c r="I291" s="11"/>
      <c r="J291" s="65"/>
      <c r="O291" s="81"/>
      <c r="P291" s="81"/>
      <c r="Q291" s="81"/>
      <c r="R291" s="81"/>
      <c r="S291" s="81"/>
      <c r="T291" s="81"/>
      <c r="U291" s="81"/>
      <c r="V291" s="81"/>
      <c r="W291" s="81"/>
      <c r="X291" s="81"/>
      <c r="Y291" s="413"/>
      <c r="Z291" s="441"/>
      <c r="AA291" s="441"/>
      <c r="AB291" s="441"/>
      <c r="AC291" s="441"/>
      <c r="AD291" s="441">
        <v>20000</v>
      </c>
      <c r="AE291" s="437">
        <v>20000</v>
      </c>
      <c r="AF291" s="437">
        <v>20000</v>
      </c>
      <c r="AG291" s="437">
        <v>20000</v>
      </c>
      <c r="AH291" s="437">
        <v>20000</v>
      </c>
      <c r="AI291" s="437">
        <v>20000</v>
      </c>
    </row>
    <row r="292" spans="1:35">
      <c r="A292" s="147"/>
      <c r="F292" s="160"/>
      <c r="J292" s="74"/>
      <c r="K292" s="10"/>
      <c r="L292" s="10"/>
      <c r="M292" s="88"/>
      <c r="N292" s="88"/>
      <c r="O292" s="88"/>
      <c r="P292" s="88"/>
      <c r="Q292" s="88"/>
      <c r="R292" s="88"/>
      <c r="S292" s="88"/>
      <c r="T292" s="88"/>
      <c r="U292" s="88"/>
      <c r="V292" s="88"/>
      <c r="W292" s="88"/>
      <c r="X292" s="88"/>
      <c r="Y292" s="410"/>
      <c r="Z292" s="438"/>
      <c r="AA292" s="438"/>
      <c r="AB292" s="438"/>
    </row>
    <row r="293" spans="1:35">
      <c r="A293" s="147"/>
      <c r="C293" s="28"/>
      <c r="D293" s="28"/>
      <c r="E293" s="28" t="s">
        <v>14</v>
      </c>
      <c r="F293" s="174"/>
      <c r="G293" s="216">
        <v>44375</v>
      </c>
      <c r="H293" s="216">
        <v>50000</v>
      </c>
      <c r="I293" s="216" t="s">
        <v>584</v>
      </c>
      <c r="J293" s="74"/>
      <c r="K293" s="10"/>
      <c r="L293" s="10"/>
      <c r="M293" s="88"/>
      <c r="N293" s="88"/>
      <c r="O293" s="88"/>
      <c r="P293" s="88"/>
      <c r="Q293" s="88"/>
      <c r="R293" s="88"/>
      <c r="S293" s="88"/>
      <c r="T293" s="88"/>
      <c r="U293" s="88"/>
      <c r="V293" s="88"/>
      <c r="W293" s="88"/>
      <c r="X293" s="88"/>
      <c r="Y293" s="410"/>
      <c r="Z293" s="438"/>
      <c r="AA293" s="438"/>
      <c r="AB293" s="438"/>
    </row>
    <row r="294" spans="1:35">
      <c r="A294" s="148" t="s">
        <v>1</v>
      </c>
      <c r="B294" s="377" t="s">
        <v>529</v>
      </c>
      <c r="C294" s="27" t="s">
        <v>2</v>
      </c>
      <c r="D294" s="27" t="s">
        <v>2532</v>
      </c>
      <c r="E294" s="27" t="s">
        <v>2433</v>
      </c>
      <c r="F294" s="165"/>
      <c r="G294" s="22" t="s">
        <v>629</v>
      </c>
      <c r="H294" s="22"/>
      <c r="I294" s="22" t="s">
        <v>3</v>
      </c>
      <c r="J294" s="90"/>
      <c r="K294" s="91"/>
      <c r="L294" s="91"/>
      <c r="M294" s="92"/>
      <c r="N294" s="92"/>
      <c r="O294" s="92"/>
      <c r="P294" s="92"/>
      <c r="Q294" s="92"/>
      <c r="R294" s="92"/>
      <c r="S294" s="92"/>
      <c r="T294" s="92"/>
      <c r="U294" s="92"/>
      <c r="V294" s="92"/>
      <c r="W294" s="92"/>
      <c r="X294" s="92"/>
      <c r="Y294" s="411"/>
      <c r="Z294" s="439"/>
      <c r="AA294" s="439"/>
      <c r="AB294" s="439"/>
    </row>
    <row r="295" spans="1:35">
      <c r="A295" s="145">
        <v>45226</v>
      </c>
      <c r="B295" s="376"/>
      <c r="C295" s="27">
        <v>231109</v>
      </c>
      <c r="D295" s="20" t="str">
        <f t="shared" si="140"/>
        <v>高雄工業 静岡</v>
      </c>
      <c r="E295" s="20" t="str">
        <f t="shared" si="141"/>
        <v>NGUYEN CONG DAT</v>
      </c>
      <c r="F295" s="20" t="str">
        <f t="shared" si="142"/>
        <v>グエン　コン　ダット</v>
      </c>
      <c r="G295" s="11"/>
      <c r="H295" s="11"/>
      <c r="I295" s="11">
        <v>25000</v>
      </c>
      <c r="J295" s="65"/>
      <c r="K295" s="11">
        <v>25000</v>
      </c>
      <c r="L295" s="11">
        <v>25000</v>
      </c>
      <c r="M295" s="81">
        <v>25000</v>
      </c>
      <c r="N295" s="81">
        <v>25000</v>
      </c>
      <c r="O295" s="130">
        <v>25000</v>
      </c>
      <c r="P295" s="130">
        <v>25000</v>
      </c>
      <c r="Q295" s="130">
        <v>25000</v>
      </c>
      <c r="R295" s="130">
        <v>25000</v>
      </c>
      <c r="S295" s="130">
        <v>25000</v>
      </c>
      <c r="T295" s="130">
        <v>25000</v>
      </c>
      <c r="U295" s="130">
        <v>25000</v>
      </c>
      <c r="V295" s="130">
        <v>25000</v>
      </c>
      <c r="W295" s="130">
        <v>25000</v>
      </c>
      <c r="X295" s="130">
        <v>25000</v>
      </c>
      <c r="Y295" s="408">
        <v>25000</v>
      </c>
      <c r="Z295" s="437">
        <v>25000</v>
      </c>
      <c r="AA295" s="437">
        <v>25000</v>
      </c>
      <c r="AB295" s="437">
        <v>25000</v>
      </c>
      <c r="AC295" s="437">
        <v>25000</v>
      </c>
      <c r="AD295" s="437">
        <v>25000</v>
      </c>
      <c r="AE295" s="437">
        <v>25000</v>
      </c>
      <c r="AF295" s="437">
        <v>25000</v>
      </c>
      <c r="AG295" s="437">
        <v>25000</v>
      </c>
      <c r="AH295" s="437">
        <v>25000</v>
      </c>
      <c r="AI295" s="437">
        <v>25000</v>
      </c>
    </row>
    <row r="296" spans="1:35" hidden="1">
      <c r="A296" s="145">
        <v>45284</v>
      </c>
      <c r="B296" s="376">
        <v>45676</v>
      </c>
      <c r="C296" s="27">
        <v>231110</v>
      </c>
      <c r="D296" s="20" t="str">
        <f t="shared" ref="D296:D297" si="146">IF(C296="","",_xlfn.XLOOKUP(C296,社員№,派遣先,"",0,-1))</f>
        <v>高雄工業 静岡</v>
      </c>
      <c r="E296" s="20" t="str">
        <f t="shared" ref="E296:E297" si="147">IF(C296="","",_xlfn.XLOOKUP(C296,社員№,氏名,"",0,-1))</f>
        <v>NGUYEN VAN HOAI NAM</v>
      </c>
      <c r="F296" s="20" t="str">
        <f t="shared" ref="F296:F297" si="148">IF(C296="","",_xlfn.XLOOKUP(C296,社員№,カナ,"",0,-1))</f>
        <v>グエン　ヴァン　ホアイ　ナム</v>
      </c>
      <c r="G296" s="11"/>
      <c r="H296" s="11"/>
      <c r="I296" s="11">
        <v>25000</v>
      </c>
      <c r="J296" s="65"/>
      <c r="K296" s="11">
        <v>25000</v>
      </c>
      <c r="L296" s="11">
        <v>25000</v>
      </c>
      <c r="M296" s="81">
        <v>25000</v>
      </c>
      <c r="N296" s="81">
        <v>25000</v>
      </c>
      <c r="O296" s="81">
        <v>25000</v>
      </c>
      <c r="P296" s="81">
        <v>25000</v>
      </c>
      <c r="Q296" s="81">
        <v>25000</v>
      </c>
      <c r="R296" s="81">
        <v>25000</v>
      </c>
      <c r="S296" s="81">
        <v>25000</v>
      </c>
      <c r="T296" s="81">
        <v>25000</v>
      </c>
      <c r="U296" s="81">
        <v>25000</v>
      </c>
      <c r="V296" s="81">
        <v>25000</v>
      </c>
      <c r="W296" s="81">
        <f>25000+20000</f>
        <v>45000</v>
      </c>
      <c r="X296" s="81">
        <v>0</v>
      </c>
      <c r="Y296" s="413">
        <v>0</v>
      </c>
      <c r="Z296" s="441">
        <v>0</v>
      </c>
      <c r="AA296" s="441">
        <v>0</v>
      </c>
      <c r="AB296" s="441">
        <v>0</v>
      </c>
      <c r="AC296" s="437">
        <v>25000</v>
      </c>
      <c r="AD296" s="437">
        <v>25000</v>
      </c>
      <c r="AE296" s="437">
        <v>25000</v>
      </c>
      <c r="AF296" s="437">
        <v>25000</v>
      </c>
      <c r="AG296" s="437">
        <v>25000</v>
      </c>
      <c r="AH296" s="437">
        <v>25000</v>
      </c>
      <c r="AI296" s="437">
        <v>25000</v>
      </c>
    </row>
    <row r="297" spans="1:35">
      <c r="A297" s="145">
        <v>45694</v>
      </c>
      <c r="B297" s="376"/>
      <c r="C297" s="27">
        <v>250216</v>
      </c>
      <c r="D297" s="20" t="str">
        <f t="shared" si="146"/>
        <v>高雄工業 静岡</v>
      </c>
      <c r="E297" s="20" t="str">
        <f t="shared" si="147"/>
        <v>VU VAN BAO</v>
      </c>
      <c r="F297" s="20" t="str">
        <f t="shared" si="148"/>
        <v>ヴ　ヴァン　バオ</v>
      </c>
      <c r="G297" s="11"/>
      <c r="H297" s="11"/>
      <c r="I297" s="11"/>
      <c r="J297" s="65"/>
      <c r="O297" s="81"/>
      <c r="P297" s="81"/>
      <c r="Q297" s="81"/>
      <c r="R297" s="81"/>
      <c r="S297" s="81"/>
      <c r="T297" s="81"/>
      <c r="U297" s="81"/>
      <c r="V297" s="81"/>
      <c r="W297" s="81"/>
      <c r="X297" s="81">
        <v>20536</v>
      </c>
      <c r="Y297" s="413">
        <v>25000</v>
      </c>
      <c r="Z297" s="441">
        <v>25000</v>
      </c>
      <c r="AA297" s="441">
        <v>25000</v>
      </c>
      <c r="AB297" s="441">
        <v>25000</v>
      </c>
      <c r="AC297" s="437">
        <v>25000</v>
      </c>
      <c r="AD297" s="437">
        <v>25000</v>
      </c>
      <c r="AE297" s="437">
        <v>25000</v>
      </c>
      <c r="AF297" s="437">
        <v>25000</v>
      </c>
      <c r="AG297" s="437">
        <v>25000</v>
      </c>
      <c r="AH297" s="437">
        <v>25000</v>
      </c>
      <c r="AI297" s="437">
        <v>25000</v>
      </c>
    </row>
    <row r="298" spans="1:35">
      <c r="A298" s="147"/>
      <c r="F298" s="160"/>
      <c r="G298" s="10"/>
      <c r="H298" s="10"/>
      <c r="I298" s="10"/>
      <c r="J298" s="74"/>
      <c r="K298" s="10"/>
      <c r="L298" s="10"/>
      <c r="M298" s="88"/>
      <c r="N298" s="88"/>
      <c r="O298" s="88"/>
      <c r="P298" s="88"/>
      <c r="Q298" s="88"/>
      <c r="R298" s="88"/>
      <c r="S298" s="88"/>
      <c r="T298" s="88"/>
      <c r="U298" s="88"/>
      <c r="V298" s="88"/>
      <c r="W298" s="88"/>
      <c r="X298" s="88"/>
      <c r="Y298" s="410"/>
      <c r="Z298" s="438"/>
      <c r="AA298" s="438"/>
      <c r="AB298" s="438"/>
    </row>
    <row r="299" spans="1:35">
      <c r="A299" s="147"/>
      <c r="C299" s="59"/>
      <c r="D299" s="59"/>
      <c r="E299" s="59" t="s">
        <v>69</v>
      </c>
      <c r="F299" s="175"/>
      <c r="G299" s="216">
        <v>49375</v>
      </c>
      <c r="H299" s="216">
        <v>55000</v>
      </c>
      <c r="I299" s="216" t="s">
        <v>584</v>
      </c>
      <c r="J299" s="74"/>
      <c r="K299" s="10"/>
      <c r="L299" s="10"/>
      <c r="M299" s="88"/>
      <c r="N299" s="88"/>
      <c r="O299" s="88"/>
      <c r="P299" s="88"/>
      <c r="Q299" s="88"/>
      <c r="R299" s="88"/>
      <c r="S299" s="88"/>
      <c r="T299" s="88"/>
      <c r="U299" s="88"/>
      <c r="V299" s="88"/>
      <c r="W299" s="88"/>
      <c r="X299" s="88"/>
      <c r="Y299" s="410"/>
      <c r="Z299" s="438"/>
      <c r="AA299" s="438"/>
      <c r="AB299" s="438"/>
    </row>
    <row r="300" spans="1:35">
      <c r="A300" s="148" t="s">
        <v>1</v>
      </c>
      <c r="B300" s="377" t="s">
        <v>529</v>
      </c>
      <c r="C300" s="27" t="s">
        <v>2</v>
      </c>
      <c r="D300" s="27" t="s">
        <v>2532</v>
      </c>
      <c r="E300" s="27" t="s">
        <v>2433</v>
      </c>
      <c r="F300" s="165"/>
      <c r="G300" s="22" t="s">
        <v>629</v>
      </c>
      <c r="H300" s="22"/>
      <c r="I300" s="22" t="s">
        <v>3</v>
      </c>
      <c r="J300" s="90"/>
      <c r="K300" s="91"/>
      <c r="L300" s="91"/>
      <c r="M300" s="92"/>
      <c r="N300" s="92"/>
      <c r="O300" s="92"/>
      <c r="P300" s="92"/>
      <c r="Q300" s="92"/>
      <c r="R300" s="92"/>
      <c r="S300" s="92"/>
      <c r="T300" s="92"/>
      <c r="U300" s="92"/>
      <c r="V300" s="92"/>
      <c r="W300" s="92"/>
      <c r="X300" s="92"/>
      <c r="Y300" s="411"/>
      <c r="Z300" s="439"/>
      <c r="AA300" s="439"/>
      <c r="AB300" s="439"/>
    </row>
    <row r="301" spans="1:35" hidden="1">
      <c r="A301" s="145">
        <v>45181</v>
      </c>
      <c r="B301" s="376">
        <v>45716</v>
      </c>
      <c r="C301" s="27">
        <v>230910</v>
      </c>
      <c r="D301" s="20" t="str">
        <f t="shared" si="140"/>
        <v>加藤木材工業 本社</v>
      </c>
      <c r="E301" s="20" t="str">
        <f t="shared" si="141"/>
        <v>TRAN THANH VAN</v>
      </c>
      <c r="F301" s="20" t="str">
        <f t="shared" si="142"/>
        <v>チャン　タン　バン</v>
      </c>
      <c r="G301" s="11"/>
      <c r="H301" s="11"/>
      <c r="I301" s="11">
        <v>27500</v>
      </c>
      <c r="J301" s="65" t="s">
        <v>947</v>
      </c>
      <c r="K301" s="11">
        <v>27500</v>
      </c>
      <c r="L301" s="11">
        <v>27500</v>
      </c>
      <c r="M301" s="81">
        <v>27500</v>
      </c>
      <c r="N301" s="81">
        <v>27500</v>
      </c>
      <c r="O301" s="130">
        <v>27500</v>
      </c>
      <c r="P301" s="130">
        <v>27500</v>
      </c>
      <c r="Q301" s="130">
        <v>27500</v>
      </c>
      <c r="R301" s="130">
        <v>27500</v>
      </c>
      <c r="S301" s="130">
        <v>27500</v>
      </c>
      <c r="T301" s="130">
        <v>27500</v>
      </c>
      <c r="U301" s="130">
        <v>27500</v>
      </c>
      <c r="V301" s="130">
        <v>27500</v>
      </c>
      <c r="W301" s="130">
        <v>27500</v>
      </c>
      <c r="X301" s="130">
        <v>27500</v>
      </c>
      <c r="Y301" s="408">
        <v>0</v>
      </c>
      <c r="Z301" s="437">
        <v>0</v>
      </c>
      <c r="AA301" s="437">
        <v>0</v>
      </c>
      <c r="AB301" s="437">
        <v>0</v>
      </c>
      <c r="AC301" s="477"/>
    </row>
    <row r="302" spans="1:35" hidden="1">
      <c r="A302" s="145">
        <v>45303</v>
      </c>
      <c r="B302" s="376">
        <v>45658</v>
      </c>
      <c r="C302" s="27">
        <v>240107</v>
      </c>
      <c r="D302" s="20" t="str">
        <f t="shared" ref="D302:D304" si="149">IF(C302="","",_xlfn.XLOOKUP(C302,社員№,派遣先,"",0,-1))</f>
        <v>高雄工業 静岡</v>
      </c>
      <c r="E302" s="20" t="str">
        <f t="shared" ref="E302:E304" si="150">IF(C302="","",_xlfn.XLOOKUP(C302,社員№,氏名,"",0,-1))</f>
        <v>LUU MINH HIEU</v>
      </c>
      <c r="F302" s="20" t="str">
        <f t="shared" ref="F302:F304" si="151">IF(C302="","",_xlfn.XLOOKUP(C302,社員№,カナ,"",0,-1))</f>
        <v>リュ　ミン　ヒエウ</v>
      </c>
      <c r="G302" s="11"/>
      <c r="H302" s="11"/>
      <c r="I302" s="11">
        <v>27500</v>
      </c>
      <c r="J302" s="65"/>
      <c r="K302" s="4">
        <v>17742</v>
      </c>
      <c r="L302" s="11">
        <v>45242</v>
      </c>
      <c r="M302" s="81">
        <v>27500</v>
      </c>
      <c r="N302" s="81">
        <v>27500</v>
      </c>
      <c r="O302" s="81">
        <v>27500</v>
      </c>
      <c r="P302" s="81">
        <v>27500</v>
      </c>
      <c r="Q302" s="81">
        <v>27500</v>
      </c>
      <c r="R302" s="81">
        <v>27500</v>
      </c>
      <c r="S302" s="81">
        <v>27500</v>
      </c>
      <c r="T302" s="81">
        <v>27500</v>
      </c>
      <c r="U302" s="81">
        <v>27500</v>
      </c>
      <c r="V302" s="81">
        <v>27500</v>
      </c>
      <c r="W302" s="81">
        <v>0</v>
      </c>
      <c r="X302" s="81">
        <v>0</v>
      </c>
      <c r="Y302" s="413">
        <v>0</v>
      </c>
      <c r="Z302" s="441">
        <v>0</v>
      </c>
      <c r="AA302" s="441">
        <v>0</v>
      </c>
      <c r="AB302" s="441">
        <v>0</v>
      </c>
    </row>
    <row r="303" spans="1:35">
      <c r="A303" s="145">
        <v>45694</v>
      </c>
      <c r="B303" s="376"/>
      <c r="C303" s="27">
        <v>250218</v>
      </c>
      <c r="D303" s="20" t="str">
        <f t="shared" si="149"/>
        <v>高雄工業 静岡</v>
      </c>
      <c r="E303" s="20" t="str">
        <f t="shared" si="150"/>
        <v>BUI VAN SON</v>
      </c>
      <c r="F303" s="20" t="str">
        <f t="shared" si="151"/>
        <v>ブイ　ヴァン　ソン</v>
      </c>
      <c r="G303" s="11"/>
      <c r="H303" s="11"/>
      <c r="I303" s="11">
        <v>27500</v>
      </c>
      <c r="J303" s="65"/>
      <c r="K303" s="4"/>
      <c r="O303" s="81"/>
      <c r="P303" s="81"/>
      <c r="Q303" s="81"/>
      <c r="R303" s="81"/>
      <c r="S303" s="81"/>
      <c r="T303" s="81"/>
      <c r="U303" s="81"/>
      <c r="V303" s="81"/>
      <c r="W303" s="81"/>
      <c r="X303" s="81">
        <v>22589</v>
      </c>
      <c r="Y303" s="413">
        <v>27500</v>
      </c>
      <c r="Z303" s="441">
        <v>27500</v>
      </c>
      <c r="AA303" s="441">
        <v>27500</v>
      </c>
      <c r="AB303" s="441">
        <v>27500</v>
      </c>
      <c r="AC303" s="441">
        <v>27500</v>
      </c>
      <c r="AD303" s="441">
        <v>27500</v>
      </c>
      <c r="AE303" s="437">
        <v>27500</v>
      </c>
      <c r="AF303" s="437">
        <v>27500</v>
      </c>
      <c r="AG303" s="437">
        <v>27500</v>
      </c>
      <c r="AH303" s="437">
        <v>27500</v>
      </c>
      <c r="AI303" s="437">
        <v>27500</v>
      </c>
    </row>
    <row r="304" spans="1:35">
      <c r="A304" s="145">
        <v>45717</v>
      </c>
      <c r="B304" s="376"/>
      <c r="C304" s="20">
        <v>241212</v>
      </c>
      <c r="D304" s="20" t="str">
        <f t="shared" si="149"/>
        <v>高雄工業 静岡</v>
      </c>
      <c r="E304" s="20" t="str">
        <f t="shared" si="150"/>
        <v>DINH VAN LONG</v>
      </c>
      <c r="F304" s="20" t="str">
        <f t="shared" si="151"/>
        <v>ディン　バン　ロン</v>
      </c>
      <c r="G304" s="11"/>
      <c r="H304" s="11"/>
      <c r="I304" s="11">
        <v>27500</v>
      </c>
      <c r="J304" s="65"/>
      <c r="K304" s="4"/>
      <c r="O304" s="81"/>
      <c r="P304" s="81"/>
      <c r="Q304" s="81"/>
      <c r="R304" s="81"/>
      <c r="S304" s="81"/>
      <c r="T304" s="81"/>
      <c r="U304" s="81"/>
      <c r="V304" s="81"/>
      <c r="W304" s="81"/>
      <c r="X304" s="81">
        <v>0</v>
      </c>
      <c r="Y304" s="413">
        <v>27500</v>
      </c>
      <c r="Z304" s="441">
        <v>27500</v>
      </c>
      <c r="AA304" s="441">
        <v>27500</v>
      </c>
      <c r="AB304" s="441">
        <v>27500</v>
      </c>
      <c r="AC304" s="441">
        <v>27500</v>
      </c>
      <c r="AD304" s="441">
        <v>27500</v>
      </c>
      <c r="AE304" s="437">
        <v>27500</v>
      </c>
      <c r="AF304" s="437">
        <v>27500</v>
      </c>
      <c r="AG304" s="437">
        <v>27500</v>
      </c>
      <c r="AH304" s="437">
        <v>27500</v>
      </c>
      <c r="AI304" s="437">
        <v>27500</v>
      </c>
    </row>
    <row r="305" spans="1:35">
      <c r="F305" s="160"/>
      <c r="G305" s="10"/>
      <c r="H305" s="10"/>
      <c r="I305" s="10"/>
      <c r="J305" s="97"/>
      <c r="K305" s="98"/>
      <c r="L305" s="98"/>
      <c r="M305" s="99"/>
      <c r="N305" s="88"/>
      <c r="O305" s="88"/>
      <c r="P305" s="88"/>
      <c r="Q305" s="88"/>
      <c r="R305" s="88"/>
      <c r="S305" s="88"/>
      <c r="T305" s="88"/>
      <c r="U305" s="88"/>
      <c r="V305" s="88"/>
      <c r="W305" s="88"/>
      <c r="X305" s="88"/>
      <c r="Y305" s="410"/>
      <c r="Z305" s="438"/>
      <c r="AA305" s="438"/>
      <c r="AB305" s="438"/>
    </row>
    <row r="306" spans="1:35">
      <c r="C306" s="28"/>
      <c r="D306" s="28"/>
      <c r="E306" s="28" t="s">
        <v>2454</v>
      </c>
      <c r="F306" s="174"/>
      <c r="G306" s="210">
        <v>38000</v>
      </c>
      <c r="H306" s="210">
        <v>43000</v>
      </c>
      <c r="I306" s="210" t="s">
        <v>584</v>
      </c>
      <c r="J306" s="74"/>
      <c r="K306" s="10"/>
      <c r="L306" s="10"/>
      <c r="M306" s="88"/>
      <c r="N306" s="88"/>
      <c r="O306" s="88"/>
      <c r="P306" s="88"/>
      <c r="Q306" s="88"/>
      <c r="R306" s="88"/>
      <c r="S306" s="88"/>
      <c r="T306" s="88"/>
      <c r="U306" s="88"/>
      <c r="V306" s="88"/>
      <c r="W306" s="88"/>
      <c r="X306" s="88"/>
      <c r="Y306" s="410"/>
      <c r="Z306" s="438"/>
      <c r="AA306" s="438"/>
      <c r="AB306" s="438"/>
    </row>
    <row r="307" spans="1:35">
      <c r="A307" s="145" t="s">
        <v>1</v>
      </c>
      <c r="B307" s="376" t="s">
        <v>529</v>
      </c>
      <c r="C307" s="27" t="s">
        <v>2</v>
      </c>
      <c r="D307" s="27" t="s">
        <v>2532</v>
      </c>
      <c r="E307" s="27" t="s">
        <v>2433</v>
      </c>
      <c r="F307" s="165"/>
      <c r="G307" s="22" t="s">
        <v>629</v>
      </c>
      <c r="H307" s="22"/>
      <c r="I307" s="22" t="s">
        <v>3</v>
      </c>
      <c r="J307" s="90"/>
      <c r="K307" s="91"/>
      <c r="L307" s="91"/>
      <c r="M307" s="92"/>
      <c r="N307" s="92"/>
      <c r="O307" s="92"/>
      <c r="P307" s="92"/>
      <c r="Q307" s="92"/>
      <c r="R307" s="92"/>
      <c r="S307" s="92"/>
      <c r="T307" s="92"/>
      <c r="U307" s="92"/>
      <c r="V307" s="92"/>
      <c r="W307" s="92"/>
      <c r="X307" s="92"/>
      <c r="Y307" s="411"/>
      <c r="Z307" s="439"/>
      <c r="AA307" s="439"/>
      <c r="AB307" s="439"/>
    </row>
    <row r="308" spans="1:35" hidden="1">
      <c r="A308" s="145">
        <v>45313</v>
      </c>
      <c r="B308" s="376">
        <v>45627</v>
      </c>
      <c r="C308" s="27">
        <v>240111</v>
      </c>
      <c r="D308" s="20" t="str">
        <f t="shared" si="140"/>
        <v>高雄工業 静岡</v>
      </c>
      <c r="E308" s="20" t="str">
        <f t="shared" si="141"/>
        <v>LE NHAT ANH</v>
      </c>
      <c r="F308" s="20" t="str">
        <f t="shared" si="142"/>
        <v>レ　ニャット　アイン</v>
      </c>
      <c r="G308" s="11"/>
      <c r="H308" s="11"/>
      <c r="I308" s="11">
        <v>21500</v>
      </c>
      <c r="J308" s="65"/>
      <c r="K308" s="4">
        <v>6935</v>
      </c>
      <c r="L308" s="11">
        <v>28435</v>
      </c>
      <c r="M308" s="81">
        <v>21500</v>
      </c>
      <c r="N308" s="81">
        <v>21500</v>
      </c>
      <c r="O308" s="130">
        <v>21500</v>
      </c>
      <c r="P308" s="130">
        <v>21500</v>
      </c>
      <c r="Q308" s="130">
        <v>21500</v>
      </c>
      <c r="R308" s="130">
        <v>21500</v>
      </c>
      <c r="S308" s="130">
        <v>21500</v>
      </c>
      <c r="T308" s="130">
        <v>21500</v>
      </c>
      <c r="U308" s="130">
        <v>21500</v>
      </c>
      <c r="V308" s="130">
        <v>0</v>
      </c>
      <c r="W308" s="130">
        <v>0</v>
      </c>
      <c r="X308" s="130">
        <v>0</v>
      </c>
      <c r="Y308" s="408">
        <v>0</v>
      </c>
      <c r="Z308" s="437">
        <v>0</v>
      </c>
      <c r="AA308" s="437">
        <v>0</v>
      </c>
      <c r="AB308" s="437">
        <v>0</v>
      </c>
    </row>
    <row r="309" spans="1:35">
      <c r="A309" s="145">
        <v>45313</v>
      </c>
      <c r="B309" s="376"/>
      <c r="C309" s="27">
        <v>240113</v>
      </c>
      <c r="D309" s="20" t="str">
        <f t="shared" ref="D309" si="152">IF(C309="","",_xlfn.XLOOKUP(C309,社員№,派遣先,"",0,-1))</f>
        <v>高雄工業 静岡</v>
      </c>
      <c r="E309" s="20" t="str">
        <f t="shared" ref="E309" si="153">IF(C309="","",_xlfn.XLOOKUP(C309,社員№,氏名,"",0,-1))</f>
        <v>NGUYEN PHUONG NAM</v>
      </c>
      <c r="F309" s="20" t="str">
        <f t="shared" ref="F309" si="154">IF(C309="","",_xlfn.XLOOKUP(C309,社員№,カナ,"",0,-1))</f>
        <v>グエン　フォン　ナム</v>
      </c>
      <c r="G309" s="11"/>
      <c r="H309" s="11"/>
      <c r="I309" s="11">
        <v>21500</v>
      </c>
      <c r="J309" s="65" t="s">
        <v>989</v>
      </c>
      <c r="K309" s="4">
        <v>6935</v>
      </c>
      <c r="L309" s="11">
        <v>28435</v>
      </c>
      <c r="M309" s="81">
        <v>21500</v>
      </c>
      <c r="N309" s="81">
        <v>21500</v>
      </c>
      <c r="O309" s="130">
        <v>21500</v>
      </c>
      <c r="P309" s="130">
        <v>21500</v>
      </c>
      <c r="Q309" s="130">
        <v>21500</v>
      </c>
      <c r="R309" s="130">
        <v>21500</v>
      </c>
      <c r="S309" s="130">
        <v>21500</v>
      </c>
      <c r="T309" s="130">
        <v>21500</v>
      </c>
      <c r="U309" s="130">
        <v>21500</v>
      </c>
      <c r="V309" s="130">
        <v>43000</v>
      </c>
      <c r="W309" s="130">
        <v>43000</v>
      </c>
      <c r="X309" s="130">
        <v>43000</v>
      </c>
      <c r="Y309" s="408">
        <v>43000</v>
      </c>
      <c r="Z309" s="437">
        <v>43000</v>
      </c>
      <c r="AA309" s="437">
        <v>43000</v>
      </c>
      <c r="AB309" s="437">
        <v>43000</v>
      </c>
      <c r="AC309" s="437">
        <v>43000</v>
      </c>
      <c r="AD309" s="437">
        <v>43000</v>
      </c>
      <c r="AE309" s="437">
        <v>43000</v>
      </c>
      <c r="AF309" s="437">
        <v>43000</v>
      </c>
      <c r="AG309" s="437">
        <v>43000</v>
      </c>
      <c r="AH309" s="437">
        <v>43000</v>
      </c>
      <c r="AI309" s="437">
        <v>37453</v>
      </c>
    </row>
    <row r="310" spans="1:35">
      <c r="A310" s="145">
        <v>46046</v>
      </c>
      <c r="B310" s="376"/>
      <c r="C310" s="27">
        <v>250215</v>
      </c>
      <c r="D310" s="27" t="s">
        <v>1130</v>
      </c>
      <c r="E310" s="27" t="s">
        <v>953</v>
      </c>
      <c r="F310" s="27" t="s">
        <v>954</v>
      </c>
      <c r="G310" s="11"/>
      <c r="H310" s="11"/>
      <c r="I310" s="11">
        <v>21500</v>
      </c>
      <c r="J310" s="65"/>
      <c r="O310" s="81"/>
      <c r="P310" s="81"/>
      <c r="Q310" s="81"/>
      <c r="R310" s="81"/>
      <c r="S310" s="81"/>
      <c r="T310" s="81"/>
      <c r="U310" s="81"/>
      <c r="V310" s="81"/>
      <c r="W310" s="81"/>
      <c r="X310" s="81"/>
      <c r="Y310" s="413"/>
      <c r="Z310" s="441"/>
      <c r="AA310" s="441"/>
      <c r="AB310" s="441"/>
      <c r="AC310" s="448"/>
      <c r="AD310" s="1"/>
      <c r="AE310" s="1"/>
      <c r="AI310" s="448">
        <v>26050</v>
      </c>
    </row>
    <row r="311" spans="1:35">
      <c r="A311" s="147"/>
      <c r="F311" s="160"/>
      <c r="G311" s="10"/>
      <c r="H311" s="10"/>
      <c r="I311" s="10"/>
      <c r="J311" s="74"/>
      <c r="K311" s="10"/>
      <c r="L311" s="10"/>
      <c r="M311" s="88"/>
      <c r="N311" s="88"/>
      <c r="O311" s="88"/>
      <c r="P311" s="88"/>
      <c r="Q311" s="88"/>
      <c r="R311" s="88"/>
      <c r="S311" s="88"/>
      <c r="T311" s="88"/>
      <c r="U311" s="88"/>
      <c r="V311" s="88"/>
      <c r="W311" s="88"/>
      <c r="X311" s="88"/>
      <c r="Y311" s="410"/>
      <c r="Z311" s="438"/>
      <c r="AA311" s="438"/>
      <c r="AB311" s="438"/>
    </row>
    <row r="312" spans="1:35">
      <c r="A312" s="147"/>
      <c r="C312" s="28"/>
      <c r="D312" s="28"/>
      <c r="E312" s="28" t="s">
        <v>2455</v>
      </c>
      <c r="F312" s="174"/>
      <c r="G312" s="210">
        <v>38000</v>
      </c>
      <c r="H312" s="210">
        <v>43000</v>
      </c>
      <c r="I312" s="210" t="s">
        <v>584</v>
      </c>
      <c r="J312" s="74" t="s">
        <v>997</v>
      </c>
      <c r="K312" s="10"/>
      <c r="L312" s="10"/>
      <c r="M312" s="88"/>
      <c r="N312" s="88"/>
      <c r="O312" s="88"/>
      <c r="P312" s="88"/>
      <c r="Q312" s="88"/>
      <c r="R312" s="88"/>
      <c r="S312" s="88"/>
      <c r="T312" s="88"/>
      <c r="U312" s="88"/>
      <c r="V312" s="88"/>
      <c r="W312" s="88"/>
      <c r="X312" s="88"/>
      <c r="Y312" s="410"/>
      <c r="Z312" s="438"/>
      <c r="AA312" s="438"/>
      <c r="AB312" s="438"/>
    </row>
    <row r="313" spans="1:35">
      <c r="A313" s="148" t="s">
        <v>1</v>
      </c>
      <c r="B313" s="377" t="s">
        <v>529</v>
      </c>
      <c r="C313" s="27" t="s">
        <v>2</v>
      </c>
      <c r="D313" s="27" t="s">
        <v>2532</v>
      </c>
      <c r="E313" s="27" t="s">
        <v>2433</v>
      </c>
      <c r="F313" s="165"/>
      <c r="G313" s="22" t="s">
        <v>629</v>
      </c>
      <c r="H313" s="22"/>
      <c r="I313" s="22" t="s">
        <v>3</v>
      </c>
      <c r="J313" s="90"/>
      <c r="K313" s="91"/>
      <c r="L313" s="91"/>
      <c r="M313" s="92"/>
      <c r="N313" s="92"/>
      <c r="O313" s="92"/>
      <c r="P313" s="92"/>
      <c r="Q313" s="92"/>
      <c r="R313" s="92"/>
      <c r="S313" s="92"/>
      <c r="T313" s="92"/>
      <c r="U313" s="92"/>
      <c r="V313" s="92"/>
      <c r="W313" s="92"/>
      <c r="X313" s="92"/>
      <c r="Y313" s="411"/>
      <c r="Z313" s="439"/>
      <c r="AA313" s="439"/>
      <c r="AB313" s="439"/>
    </row>
    <row r="314" spans="1:35">
      <c r="A314" s="148">
        <v>44756</v>
      </c>
      <c r="B314" s="377"/>
      <c r="C314" s="27">
        <v>220707</v>
      </c>
      <c r="D314" s="20" t="str">
        <f t="shared" si="140"/>
        <v>高雄工業 静岡</v>
      </c>
      <c r="E314" s="20" t="str">
        <f t="shared" si="141"/>
        <v>NGUYEN VAN SANG</v>
      </c>
      <c r="F314" s="20" t="str">
        <f t="shared" si="142"/>
        <v>グエン　ヴァン　サン</v>
      </c>
      <c r="G314" s="11"/>
      <c r="H314" s="11"/>
      <c r="I314" s="11">
        <v>43000</v>
      </c>
      <c r="J314" s="65"/>
      <c r="K314" s="11">
        <v>21500</v>
      </c>
      <c r="L314" s="11">
        <v>21500</v>
      </c>
      <c r="M314" s="81">
        <v>21500</v>
      </c>
      <c r="N314" s="81">
        <v>21500</v>
      </c>
      <c r="O314" s="130">
        <v>21500</v>
      </c>
      <c r="P314" s="130">
        <v>21500</v>
      </c>
      <c r="Q314" s="130">
        <v>21500</v>
      </c>
      <c r="R314" s="130">
        <v>21500</v>
      </c>
      <c r="S314" s="130">
        <v>21500</v>
      </c>
      <c r="T314" s="130">
        <v>21500</v>
      </c>
      <c r="U314" s="130">
        <v>21500</v>
      </c>
      <c r="V314" s="130">
        <v>21500</v>
      </c>
      <c r="W314" s="130">
        <v>21500</v>
      </c>
      <c r="X314" s="130">
        <v>21500</v>
      </c>
      <c r="Y314" s="408">
        <f>43000+21500*2</f>
        <v>86000</v>
      </c>
      <c r="Z314" s="437">
        <v>43000</v>
      </c>
      <c r="AA314" s="437">
        <v>43000</v>
      </c>
      <c r="AB314" s="437">
        <v>43000</v>
      </c>
      <c r="AC314" s="437">
        <v>43000</v>
      </c>
      <c r="AD314" s="437">
        <v>43000</v>
      </c>
      <c r="AE314" s="437">
        <v>43000</v>
      </c>
      <c r="AF314" s="437">
        <v>43000</v>
      </c>
      <c r="AG314" s="437">
        <v>43000</v>
      </c>
      <c r="AH314" s="437">
        <v>43000</v>
      </c>
      <c r="AI314" s="437">
        <v>43000</v>
      </c>
    </row>
    <row r="315" spans="1:35">
      <c r="A315" s="147"/>
      <c r="F315" s="160"/>
      <c r="G315" s="10"/>
      <c r="H315" s="10"/>
      <c r="I315" s="10"/>
      <c r="J315" s="74"/>
      <c r="K315" s="10"/>
      <c r="L315" s="10"/>
      <c r="M315" s="88"/>
      <c r="N315" s="88"/>
      <c r="O315" s="88"/>
      <c r="P315" s="88"/>
      <c r="Q315" s="88"/>
      <c r="R315" s="88"/>
      <c r="S315" s="88"/>
      <c r="T315" s="88"/>
      <c r="U315" s="88"/>
      <c r="V315" s="88"/>
      <c r="W315" s="88"/>
      <c r="X315" s="88"/>
      <c r="Y315" s="410"/>
      <c r="Z315" s="438"/>
      <c r="AA315" s="438"/>
      <c r="AB315" s="438"/>
    </row>
    <row r="316" spans="1:35">
      <c r="A316" s="147"/>
      <c r="C316" s="28"/>
      <c r="D316" s="28"/>
      <c r="E316" s="28" t="s">
        <v>23</v>
      </c>
      <c r="F316" s="174"/>
      <c r="G316" s="210">
        <v>38000</v>
      </c>
      <c r="H316" s="210">
        <v>43000</v>
      </c>
      <c r="I316" s="210" t="s">
        <v>584</v>
      </c>
      <c r="J316" s="74"/>
      <c r="K316" s="10"/>
      <c r="L316" s="10"/>
      <c r="M316" s="88"/>
      <c r="N316" s="88"/>
      <c r="O316" s="88"/>
      <c r="P316" s="88"/>
      <c r="Q316" s="88"/>
      <c r="R316" s="88"/>
      <c r="S316" s="88"/>
      <c r="T316" s="88"/>
      <c r="U316" s="88"/>
      <c r="V316" s="88"/>
      <c r="W316" s="88"/>
      <c r="X316" s="88"/>
      <c r="Y316" s="410"/>
      <c r="Z316" s="438"/>
      <c r="AA316" s="438"/>
      <c r="AB316" s="438"/>
    </row>
    <row r="317" spans="1:35">
      <c r="A317" s="148" t="s">
        <v>1</v>
      </c>
      <c r="B317" s="377" t="s">
        <v>529</v>
      </c>
      <c r="C317" s="27" t="s">
        <v>2</v>
      </c>
      <c r="D317" s="27" t="s">
        <v>2532</v>
      </c>
      <c r="E317" s="27" t="s">
        <v>2433</v>
      </c>
      <c r="F317" s="165"/>
      <c r="G317" s="22" t="s">
        <v>629</v>
      </c>
      <c r="H317" s="22"/>
      <c r="I317" s="22" t="s">
        <v>3</v>
      </c>
      <c r="J317" s="90"/>
      <c r="K317" s="91"/>
      <c r="L317" s="91"/>
      <c r="M317" s="92"/>
      <c r="N317" s="92"/>
      <c r="O317" s="92"/>
      <c r="P317" s="92"/>
      <c r="Q317" s="92"/>
      <c r="R317" s="92"/>
      <c r="S317" s="92"/>
      <c r="T317" s="92"/>
      <c r="U317" s="92"/>
      <c r="V317" s="92"/>
      <c r="W317" s="92"/>
      <c r="X317" s="92"/>
      <c r="Y317" s="411"/>
      <c r="Z317" s="439"/>
      <c r="AA317" s="439"/>
      <c r="AB317" s="439"/>
    </row>
    <row r="318" spans="1:35" ht="20.25" hidden="1" customHeight="1">
      <c r="A318" s="145">
        <v>45266</v>
      </c>
      <c r="B318" s="376"/>
      <c r="C318" s="27">
        <v>231215</v>
      </c>
      <c r="D318" s="20" t="str">
        <f t="shared" si="140"/>
        <v>高雄工業 静岡</v>
      </c>
      <c r="E318" s="20" t="str">
        <f t="shared" si="141"/>
        <v>VU NGOC LONG</v>
      </c>
      <c r="F318" s="20" t="str">
        <f t="shared" si="142"/>
        <v>ブ　ゴック　ロン</v>
      </c>
      <c r="G318" s="11"/>
      <c r="H318" s="11"/>
      <c r="I318" s="11">
        <v>21500</v>
      </c>
      <c r="J318" s="65"/>
      <c r="K318" s="11">
        <v>21500</v>
      </c>
      <c r="L318" s="11">
        <v>21500</v>
      </c>
      <c r="M318" s="81">
        <v>21500</v>
      </c>
      <c r="N318" s="81">
        <v>21500</v>
      </c>
      <c r="O318" s="81">
        <v>21500</v>
      </c>
      <c r="P318" s="81">
        <v>21500</v>
      </c>
      <c r="Q318" s="81">
        <v>21500</v>
      </c>
      <c r="R318" s="81">
        <v>21500</v>
      </c>
      <c r="S318" s="81">
        <v>21500</v>
      </c>
      <c r="T318" s="81">
        <v>21500</v>
      </c>
      <c r="U318" s="81">
        <v>21500</v>
      </c>
      <c r="V318" s="81">
        <v>21500</v>
      </c>
      <c r="W318" s="81">
        <v>0</v>
      </c>
      <c r="X318" s="81">
        <v>0</v>
      </c>
      <c r="Y318" s="413">
        <v>0</v>
      </c>
      <c r="Z318" s="441">
        <v>0</v>
      </c>
      <c r="AA318" s="441">
        <v>0</v>
      </c>
      <c r="AB318" s="441">
        <v>0</v>
      </c>
    </row>
    <row r="319" spans="1:35" ht="20.25" hidden="1" customHeight="1">
      <c r="A319" s="145">
        <v>45266</v>
      </c>
      <c r="B319" s="376">
        <v>45657</v>
      </c>
      <c r="C319" s="27">
        <v>231216</v>
      </c>
      <c r="D319" s="20" t="str">
        <f t="shared" ref="D319:D320" si="155">IF(C319="","",_xlfn.XLOOKUP(C319,社員№,派遣先,"",0,-1))</f>
        <v>高雄工業 静岡</v>
      </c>
      <c r="E319" s="20" t="str">
        <f t="shared" ref="E319:E320" si="156">IF(C319="","",_xlfn.XLOOKUP(C319,社員№,氏名,"",0,-1))</f>
        <v>NGUYEN DUY HIEU</v>
      </c>
      <c r="F319" s="20" t="str">
        <f t="shared" ref="F319:F320" si="157">IF(C319="","",_xlfn.XLOOKUP(C319,社員№,カナ,"",0,-1))</f>
        <v>グエン　ズイ　ヒエウ</v>
      </c>
      <c r="G319" s="11"/>
      <c r="H319" s="11"/>
      <c r="I319" s="11">
        <v>21500</v>
      </c>
      <c r="J319" s="65"/>
      <c r="K319" s="11">
        <v>21500</v>
      </c>
      <c r="L319" s="11">
        <v>21500</v>
      </c>
      <c r="M319" s="81">
        <v>21500</v>
      </c>
      <c r="N319" s="81">
        <v>21500</v>
      </c>
      <c r="O319" s="81">
        <v>21500</v>
      </c>
      <c r="P319" s="81">
        <v>21500</v>
      </c>
      <c r="Q319" s="81">
        <v>21500</v>
      </c>
      <c r="R319" s="81">
        <v>21500</v>
      </c>
      <c r="S319" s="81">
        <v>21500</v>
      </c>
      <c r="T319" s="81">
        <v>21500</v>
      </c>
      <c r="U319" s="81">
        <v>21500</v>
      </c>
      <c r="V319" s="81">
        <v>21500</v>
      </c>
      <c r="W319" s="81">
        <v>0</v>
      </c>
      <c r="X319" s="81">
        <v>0</v>
      </c>
      <c r="Y319" s="413">
        <v>0</v>
      </c>
      <c r="Z319" s="441">
        <v>0</v>
      </c>
      <c r="AA319" s="441">
        <v>0</v>
      </c>
      <c r="AB319" s="441">
        <v>0</v>
      </c>
    </row>
    <row r="320" spans="1:35" ht="20.25" customHeight="1">
      <c r="A320" s="145">
        <v>45658</v>
      </c>
      <c r="B320" s="376"/>
      <c r="C320" s="27">
        <v>230901</v>
      </c>
      <c r="D320" s="20" t="str">
        <f t="shared" si="155"/>
        <v>高雄工業 静岡</v>
      </c>
      <c r="E320" s="20" t="str">
        <f t="shared" si="156"/>
        <v>TRAN XUAN HUNG</v>
      </c>
      <c r="F320" s="20" t="str">
        <f t="shared" si="157"/>
        <v>チャン　スアン　フン</v>
      </c>
      <c r="G320" s="11"/>
      <c r="H320" s="11"/>
      <c r="I320" s="11">
        <v>43000</v>
      </c>
      <c r="J320" s="65"/>
      <c r="O320" s="81"/>
      <c r="P320" s="81"/>
      <c r="Q320" s="81"/>
      <c r="R320" s="81"/>
      <c r="S320" s="81"/>
      <c r="T320" s="81"/>
      <c r="U320" s="81"/>
      <c r="V320" s="81"/>
      <c r="W320" s="81">
        <v>43000</v>
      </c>
      <c r="X320" s="81">
        <v>43000</v>
      </c>
      <c r="Y320" s="413">
        <v>43000</v>
      </c>
      <c r="Z320" s="441">
        <v>43000</v>
      </c>
      <c r="AA320" s="441">
        <v>43000</v>
      </c>
      <c r="AB320" s="441">
        <v>43000</v>
      </c>
      <c r="AC320" s="441">
        <v>43000</v>
      </c>
      <c r="AD320" s="441">
        <v>43000</v>
      </c>
      <c r="AE320" s="437">
        <v>43000</v>
      </c>
      <c r="AF320" s="437">
        <v>43000</v>
      </c>
      <c r="AG320" s="437">
        <v>43000</v>
      </c>
      <c r="AH320" s="437">
        <v>43000</v>
      </c>
      <c r="AI320" s="437">
        <v>43000</v>
      </c>
    </row>
    <row r="321" spans="1:35" ht="20.25" customHeight="1">
      <c r="A321" s="147"/>
      <c r="F321" s="160"/>
      <c r="J321" s="74"/>
      <c r="K321" s="10"/>
      <c r="L321" s="10"/>
      <c r="M321" s="88"/>
      <c r="N321" s="88"/>
      <c r="O321" s="88"/>
      <c r="P321" s="88"/>
      <c r="Q321" s="88"/>
      <c r="R321" s="88"/>
      <c r="S321" s="88"/>
      <c r="T321" s="88"/>
      <c r="U321" s="88"/>
      <c r="V321" s="88"/>
      <c r="W321" s="88"/>
      <c r="X321" s="88"/>
      <c r="Y321" s="410"/>
      <c r="Z321" s="438"/>
      <c r="AA321" s="438"/>
      <c r="AB321" s="438"/>
    </row>
    <row r="322" spans="1:35" ht="20.25" customHeight="1">
      <c r="A322" s="147"/>
      <c r="C322" s="28"/>
      <c r="D322" s="28"/>
      <c r="E322" s="28" t="s">
        <v>18</v>
      </c>
      <c r="F322" s="174"/>
      <c r="G322" s="210">
        <v>48200</v>
      </c>
      <c r="H322" s="210">
        <v>52000</v>
      </c>
      <c r="I322" s="210" t="s">
        <v>584</v>
      </c>
      <c r="J322" s="74"/>
      <c r="K322" s="10"/>
      <c r="L322" s="10"/>
      <c r="M322" s="88"/>
      <c r="N322" s="88"/>
      <c r="O322" s="88"/>
      <c r="P322" s="88"/>
      <c r="Q322" s="88"/>
      <c r="R322" s="88"/>
      <c r="S322" s="88"/>
      <c r="T322" s="88"/>
      <c r="U322" s="88"/>
      <c r="V322" s="88"/>
      <c r="W322" s="88"/>
      <c r="X322" s="88"/>
      <c r="Y322" s="410"/>
      <c r="Z322" s="438"/>
      <c r="AA322" s="438"/>
      <c r="AB322" s="438"/>
    </row>
    <row r="323" spans="1:35" ht="20.25" customHeight="1">
      <c r="A323" s="148" t="s">
        <v>1</v>
      </c>
      <c r="B323" s="377" t="s">
        <v>529</v>
      </c>
      <c r="C323" s="27" t="s">
        <v>2</v>
      </c>
      <c r="D323" s="27" t="s">
        <v>2532</v>
      </c>
      <c r="E323" s="27" t="s">
        <v>2433</v>
      </c>
      <c r="F323" s="165"/>
      <c r="G323" s="22" t="s">
        <v>629</v>
      </c>
      <c r="H323" s="22"/>
      <c r="I323" s="22" t="s">
        <v>3</v>
      </c>
      <c r="J323" s="90"/>
      <c r="K323" s="91"/>
      <c r="L323" s="91"/>
      <c r="M323" s="92"/>
      <c r="N323" s="92"/>
      <c r="O323" s="92"/>
      <c r="P323" s="92"/>
      <c r="Q323" s="92"/>
      <c r="R323" s="92"/>
      <c r="S323" s="92"/>
      <c r="T323" s="92"/>
      <c r="U323" s="92"/>
      <c r="V323" s="92"/>
      <c r="W323" s="92"/>
      <c r="X323" s="92"/>
      <c r="Y323" s="411"/>
      <c r="Z323" s="439"/>
      <c r="AA323" s="439"/>
      <c r="AB323" s="439"/>
    </row>
    <row r="324" spans="1:35" hidden="1">
      <c r="A324" s="148">
        <v>44464</v>
      </c>
      <c r="B324" s="377">
        <v>45657</v>
      </c>
      <c r="C324" s="27">
        <v>210912</v>
      </c>
      <c r="D324" s="20" t="str">
        <f t="shared" si="140"/>
        <v>高雄工業 静岡</v>
      </c>
      <c r="E324" s="20" t="str">
        <f t="shared" si="141"/>
        <v>TRUONG VAN THINH</v>
      </c>
      <c r="F324" s="20" t="str">
        <f t="shared" si="142"/>
        <v>チュオン　ヴァン　テイン</v>
      </c>
      <c r="G324" s="11"/>
      <c r="H324" s="11"/>
      <c r="I324" s="11">
        <v>26000</v>
      </c>
      <c r="J324" s="65"/>
      <c r="K324" s="11">
        <v>26000</v>
      </c>
      <c r="L324" s="11">
        <v>26000</v>
      </c>
      <c r="M324" s="81">
        <v>26000</v>
      </c>
      <c r="N324" s="81">
        <v>26000</v>
      </c>
      <c r="O324" s="130">
        <v>26000</v>
      </c>
      <c r="P324" s="130">
        <v>26000</v>
      </c>
      <c r="Q324" s="130">
        <v>26000</v>
      </c>
      <c r="R324" s="130">
        <v>26000</v>
      </c>
      <c r="S324" s="130">
        <v>26000</v>
      </c>
      <c r="T324" s="130">
        <v>26000</v>
      </c>
      <c r="U324" s="130">
        <v>26000</v>
      </c>
      <c r="V324" s="130">
        <f>26000+20000</f>
        <v>46000</v>
      </c>
      <c r="W324" s="130">
        <v>0</v>
      </c>
      <c r="X324" s="130">
        <v>0</v>
      </c>
      <c r="Y324" s="408">
        <v>0</v>
      </c>
      <c r="Z324" s="437">
        <v>0</v>
      </c>
      <c r="AA324" s="437">
        <v>0</v>
      </c>
      <c r="AB324" s="437">
        <v>0</v>
      </c>
    </row>
    <row r="325" spans="1:35">
      <c r="A325" s="145">
        <v>45304</v>
      </c>
      <c r="B325" s="376">
        <v>46035</v>
      </c>
      <c r="C325" s="27">
        <v>230106</v>
      </c>
      <c r="D325" s="20" t="str">
        <f t="shared" ref="D325:D327" si="158">IF(C325="","",_xlfn.XLOOKUP(C325,社員№,派遣先,"",0,-1))</f>
        <v>高雄工業 静岡</v>
      </c>
      <c r="E325" s="20" t="str">
        <f t="shared" ref="E325:E327" si="159">IF(C325="","",_xlfn.XLOOKUP(C325,社員№,氏名,"",0,-1))</f>
        <v>DAO TIEN KHANH</v>
      </c>
      <c r="F325" s="20" t="str">
        <f t="shared" ref="F325:F327" si="160">IF(C325="","",_xlfn.XLOOKUP(C325,社員№,カナ,"",0,-1))</f>
        <v>ダオ　ティエン　カイン</v>
      </c>
      <c r="G325" s="11"/>
      <c r="H325" s="11"/>
      <c r="I325" s="11">
        <v>26000</v>
      </c>
      <c r="J325" s="65"/>
      <c r="K325" s="11">
        <v>26193</v>
      </c>
      <c r="L325" s="11">
        <v>26000</v>
      </c>
      <c r="M325" s="81">
        <v>26000</v>
      </c>
      <c r="N325" s="81">
        <v>26000</v>
      </c>
      <c r="O325" s="81">
        <v>26000</v>
      </c>
      <c r="P325" s="81">
        <v>26000</v>
      </c>
      <c r="Q325" s="81">
        <v>26000</v>
      </c>
      <c r="R325" s="81">
        <v>26000</v>
      </c>
      <c r="S325" s="81">
        <v>26000</v>
      </c>
      <c r="T325" s="81">
        <v>26000</v>
      </c>
      <c r="U325" s="81">
        <v>26000</v>
      </c>
      <c r="V325" s="81">
        <v>26000</v>
      </c>
      <c r="W325" s="81">
        <v>26000</v>
      </c>
      <c r="X325" s="81">
        <v>26000</v>
      </c>
      <c r="Y325" s="413">
        <v>26000</v>
      </c>
      <c r="Z325" s="441">
        <v>26000</v>
      </c>
      <c r="AA325" s="441">
        <v>26000</v>
      </c>
      <c r="AB325" s="441">
        <v>26000</v>
      </c>
      <c r="AC325" s="441">
        <v>26000</v>
      </c>
      <c r="AD325" s="441">
        <v>26000</v>
      </c>
      <c r="AE325" s="437">
        <v>26000</v>
      </c>
      <c r="AF325" s="437">
        <v>26000</v>
      </c>
      <c r="AG325" s="437">
        <v>26000</v>
      </c>
      <c r="AH325" s="437">
        <v>26000</v>
      </c>
      <c r="AI325" s="448">
        <v>46000</v>
      </c>
    </row>
    <row r="326" spans="1:35" hidden="1">
      <c r="A326" s="145">
        <v>45667</v>
      </c>
      <c r="B326" s="376">
        <v>45700</v>
      </c>
      <c r="C326" s="27">
        <v>250110</v>
      </c>
      <c r="D326" s="20" t="str">
        <f t="shared" si="158"/>
        <v>高雄工業 静岡</v>
      </c>
      <c r="E326" s="20" t="str">
        <f t="shared" si="159"/>
        <v>TRAN PHAT LOI</v>
      </c>
      <c r="F326" s="20" t="str">
        <f t="shared" si="160"/>
        <v>チャン　ファット　ロイ</v>
      </c>
      <c r="G326" s="11"/>
      <c r="H326" s="11"/>
      <c r="I326" s="11">
        <v>26000</v>
      </c>
      <c r="J326" s="64"/>
      <c r="O326" s="81"/>
      <c r="P326" s="81"/>
      <c r="Q326" s="81"/>
      <c r="R326" s="81"/>
      <c r="S326" s="81"/>
      <c r="T326" s="81"/>
      <c r="U326" s="81"/>
      <c r="V326" s="81"/>
      <c r="W326" s="81">
        <v>18452</v>
      </c>
      <c r="X326" s="81">
        <v>0</v>
      </c>
      <c r="Y326" s="413">
        <v>0</v>
      </c>
      <c r="Z326" s="441">
        <v>0</v>
      </c>
      <c r="AA326" s="441">
        <v>0</v>
      </c>
      <c r="AB326" s="441">
        <v>0</v>
      </c>
      <c r="AC326" s="441">
        <v>26000</v>
      </c>
      <c r="AD326" s="441">
        <v>26000</v>
      </c>
      <c r="AE326" s="437">
        <v>26000</v>
      </c>
      <c r="AF326" s="437">
        <v>26000</v>
      </c>
      <c r="AG326" s="437">
        <v>26000</v>
      </c>
      <c r="AH326" s="437">
        <v>26000</v>
      </c>
    </row>
    <row r="327" spans="1:35">
      <c r="A327" s="145">
        <v>45729</v>
      </c>
      <c r="B327" s="376"/>
      <c r="C327" s="27">
        <v>250307</v>
      </c>
      <c r="D327" s="20" t="str">
        <f t="shared" si="158"/>
        <v>高雄工業 静岡</v>
      </c>
      <c r="E327" s="20" t="str">
        <f t="shared" si="159"/>
        <v>LE VAN HA</v>
      </c>
      <c r="F327" s="20" t="str">
        <f t="shared" si="160"/>
        <v>レ　ヴァン　ハ</v>
      </c>
      <c r="G327" s="11"/>
      <c r="H327" s="11"/>
      <c r="I327" s="11"/>
      <c r="J327" s="64"/>
      <c r="O327" s="81"/>
      <c r="P327" s="81"/>
      <c r="Q327" s="81"/>
      <c r="R327" s="81"/>
      <c r="S327" s="81"/>
      <c r="T327" s="81"/>
      <c r="U327" s="81"/>
      <c r="V327" s="81"/>
      <c r="W327" s="81"/>
      <c r="X327" s="81"/>
      <c r="Y327" s="418">
        <v>15935</v>
      </c>
      <c r="Z327" s="446">
        <f>15935+26000</f>
        <v>41935</v>
      </c>
      <c r="AA327" s="446">
        <v>26000</v>
      </c>
      <c r="AB327" s="446">
        <v>26000</v>
      </c>
      <c r="AC327" s="441">
        <v>26000</v>
      </c>
      <c r="AD327" s="441">
        <v>26000</v>
      </c>
      <c r="AE327" s="437">
        <v>26000</v>
      </c>
      <c r="AF327" s="437">
        <v>26000</v>
      </c>
      <c r="AG327" s="437">
        <v>26000</v>
      </c>
      <c r="AH327" s="437">
        <v>26000</v>
      </c>
      <c r="AI327" s="448">
        <v>26000</v>
      </c>
    </row>
    <row r="328" spans="1:35">
      <c r="A328" s="145">
        <v>46040</v>
      </c>
      <c r="B328" s="376"/>
      <c r="C328" s="27">
        <v>251010</v>
      </c>
      <c r="D328" s="20" t="s">
        <v>1130</v>
      </c>
      <c r="E328" s="20" t="s">
        <v>2615</v>
      </c>
      <c r="F328" s="20" t="s">
        <v>2616</v>
      </c>
      <c r="G328" s="11"/>
      <c r="H328" s="11"/>
      <c r="I328" s="11"/>
      <c r="J328" s="64"/>
      <c r="O328" s="81"/>
      <c r="P328" s="81"/>
      <c r="Q328" s="81"/>
      <c r="R328" s="81"/>
      <c r="S328" s="81"/>
      <c r="T328" s="81"/>
      <c r="U328" s="81"/>
      <c r="V328" s="81"/>
      <c r="W328" s="81"/>
      <c r="X328" s="81"/>
      <c r="Y328" s="418"/>
      <c r="Z328" s="446"/>
      <c r="AA328" s="446"/>
      <c r="AB328" s="446"/>
      <c r="AC328" s="441"/>
      <c r="AD328" s="441"/>
      <c r="AE328" s="441"/>
      <c r="AF328" s="441"/>
      <c r="AG328" s="441"/>
      <c r="AH328" s="441"/>
      <c r="AI328" s="448">
        <v>21842</v>
      </c>
    </row>
    <row r="329" spans="1:35">
      <c r="A329" s="147"/>
      <c r="F329" s="160"/>
      <c r="J329" s="74"/>
      <c r="K329" s="10"/>
      <c r="L329" s="10"/>
      <c r="M329" s="88"/>
      <c r="N329" s="88"/>
      <c r="O329" s="88"/>
      <c r="P329" s="88"/>
      <c r="Q329" s="88"/>
      <c r="R329" s="88"/>
      <c r="S329" s="88"/>
      <c r="T329" s="88"/>
      <c r="U329" s="88"/>
      <c r="V329" s="88"/>
      <c r="W329" s="88"/>
      <c r="X329" s="88"/>
      <c r="Y329" s="410"/>
      <c r="Z329" s="438"/>
      <c r="AA329" s="438"/>
      <c r="AB329" s="438"/>
      <c r="AF329" s="538"/>
      <c r="AG329" s="544"/>
      <c r="AH329" s="550"/>
      <c r="AI329" s="553"/>
    </row>
    <row r="330" spans="1:35">
      <c r="A330" s="147"/>
      <c r="C330" s="28"/>
      <c r="D330" s="28"/>
      <c r="E330" s="28" t="s">
        <v>2456</v>
      </c>
      <c r="F330" s="174"/>
      <c r="G330" s="210">
        <v>54200</v>
      </c>
      <c r="H330" s="210">
        <v>60000</v>
      </c>
      <c r="I330" s="210" t="s">
        <v>25</v>
      </c>
      <c r="J330" s="74"/>
      <c r="K330" s="10"/>
      <c r="L330" s="10"/>
      <c r="M330" s="88"/>
      <c r="N330" s="88"/>
      <c r="O330" s="88"/>
      <c r="P330" s="88"/>
      <c r="Q330" s="88"/>
      <c r="R330" s="88"/>
      <c r="S330" s="88"/>
      <c r="T330" s="88"/>
      <c r="U330" s="88"/>
      <c r="V330" s="88"/>
      <c r="W330" s="88"/>
      <c r="X330" s="88"/>
      <c r="Y330" s="410"/>
      <c r="Z330" s="438"/>
      <c r="AA330" s="438"/>
      <c r="AB330" s="438"/>
    </row>
    <row r="331" spans="1:35">
      <c r="A331" s="148" t="s">
        <v>1</v>
      </c>
      <c r="B331" s="377" t="s">
        <v>529</v>
      </c>
      <c r="C331" s="27" t="s">
        <v>2</v>
      </c>
      <c r="D331" s="27" t="s">
        <v>2532</v>
      </c>
      <c r="E331" s="27" t="s">
        <v>2433</v>
      </c>
      <c r="F331" s="165"/>
      <c r="G331" s="22" t="s">
        <v>629</v>
      </c>
      <c r="H331" s="22"/>
      <c r="I331" s="22" t="s">
        <v>3</v>
      </c>
      <c r="J331" s="90"/>
      <c r="K331" s="91"/>
      <c r="L331" s="91"/>
      <c r="M331" s="92"/>
      <c r="N331" s="92"/>
      <c r="O331" s="92"/>
      <c r="P331" s="92"/>
      <c r="Q331" s="92"/>
      <c r="R331" s="92"/>
      <c r="S331" s="92"/>
      <c r="T331" s="92"/>
      <c r="U331" s="92"/>
      <c r="V331" s="92"/>
      <c r="W331" s="92"/>
      <c r="X331" s="92"/>
      <c r="Y331" s="411"/>
      <c r="Z331" s="439"/>
      <c r="AA331" s="439"/>
      <c r="AB331" s="439"/>
    </row>
    <row r="332" spans="1:35">
      <c r="A332" s="145">
        <v>45056</v>
      </c>
      <c r="B332" s="376">
        <v>45915</v>
      </c>
      <c r="C332" s="27">
        <v>230504</v>
      </c>
      <c r="D332" s="20" t="str">
        <f t="shared" si="140"/>
        <v>高雄工業 静岡</v>
      </c>
      <c r="E332" s="20" t="str">
        <f t="shared" si="141"/>
        <v>CHU DUC NGHI</v>
      </c>
      <c r="F332" s="20" t="str">
        <f t="shared" si="142"/>
        <v>チュ　ドゥック　ギー</v>
      </c>
      <c r="G332" s="11"/>
      <c r="H332" s="11"/>
      <c r="I332" s="11">
        <v>20000</v>
      </c>
      <c r="J332" s="65"/>
      <c r="K332" s="11">
        <v>20000</v>
      </c>
      <c r="L332" s="11">
        <v>20000</v>
      </c>
      <c r="M332" s="81">
        <v>20000</v>
      </c>
      <c r="N332" s="81">
        <v>20000</v>
      </c>
      <c r="O332" s="130">
        <v>20000</v>
      </c>
      <c r="P332" s="130">
        <v>20000</v>
      </c>
      <c r="Q332" s="130">
        <v>20000</v>
      </c>
      <c r="R332" s="130">
        <v>20000</v>
      </c>
      <c r="S332" s="130">
        <v>20000</v>
      </c>
      <c r="T332" s="130">
        <v>20000</v>
      </c>
      <c r="U332" s="130">
        <v>20000</v>
      </c>
      <c r="V332" s="130">
        <v>20000</v>
      </c>
      <c r="W332" s="130">
        <v>20000</v>
      </c>
      <c r="X332" s="130">
        <v>20000</v>
      </c>
      <c r="Y332" s="408">
        <v>20000</v>
      </c>
      <c r="Z332" s="437">
        <v>20000</v>
      </c>
      <c r="AA332" s="437">
        <v>20000</v>
      </c>
      <c r="AB332" s="437">
        <v>20000</v>
      </c>
      <c r="AC332" s="437">
        <v>20000</v>
      </c>
      <c r="AD332" s="437">
        <v>20000</v>
      </c>
      <c r="AE332" s="437">
        <v>20000</v>
      </c>
      <c r="AF332" s="437">
        <v>20000</v>
      </c>
      <c r="AG332" s="518">
        <v>0</v>
      </c>
    </row>
    <row r="333" spans="1:35" hidden="1">
      <c r="A333" s="145">
        <v>45353</v>
      </c>
      <c r="B333" s="376">
        <v>45658</v>
      </c>
      <c r="C333" s="27">
        <v>230901</v>
      </c>
      <c r="D333" s="20" t="str">
        <f t="shared" ref="D333:D337" si="161">IF(C333="","",_xlfn.XLOOKUP(C333,社員№,派遣先,"",0,-1))</f>
        <v>高雄工業 静岡</v>
      </c>
      <c r="E333" s="20" t="str">
        <f t="shared" ref="E333:E337" si="162">IF(C333="","",_xlfn.XLOOKUP(C333,社員№,氏名,"",0,-1))</f>
        <v>TRAN XUAN HUNG</v>
      </c>
      <c r="F333" s="20" t="str">
        <f t="shared" ref="F333:F337" si="163">IF(C333="","",_xlfn.XLOOKUP(C333,社員№,カナ,"",0,-1))</f>
        <v>チャン　スアン　フン</v>
      </c>
      <c r="G333" s="11"/>
      <c r="H333" s="11"/>
      <c r="I333" s="11">
        <v>20000</v>
      </c>
      <c r="J333" s="68"/>
      <c r="M333" s="81">
        <v>19355</v>
      </c>
      <c r="N333" s="81">
        <v>20000</v>
      </c>
      <c r="O333" s="130">
        <v>20000</v>
      </c>
      <c r="P333" s="130">
        <v>20000</v>
      </c>
      <c r="Q333" s="130">
        <v>20000</v>
      </c>
      <c r="R333" s="130">
        <v>20000</v>
      </c>
      <c r="S333" s="130">
        <v>20000</v>
      </c>
      <c r="T333" s="130">
        <v>20000</v>
      </c>
      <c r="U333" s="130">
        <v>20000</v>
      </c>
      <c r="V333" s="130">
        <v>20000</v>
      </c>
      <c r="W333" s="130">
        <v>0</v>
      </c>
      <c r="X333" s="130">
        <v>0</v>
      </c>
      <c r="Y333" s="408">
        <v>0</v>
      </c>
      <c r="Z333" s="437">
        <v>0</v>
      </c>
      <c r="AA333" s="437">
        <v>0</v>
      </c>
      <c r="AB333" s="437">
        <v>0</v>
      </c>
      <c r="AC333" s="437">
        <v>20000</v>
      </c>
      <c r="AD333" s="437">
        <v>20000</v>
      </c>
      <c r="AE333" s="437">
        <v>20000</v>
      </c>
      <c r="AF333" s="437">
        <v>20000</v>
      </c>
    </row>
    <row r="334" spans="1:35">
      <c r="A334" s="145">
        <v>45353</v>
      </c>
      <c r="B334" s="376">
        <v>45916</v>
      </c>
      <c r="C334" s="27">
        <v>230902</v>
      </c>
      <c r="D334" s="20" t="str">
        <f t="shared" si="161"/>
        <v>高雄工業 静岡</v>
      </c>
      <c r="E334" s="20" t="str">
        <f t="shared" si="162"/>
        <v>PHAN VAN THUC</v>
      </c>
      <c r="F334" s="20" t="str">
        <f t="shared" si="163"/>
        <v>ファン　ヴァン　トゥック</v>
      </c>
      <c r="G334" s="11"/>
      <c r="H334" s="11"/>
      <c r="I334" s="11">
        <v>20000</v>
      </c>
      <c r="J334" s="65"/>
      <c r="M334" s="81">
        <v>19355</v>
      </c>
      <c r="N334" s="81">
        <v>20000</v>
      </c>
      <c r="O334" s="81">
        <v>20000</v>
      </c>
      <c r="P334" s="81">
        <v>20000</v>
      </c>
      <c r="Q334" s="81">
        <v>20000</v>
      </c>
      <c r="R334" s="81">
        <v>20000</v>
      </c>
      <c r="S334" s="81">
        <v>20000</v>
      </c>
      <c r="T334" s="81">
        <v>20000</v>
      </c>
      <c r="U334" s="81">
        <v>20000</v>
      </c>
      <c r="V334" s="81">
        <v>20000</v>
      </c>
      <c r="W334" s="81">
        <v>20000</v>
      </c>
      <c r="X334" s="81">
        <v>20000</v>
      </c>
      <c r="Y334" s="413">
        <v>20000</v>
      </c>
      <c r="Z334" s="441">
        <v>20000</v>
      </c>
      <c r="AA334" s="441">
        <v>20000</v>
      </c>
      <c r="AB334" s="441">
        <v>20000</v>
      </c>
      <c r="AC334" s="437">
        <v>20000</v>
      </c>
      <c r="AD334" s="437">
        <v>20000</v>
      </c>
      <c r="AE334" s="437">
        <v>20000</v>
      </c>
      <c r="AF334" s="437">
        <v>20000</v>
      </c>
      <c r="AG334" s="518">
        <v>0</v>
      </c>
    </row>
    <row r="335" spans="1:35">
      <c r="A335" s="145">
        <v>45658</v>
      </c>
      <c r="B335" s="376">
        <v>45959</v>
      </c>
      <c r="C335" s="27">
        <v>231215</v>
      </c>
      <c r="D335" s="20" t="str">
        <f t="shared" si="161"/>
        <v>高雄工業 静岡</v>
      </c>
      <c r="E335" s="20" t="str">
        <f t="shared" si="162"/>
        <v>VU NGOC LONG</v>
      </c>
      <c r="F335" s="20" t="str">
        <f t="shared" si="163"/>
        <v>ブ　ゴック　ロン</v>
      </c>
      <c r="G335" s="11"/>
      <c r="H335" s="11"/>
      <c r="I335" s="11">
        <v>20000</v>
      </c>
      <c r="J335" s="65"/>
      <c r="O335" s="81"/>
      <c r="P335" s="81"/>
      <c r="Q335" s="81"/>
      <c r="R335" s="81"/>
      <c r="S335" s="81"/>
      <c r="T335" s="81"/>
      <c r="U335" s="81"/>
      <c r="V335" s="81"/>
      <c r="W335" s="82">
        <v>20000</v>
      </c>
      <c r="X335" s="82">
        <v>20000</v>
      </c>
      <c r="Y335" s="202">
        <v>20000</v>
      </c>
      <c r="Z335" s="446">
        <v>20000</v>
      </c>
      <c r="AA335" s="446">
        <v>20000</v>
      </c>
      <c r="AB335" s="446">
        <v>20000</v>
      </c>
      <c r="AC335" s="437">
        <v>20000</v>
      </c>
      <c r="AD335" s="437">
        <v>20000</v>
      </c>
      <c r="AE335" s="437">
        <v>20000</v>
      </c>
      <c r="AF335" s="437">
        <v>20000</v>
      </c>
      <c r="AG335" s="522">
        <v>40000</v>
      </c>
      <c r="AH335" s="437">
        <v>0</v>
      </c>
    </row>
    <row r="336" spans="1:35">
      <c r="A336" s="145">
        <v>45918</v>
      </c>
      <c r="B336" s="376"/>
      <c r="C336" s="27">
        <v>250906</v>
      </c>
      <c r="D336" s="20" t="str">
        <f t="shared" si="161"/>
        <v>高雄工業 静岡</v>
      </c>
      <c r="E336" s="20" t="str">
        <f t="shared" si="162"/>
        <v>LE HUU NGHI</v>
      </c>
      <c r="F336" s="20" t="str">
        <f t="shared" si="163"/>
        <v>レ　ヒュウ　ギー</v>
      </c>
      <c r="G336" s="11"/>
      <c r="H336" s="11"/>
      <c r="I336" s="11"/>
      <c r="J336" s="65"/>
      <c r="O336" s="81"/>
      <c r="P336" s="81"/>
      <c r="Q336" s="81"/>
      <c r="R336" s="81"/>
      <c r="S336" s="81"/>
      <c r="T336" s="81"/>
      <c r="U336" s="81"/>
      <c r="V336" s="81"/>
      <c r="W336" s="82"/>
      <c r="X336" s="82"/>
      <c r="Y336" s="202"/>
      <c r="Z336" s="446"/>
      <c r="AA336" s="446"/>
      <c r="AB336" s="446"/>
      <c r="AC336" s="441"/>
      <c r="AD336" s="441"/>
      <c r="AE336" s="441">
        <v>8700</v>
      </c>
      <c r="AF336" s="493">
        <v>28700</v>
      </c>
      <c r="AG336" s="437">
        <v>20000</v>
      </c>
      <c r="AH336" s="437">
        <v>20000</v>
      </c>
      <c r="AI336" s="437">
        <v>20000</v>
      </c>
    </row>
    <row r="337" spans="1:35">
      <c r="A337" s="145">
        <v>45918</v>
      </c>
      <c r="B337" s="376"/>
      <c r="C337" s="27">
        <v>250905</v>
      </c>
      <c r="D337" s="20" t="str">
        <f t="shared" si="161"/>
        <v>高雄工業 静岡</v>
      </c>
      <c r="E337" s="20" t="str">
        <f t="shared" si="162"/>
        <v>PHAM QUOC THINH</v>
      </c>
      <c r="F337" s="20" t="str">
        <f t="shared" si="163"/>
        <v>ファム　クオック　ティン</v>
      </c>
      <c r="G337" s="11"/>
      <c r="H337" s="11"/>
      <c r="I337" s="11"/>
      <c r="J337" s="65"/>
      <c r="O337" s="81"/>
      <c r="P337" s="81"/>
      <c r="Q337" s="81"/>
      <c r="R337" s="81"/>
      <c r="S337" s="81"/>
      <c r="T337" s="81"/>
      <c r="U337" s="81"/>
      <c r="V337" s="81"/>
      <c r="W337" s="82"/>
      <c r="X337" s="82"/>
      <c r="Y337" s="202"/>
      <c r="Z337" s="446"/>
      <c r="AA337" s="446"/>
      <c r="AB337" s="446"/>
      <c r="AC337" s="441"/>
      <c r="AD337" s="441"/>
      <c r="AE337" s="441">
        <v>8700</v>
      </c>
      <c r="AF337" s="493">
        <v>28700</v>
      </c>
      <c r="AG337" s="437">
        <v>20000</v>
      </c>
      <c r="AH337" s="437">
        <v>20000</v>
      </c>
      <c r="AI337" s="437">
        <v>20000</v>
      </c>
    </row>
    <row r="338" spans="1:35">
      <c r="F338" s="160"/>
      <c r="J338" s="74"/>
      <c r="K338" s="10"/>
      <c r="L338" s="10"/>
      <c r="M338" s="88"/>
      <c r="N338" s="88"/>
      <c r="O338" s="88"/>
      <c r="P338" s="88"/>
      <c r="Q338" s="88"/>
      <c r="R338" s="88"/>
      <c r="S338" s="88"/>
      <c r="T338" s="88"/>
      <c r="U338" s="88"/>
      <c r="V338" s="88"/>
      <c r="W338" s="88"/>
      <c r="X338" s="88"/>
      <c r="Y338" s="410"/>
      <c r="Z338" s="438"/>
      <c r="AA338" s="438"/>
      <c r="AB338" s="438"/>
      <c r="AF338" s="538"/>
    </row>
    <row r="339" spans="1:35">
      <c r="C339" s="28"/>
      <c r="D339" s="28"/>
      <c r="E339" s="28" t="s">
        <v>2457</v>
      </c>
      <c r="F339" s="174"/>
      <c r="G339" s="232"/>
      <c r="H339" s="232"/>
      <c r="I339" s="210" t="s">
        <v>600</v>
      </c>
      <c r="J339" s="74"/>
      <c r="K339" s="10"/>
      <c r="L339" s="10"/>
      <c r="M339" s="88"/>
      <c r="N339" s="88"/>
      <c r="O339" s="88"/>
      <c r="P339" s="88"/>
      <c r="Q339" s="88"/>
      <c r="R339" s="88"/>
      <c r="S339" s="88"/>
      <c r="T339" s="88"/>
      <c r="U339" s="88"/>
      <c r="V339" s="88"/>
      <c r="W339" s="88"/>
      <c r="X339" s="88"/>
      <c r="Y339" s="410"/>
      <c r="Z339" s="438"/>
      <c r="AA339" s="438"/>
      <c r="AB339" s="438"/>
    </row>
    <row r="340" spans="1:35">
      <c r="A340" s="145" t="s">
        <v>1</v>
      </c>
      <c r="B340" s="376" t="s">
        <v>529</v>
      </c>
      <c r="C340" s="27" t="s">
        <v>2</v>
      </c>
      <c r="D340" s="27" t="s">
        <v>2532</v>
      </c>
      <c r="E340" s="27" t="s">
        <v>2433</v>
      </c>
      <c r="F340" s="165"/>
      <c r="G340" s="22" t="s">
        <v>629</v>
      </c>
      <c r="H340" s="22"/>
      <c r="I340" s="22" t="s">
        <v>3</v>
      </c>
      <c r="J340" s="90"/>
      <c r="K340" s="91"/>
      <c r="L340" s="91"/>
      <c r="M340" s="92"/>
      <c r="N340" s="92"/>
      <c r="O340" s="92"/>
      <c r="P340" s="92"/>
      <c r="Q340" s="92"/>
      <c r="R340" s="92"/>
      <c r="S340" s="92"/>
      <c r="T340" s="92"/>
      <c r="U340" s="92"/>
      <c r="V340" s="92"/>
      <c r="W340" s="92"/>
      <c r="X340" s="92"/>
      <c r="Y340" s="411"/>
      <c r="Z340" s="439"/>
      <c r="AA340" s="439"/>
      <c r="AB340" s="439"/>
    </row>
    <row r="341" spans="1:35">
      <c r="A341" s="145">
        <v>45180</v>
      </c>
      <c r="B341" s="376">
        <v>45961</v>
      </c>
      <c r="C341" s="27">
        <v>230808</v>
      </c>
      <c r="D341" s="20" t="str">
        <f t="shared" si="140"/>
        <v>高雄工業 静岡</v>
      </c>
      <c r="E341" s="20" t="str">
        <f t="shared" si="141"/>
        <v>NGUYEN CONG THANH</v>
      </c>
      <c r="F341" s="20" t="str">
        <f t="shared" si="142"/>
        <v>グエン　コン　タイン</v>
      </c>
      <c r="G341" s="236"/>
      <c r="H341" s="236"/>
      <c r="I341" s="11">
        <v>20000</v>
      </c>
      <c r="J341" s="65"/>
      <c r="K341" s="11">
        <v>20000</v>
      </c>
      <c r="L341" s="11">
        <v>20000</v>
      </c>
      <c r="M341" s="81">
        <v>20000</v>
      </c>
      <c r="N341" s="81">
        <v>20000</v>
      </c>
      <c r="O341" s="81">
        <v>20000</v>
      </c>
      <c r="P341" s="81">
        <v>20000</v>
      </c>
      <c r="Q341" s="81">
        <v>20000</v>
      </c>
      <c r="R341" s="81">
        <v>20000</v>
      </c>
      <c r="S341" s="81">
        <v>20000</v>
      </c>
      <c r="T341" s="81">
        <v>20000</v>
      </c>
      <c r="U341" s="81">
        <v>20000</v>
      </c>
      <c r="V341" s="81">
        <v>20000</v>
      </c>
      <c r="W341" s="81">
        <v>20000</v>
      </c>
      <c r="X341" s="81">
        <v>20000</v>
      </c>
      <c r="Y341" s="413">
        <v>20000</v>
      </c>
      <c r="Z341" s="441">
        <v>20000</v>
      </c>
      <c r="AA341" s="441">
        <v>20000</v>
      </c>
      <c r="AB341" s="441">
        <v>20000</v>
      </c>
      <c r="AC341" s="441">
        <v>20000</v>
      </c>
      <c r="AD341" s="441">
        <v>20000</v>
      </c>
      <c r="AE341" s="437">
        <v>20000</v>
      </c>
      <c r="AF341" s="437">
        <v>40000</v>
      </c>
    </row>
    <row r="342" spans="1:35" hidden="1">
      <c r="A342" s="145">
        <v>45180</v>
      </c>
      <c r="B342" s="376">
        <v>45580</v>
      </c>
      <c r="C342" s="27">
        <v>230810</v>
      </c>
      <c r="D342" s="20" t="str">
        <f t="shared" ref="D342:D345" si="164">IF(C342="","",_xlfn.XLOOKUP(C342,社員№,派遣先,"",0,-1))</f>
        <v>高雄工業 静岡</v>
      </c>
      <c r="E342" s="20" t="str">
        <f t="shared" ref="E342:E345" si="165">IF(C342="","",_xlfn.XLOOKUP(C342,社員№,氏名,"",0,-1))</f>
        <v>DANG TRONG BA</v>
      </c>
      <c r="F342" s="20" t="str">
        <f t="shared" ref="F342:F345" si="166">IF(C342="","",_xlfn.XLOOKUP(C342,社員№,カナ,"",0,-1))</f>
        <v>ダン　チョン　バ</v>
      </c>
      <c r="G342" s="11"/>
      <c r="H342" s="11"/>
      <c r="I342" s="11">
        <v>20000</v>
      </c>
      <c r="J342" s="65"/>
      <c r="K342" s="11">
        <v>20000</v>
      </c>
      <c r="L342" s="11">
        <v>20000</v>
      </c>
      <c r="M342" s="81">
        <v>20000</v>
      </c>
      <c r="N342" s="81">
        <v>20000</v>
      </c>
      <c r="O342" s="81">
        <v>20000</v>
      </c>
      <c r="P342" s="81">
        <v>20000</v>
      </c>
      <c r="Q342" s="81">
        <v>20000</v>
      </c>
      <c r="R342" s="81">
        <v>20000</v>
      </c>
      <c r="S342" s="81">
        <v>20000</v>
      </c>
      <c r="T342" s="81">
        <f>20000+20000</f>
        <v>40000</v>
      </c>
      <c r="U342" s="81">
        <v>0</v>
      </c>
      <c r="V342" s="81">
        <v>0</v>
      </c>
      <c r="W342" s="81">
        <v>0</v>
      </c>
      <c r="X342" s="81">
        <v>0</v>
      </c>
      <c r="Y342" s="413">
        <v>0</v>
      </c>
      <c r="Z342" s="441">
        <v>0</v>
      </c>
      <c r="AA342" s="441">
        <v>0</v>
      </c>
      <c r="AB342" s="441">
        <v>0</v>
      </c>
      <c r="AC342" s="441">
        <v>20000</v>
      </c>
      <c r="AD342" s="441">
        <v>20000</v>
      </c>
      <c r="AE342" s="437">
        <v>20000</v>
      </c>
      <c r="AF342" s="437">
        <v>20000</v>
      </c>
    </row>
    <row r="343" spans="1:35">
      <c r="A343" s="145">
        <v>45637</v>
      </c>
      <c r="B343" s="376"/>
      <c r="C343" s="27">
        <v>241211</v>
      </c>
      <c r="D343" s="20" t="str">
        <f t="shared" si="164"/>
        <v>高雄工業 静岡</v>
      </c>
      <c r="E343" s="20" t="str">
        <f t="shared" si="165"/>
        <v>DO BA HOANG</v>
      </c>
      <c r="F343" s="20" t="str">
        <f t="shared" si="166"/>
        <v>ド　バ　ホアン</v>
      </c>
      <c r="G343" s="11"/>
      <c r="H343" s="11"/>
      <c r="I343" s="11">
        <v>20000</v>
      </c>
      <c r="J343" s="65"/>
      <c r="O343" s="81"/>
      <c r="P343" s="81"/>
      <c r="Q343" s="81"/>
      <c r="R343" s="81"/>
      <c r="S343" s="81"/>
      <c r="T343" s="81"/>
      <c r="U343" s="81"/>
      <c r="V343" s="81">
        <v>13548</v>
      </c>
      <c r="W343" s="81">
        <v>20000</v>
      </c>
      <c r="X343" s="81">
        <v>20000</v>
      </c>
      <c r="Y343" s="413">
        <v>20000</v>
      </c>
      <c r="Z343" s="441">
        <v>20000</v>
      </c>
      <c r="AA343" s="441">
        <v>20000</v>
      </c>
      <c r="AB343" s="441">
        <v>20000</v>
      </c>
      <c r="AC343" s="441">
        <v>20000</v>
      </c>
      <c r="AD343" s="441">
        <v>20000</v>
      </c>
      <c r="AE343" s="437">
        <v>20000</v>
      </c>
      <c r="AF343" s="437">
        <v>20000</v>
      </c>
      <c r="AG343" s="437">
        <v>20000</v>
      </c>
      <c r="AH343" s="437">
        <v>20000</v>
      </c>
      <c r="AI343" s="437">
        <v>20000</v>
      </c>
    </row>
    <row r="344" spans="1:35">
      <c r="A344" s="145">
        <v>45637</v>
      </c>
      <c r="B344" s="376"/>
      <c r="C344" s="27">
        <v>241214</v>
      </c>
      <c r="D344" s="20" t="str">
        <f t="shared" si="164"/>
        <v>高雄工業 静岡</v>
      </c>
      <c r="E344" s="20" t="str">
        <f t="shared" si="165"/>
        <v>PHAM VAN NGHIA</v>
      </c>
      <c r="F344" s="20" t="str">
        <f t="shared" si="166"/>
        <v>ファム　バン　ギア</v>
      </c>
      <c r="G344" s="11"/>
      <c r="H344" s="11"/>
      <c r="I344" s="11">
        <v>20000</v>
      </c>
      <c r="J344" s="65"/>
      <c r="O344" s="81"/>
      <c r="P344" s="81"/>
      <c r="Q344" s="81"/>
      <c r="R344" s="81"/>
      <c r="S344" s="81"/>
      <c r="T344" s="81"/>
      <c r="U344" s="81"/>
      <c r="V344" s="81">
        <v>13548</v>
      </c>
      <c r="W344" s="81">
        <v>20000</v>
      </c>
      <c r="X344" s="81">
        <v>20000</v>
      </c>
      <c r="Y344" s="413">
        <v>20000</v>
      </c>
      <c r="Z344" s="441">
        <v>20000</v>
      </c>
      <c r="AA344" s="441">
        <v>20000</v>
      </c>
      <c r="AB344" s="441">
        <v>20000</v>
      </c>
      <c r="AC344" s="441">
        <v>20000</v>
      </c>
      <c r="AD344" s="441">
        <v>20000</v>
      </c>
      <c r="AE344" s="437">
        <v>20000</v>
      </c>
      <c r="AF344" s="437">
        <v>20000</v>
      </c>
      <c r="AG344" s="437">
        <v>20000</v>
      </c>
      <c r="AH344" s="437">
        <v>20000</v>
      </c>
      <c r="AI344" s="437">
        <v>20000</v>
      </c>
    </row>
    <row r="345" spans="1:35">
      <c r="A345" s="145">
        <v>45946</v>
      </c>
      <c r="B345" s="485">
        <v>46040</v>
      </c>
      <c r="C345" s="27">
        <v>251010</v>
      </c>
      <c r="D345" s="20" t="str">
        <f t="shared" si="164"/>
        <v>高雄工業 静岡</v>
      </c>
      <c r="E345" s="20" t="str">
        <f t="shared" si="165"/>
        <v>TRAN QUY TRONG</v>
      </c>
      <c r="F345" s="20" t="str">
        <f t="shared" si="166"/>
        <v>チャン　クイ　チョン</v>
      </c>
      <c r="G345" s="11"/>
      <c r="H345" s="11"/>
      <c r="I345" s="11"/>
      <c r="J345" s="65"/>
      <c r="O345" s="81"/>
      <c r="P345" s="81"/>
      <c r="Q345" s="81"/>
      <c r="R345" s="81"/>
      <c r="S345" s="81"/>
      <c r="T345" s="81"/>
      <c r="U345" s="81"/>
      <c r="V345" s="81"/>
      <c r="W345" s="81"/>
      <c r="X345" s="81"/>
      <c r="Y345" s="413"/>
      <c r="Z345" s="441"/>
      <c r="AA345" s="441"/>
      <c r="AB345" s="441"/>
      <c r="AC345" s="441"/>
      <c r="AD345" s="441"/>
      <c r="AE345" s="441"/>
      <c r="AF345" s="437">
        <v>10323</v>
      </c>
      <c r="AG345" s="437">
        <v>20000</v>
      </c>
      <c r="AH345" s="437">
        <v>20000</v>
      </c>
      <c r="AI345" s="448">
        <v>0</v>
      </c>
    </row>
    <row r="346" spans="1:35">
      <c r="A346" s="147"/>
      <c r="F346" s="160"/>
      <c r="J346" s="74"/>
      <c r="K346" s="10"/>
      <c r="L346" s="10"/>
      <c r="M346" s="88"/>
      <c r="N346" s="88"/>
      <c r="O346" s="88"/>
      <c r="P346" s="88"/>
      <c r="Q346" s="88"/>
      <c r="R346" s="88"/>
      <c r="S346" s="88"/>
      <c r="T346" s="88"/>
      <c r="U346" s="88"/>
      <c r="V346" s="88"/>
      <c r="W346" s="88"/>
      <c r="X346" s="88"/>
      <c r="Y346" s="410"/>
      <c r="Z346" s="438"/>
      <c r="AA346" s="438"/>
      <c r="AB346" s="438"/>
      <c r="AF346" s="538"/>
    </row>
    <row r="347" spans="1:35">
      <c r="A347" s="147"/>
      <c r="C347" s="28"/>
      <c r="D347" s="28"/>
      <c r="E347" s="28" t="s">
        <v>45</v>
      </c>
      <c r="F347" s="174"/>
      <c r="G347" s="210">
        <v>51500</v>
      </c>
      <c r="H347" s="210">
        <v>56500</v>
      </c>
      <c r="I347" s="210" t="s">
        <v>584</v>
      </c>
      <c r="J347" s="74"/>
      <c r="K347" s="10"/>
      <c r="L347" s="10"/>
      <c r="M347" s="88"/>
      <c r="N347" s="88"/>
      <c r="O347" s="88"/>
      <c r="P347" s="88"/>
      <c r="Q347" s="88"/>
      <c r="R347" s="88"/>
      <c r="S347" s="88"/>
      <c r="T347" s="88"/>
      <c r="U347" s="88"/>
      <c r="V347" s="88"/>
      <c r="W347" s="88"/>
      <c r="X347" s="88"/>
      <c r="Y347" s="410"/>
      <c r="Z347" s="438"/>
      <c r="AA347" s="438"/>
      <c r="AB347" s="438"/>
    </row>
    <row r="348" spans="1:35">
      <c r="A348" s="148" t="s">
        <v>1</v>
      </c>
      <c r="B348" s="377" t="s">
        <v>529</v>
      </c>
      <c r="C348" s="27" t="s">
        <v>2</v>
      </c>
      <c r="D348" s="27" t="s">
        <v>2532</v>
      </c>
      <c r="E348" s="27" t="s">
        <v>2433</v>
      </c>
      <c r="F348" s="165"/>
      <c r="G348" s="22" t="s">
        <v>629</v>
      </c>
      <c r="H348" s="22"/>
      <c r="I348" s="22" t="s">
        <v>3</v>
      </c>
      <c r="J348" s="90"/>
      <c r="K348" s="91"/>
      <c r="L348" s="91"/>
      <c r="M348" s="92"/>
      <c r="N348" s="92"/>
      <c r="O348" s="92"/>
      <c r="P348" s="92"/>
      <c r="Q348" s="92"/>
      <c r="R348" s="92"/>
      <c r="S348" s="92"/>
      <c r="T348" s="92"/>
      <c r="U348" s="92"/>
      <c r="V348" s="92"/>
      <c r="W348" s="92"/>
      <c r="X348" s="92"/>
      <c r="Y348" s="411"/>
      <c r="Z348" s="439"/>
      <c r="AA348" s="439"/>
      <c r="AB348" s="439"/>
    </row>
    <row r="349" spans="1:35" hidden="1">
      <c r="A349" s="145">
        <v>44699</v>
      </c>
      <c r="B349" s="376">
        <v>45716</v>
      </c>
      <c r="C349" s="27">
        <v>220522</v>
      </c>
      <c r="D349" s="20" t="str">
        <f t="shared" si="140"/>
        <v>高雄工業 静岡</v>
      </c>
      <c r="E349" s="20" t="str">
        <f t="shared" si="141"/>
        <v>NGUYEN DINH THANH</v>
      </c>
      <c r="F349" s="20" t="str">
        <f t="shared" si="142"/>
        <v>グエン　ディン　タイン</v>
      </c>
      <c r="G349" s="11"/>
      <c r="H349" s="11"/>
      <c r="I349" s="11">
        <v>28250</v>
      </c>
      <c r="J349" s="65">
        <v>19000</v>
      </c>
      <c r="K349" s="11">
        <v>28250</v>
      </c>
      <c r="L349" s="11">
        <v>28250</v>
      </c>
      <c r="M349" s="81">
        <v>28250</v>
      </c>
      <c r="N349" s="81">
        <v>28250</v>
      </c>
      <c r="O349" s="81">
        <v>28250</v>
      </c>
      <c r="P349" s="81">
        <v>28250</v>
      </c>
      <c r="Q349" s="81">
        <v>28250</v>
      </c>
      <c r="R349" s="81">
        <v>28250</v>
      </c>
      <c r="S349" s="81">
        <v>28250</v>
      </c>
      <c r="T349" s="81">
        <v>28250</v>
      </c>
      <c r="U349" s="81">
        <v>28250</v>
      </c>
      <c r="V349" s="81">
        <v>28250</v>
      </c>
      <c r="W349" s="81">
        <v>28250</v>
      </c>
      <c r="X349" s="81">
        <f t="shared" ref="X349:X351" si="167">11908+11536</f>
        <v>23444</v>
      </c>
      <c r="Y349" s="413">
        <v>0</v>
      </c>
      <c r="Z349" s="441">
        <v>0</v>
      </c>
      <c r="AA349" s="441">
        <v>0</v>
      </c>
      <c r="AB349" s="441">
        <v>0</v>
      </c>
      <c r="AC349" s="475"/>
    </row>
    <row r="350" spans="1:35" hidden="1">
      <c r="A350" s="145">
        <v>45498</v>
      </c>
      <c r="B350" s="376">
        <v>45639</v>
      </c>
      <c r="C350" s="27">
        <v>240802</v>
      </c>
      <c r="D350" s="20" t="str">
        <f t="shared" ref="D350:D352" si="168">IF(C350="","",_xlfn.XLOOKUP(C350,社員№,派遣先,"",0,-1))</f>
        <v>高雄工業 静岡</v>
      </c>
      <c r="E350" s="20" t="str">
        <f t="shared" ref="E350:E352" si="169">IF(C350="","",_xlfn.XLOOKUP(C350,社員№,氏名,"",0,-1))</f>
        <v>NGUYEN MANH CUONG</v>
      </c>
      <c r="F350" s="20" t="str">
        <f t="shared" ref="F350:F352" si="170">IF(C350="","",_xlfn.XLOOKUP(C350,社員№,カナ,"",0,-1))</f>
        <v>グエン　マン　クオン</v>
      </c>
      <c r="G350" s="11"/>
      <c r="H350" s="11"/>
      <c r="I350" s="11">
        <v>28250</v>
      </c>
      <c r="J350" s="65"/>
      <c r="K350" s="4">
        <v>18226</v>
      </c>
      <c r="L350" s="11">
        <v>46476</v>
      </c>
      <c r="M350" s="81">
        <v>28250</v>
      </c>
      <c r="N350" s="81">
        <v>28250</v>
      </c>
      <c r="O350" s="81">
        <v>28250</v>
      </c>
      <c r="P350" s="81">
        <v>0</v>
      </c>
      <c r="Q350" s="118">
        <v>6379</v>
      </c>
      <c r="R350" s="81">
        <f>6379+28250</f>
        <v>34629</v>
      </c>
      <c r="S350" s="81">
        <v>28250</v>
      </c>
      <c r="T350" s="81">
        <v>28250</v>
      </c>
      <c r="U350" s="81">
        <v>28250</v>
      </c>
      <c r="V350" s="81">
        <f>28250+20000</f>
        <v>48250</v>
      </c>
      <c r="W350" s="81">
        <v>0</v>
      </c>
      <c r="X350" s="81">
        <v>0</v>
      </c>
      <c r="Y350" s="413">
        <v>0</v>
      </c>
      <c r="Z350" s="441">
        <v>0</v>
      </c>
      <c r="AA350" s="441">
        <v>0</v>
      </c>
      <c r="AB350" s="441">
        <v>0</v>
      </c>
    </row>
    <row r="351" spans="1:35">
      <c r="A351" s="145">
        <v>45667</v>
      </c>
      <c r="B351" s="376"/>
      <c r="C351" s="27">
        <v>250111</v>
      </c>
      <c r="D351" s="20" t="str">
        <f t="shared" si="168"/>
        <v>高雄工業 静岡</v>
      </c>
      <c r="E351" s="20" t="str">
        <f t="shared" si="169"/>
        <v>NGUYEN VO HUU THANG</v>
      </c>
      <c r="F351" s="20" t="str">
        <f t="shared" si="170"/>
        <v>グエン　ヴォ　ヒュウ　タン</v>
      </c>
      <c r="G351" s="11"/>
      <c r="H351" s="11"/>
      <c r="I351" s="11">
        <v>28250</v>
      </c>
      <c r="J351" s="65">
        <v>19000</v>
      </c>
      <c r="O351" s="81"/>
      <c r="P351" s="81"/>
      <c r="Q351" s="81"/>
      <c r="R351" s="81"/>
      <c r="S351" s="81"/>
      <c r="T351" s="81"/>
      <c r="U351" s="81"/>
      <c r="V351" s="81"/>
      <c r="W351" s="81">
        <v>20048</v>
      </c>
      <c r="X351" s="81">
        <f t="shared" si="167"/>
        <v>23444</v>
      </c>
      <c r="Y351" s="413">
        <v>28250</v>
      </c>
      <c r="Z351" s="441">
        <v>28250</v>
      </c>
      <c r="AA351" s="441">
        <v>28250</v>
      </c>
      <c r="AB351" s="441">
        <v>28250</v>
      </c>
      <c r="AC351" s="441">
        <v>28250</v>
      </c>
      <c r="AD351" s="441">
        <v>28250</v>
      </c>
      <c r="AE351" s="437">
        <v>28250</v>
      </c>
      <c r="AF351" s="437">
        <v>28250</v>
      </c>
      <c r="AG351" s="437">
        <v>28250</v>
      </c>
      <c r="AH351" s="437">
        <v>28250</v>
      </c>
      <c r="AI351" s="437">
        <v>28250</v>
      </c>
    </row>
    <row r="352" spans="1:35">
      <c r="A352" s="145">
        <v>45700</v>
      </c>
      <c r="B352" s="376"/>
      <c r="C352" s="27">
        <v>250110</v>
      </c>
      <c r="D352" s="20" t="str">
        <f t="shared" si="168"/>
        <v>高雄工業 静岡</v>
      </c>
      <c r="E352" s="20" t="str">
        <f t="shared" si="169"/>
        <v>TRAN PHAT LOI</v>
      </c>
      <c r="F352" s="20" t="str">
        <f t="shared" si="170"/>
        <v>チャン　ファット　ロイ</v>
      </c>
      <c r="G352" s="11"/>
      <c r="H352" s="11"/>
      <c r="I352" s="11"/>
      <c r="J352" s="65"/>
      <c r="O352" s="81"/>
      <c r="P352" s="81"/>
      <c r="Q352" s="81"/>
      <c r="R352" s="81"/>
      <c r="S352" s="81"/>
      <c r="T352" s="81"/>
      <c r="U352" s="81"/>
      <c r="V352" s="81"/>
      <c r="W352" s="81"/>
      <c r="X352" s="81">
        <f>11143+11536</f>
        <v>22679</v>
      </c>
      <c r="Y352" s="413">
        <v>28250</v>
      </c>
      <c r="Z352" s="441">
        <v>28250</v>
      </c>
      <c r="AA352" s="441">
        <v>28250</v>
      </c>
      <c r="AB352" s="441">
        <v>28250</v>
      </c>
      <c r="AC352" s="441">
        <v>28250</v>
      </c>
      <c r="AD352" s="441">
        <v>28250</v>
      </c>
      <c r="AE352" s="437">
        <v>28250</v>
      </c>
      <c r="AF352" s="437">
        <v>28250</v>
      </c>
      <c r="AG352" s="437">
        <v>28250</v>
      </c>
      <c r="AH352" s="437">
        <v>28250</v>
      </c>
      <c r="AI352" s="437">
        <v>28250</v>
      </c>
    </row>
    <row r="353" spans="1:35">
      <c r="F353" s="160"/>
      <c r="G353" s="10"/>
      <c r="H353" s="10"/>
      <c r="I353" s="10"/>
      <c r="J353" s="74"/>
      <c r="K353" s="10"/>
      <c r="L353" s="10"/>
      <c r="M353" s="88"/>
      <c r="N353" s="88"/>
      <c r="O353" s="88"/>
      <c r="P353" s="88"/>
      <c r="Q353" s="88"/>
      <c r="R353" s="88"/>
      <c r="S353" s="88"/>
      <c r="T353" s="88"/>
      <c r="U353" s="88"/>
      <c r="V353" s="88"/>
      <c r="W353" s="88"/>
      <c r="X353" s="88"/>
      <c r="Y353" s="410"/>
      <c r="Z353" s="438"/>
      <c r="AA353" s="438"/>
      <c r="AB353" s="438"/>
    </row>
    <row r="354" spans="1:35">
      <c r="A354" s="147"/>
      <c r="C354" s="28"/>
      <c r="D354" s="28"/>
      <c r="E354" s="28" t="s">
        <v>250</v>
      </c>
      <c r="F354" s="174"/>
      <c r="G354" s="210">
        <v>51800</v>
      </c>
      <c r="H354" s="210">
        <v>56800</v>
      </c>
      <c r="I354" s="210" t="s">
        <v>584</v>
      </c>
      <c r="J354" s="74"/>
      <c r="K354" s="10"/>
      <c r="L354" s="10"/>
      <c r="M354" s="88"/>
      <c r="N354" s="88"/>
      <c r="O354" s="88"/>
      <c r="P354" s="88"/>
      <c r="Q354" s="88"/>
      <c r="R354" s="88"/>
      <c r="S354" s="88"/>
      <c r="T354" s="88"/>
      <c r="U354" s="88"/>
      <c r="V354" s="88"/>
      <c r="W354" s="88"/>
      <c r="X354" s="88"/>
      <c r="Y354" s="410"/>
      <c r="Z354" s="438"/>
      <c r="AA354" s="438"/>
      <c r="AB354" s="438"/>
    </row>
    <row r="355" spans="1:35">
      <c r="A355" s="145" t="s">
        <v>1</v>
      </c>
      <c r="B355" s="376" t="s">
        <v>529</v>
      </c>
      <c r="C355" s="27" t="s">
        <v>2</v>
      </c>
      <c r="D355" s="27" t="s">
        <v>2532</v>
      </c>
      <c r="E355" s="27" t="s">
        <v>2433</v>
      </c>
      <c r="F355" s="165"/>
      <c r="G355" s="22" t="s">
        <v>629</v>
      </c>
      <c r="H355" s="22"/>
      <c r="I355" s="22" t="s">
        <v>3</v>
      </c>
      <c r="J355" s="90"/>
      <c r="K355" s="91"/>
      <c r="L355" s="91"/>
      <c r="M355" s="92"/>
      <c r="N355" s="92"/>
      <c r="O355" s="92"/>
      <c r="P355" s="92"/>
      <c r="Q355" s="92"/>
      <c r="R355" s="92"/>
      <c r="S355" s="92"/>
      <c r="T355" s="92"/>
      <c r="U355" s="92"/>
      <c r="V355" s="92"/>
      <c r="W355" s="92"/>
      <c r="X355" s="92"/>
      <c r="Y355" s="411"/>
      <c r="Z355" s="439"/>
      <c r="AA355" s="439"/>
      <c r="AB355" s="439"/>
    </row>
    <row r="356" spans="1:35">
      <c r="A356" s="145">
        <v>45007</v>
      </c>
      <c r="B356" s="376"/>
      <c r="C356" s="27">
        <v>230318</v>
      </c>
      <c r="D356" s="20" t="str">
        <f t="shared" ref="D356:D419" si="171">IF(C356="","",_xlfn.XLOOKUP(C356,社員№,派遣先,"",0,-1))</f>
        <v>高雄工業 静岡</v>
      </c>
      <c r="E356" s="20" t="str">
        <f t="shared" ref="E356:E419" si="172">IF(C356="","",_xlfn.XLOOKUP(C356,社員№,氏名,"",0,-1))</f>
        <v>NGUYEN CANH HOANG</v>
      </c>
      <c r="F356" s="20" t="str">
        <f t="shared" ref="F356:F419" si="173">IF(C356="","",_xlfn.XLOOKUP(C356,社員№,カナ,"",0,-1))</f>
        <v>グエン　カン　ホアン</v>
      </c>
      <c r="G356" s="11"/>
      <c r="H356" s="11"/>
      <c r="I356" s="11">
        <v>28400</v>
      </c>
      <c r="J356" s="65"/>
      <c r="K356" s="11">
        <v>28400</v>
      </c>
      <c r="L356" s="11">
        <v>28400</v>
      </c>
      <c r="M356" s="81">
        <v>28400</v>
      </c>
      <c r="N356" s="81">
        <v>28400</v>
      </c>
      <c r="O356" s="130">
        <v>28400</v>
      </c>
      <c r="P356" s="130">
        <v>28400</v>
      </c>
      <c r="Q356" s="130">
        <v>28400</v>
      </c>
      <c r="R356" s="130">
        <v>28400</v>
      </c>
      <c r="S356" s="130">
        <v>28400</v>
      </c>
      <c r="T356" s="130">
        <v>28400</v>
      </c>
      <c r="U356" s="130">
        <v>28400</v>
      </c>
      <c r="V356" s="130">
        <v>28400</v>
      </c>
      <c r="W356" s="130">
        <v>28400</v>
      </c>
      <c r="X356" s="130">
        <v>28400</v>
      </c>
      <c r="Y356" s="408">
        <v>28400</v>
      </c>
      <c r="Z356" s="437">
        <v>28400</v>
      </c>
      <c r="AA356" s="437">
        <v>28400</v>
      </c>
      <c r="AB356" s="437">
        <v>28400</v>
      </c>
      <c r="AC356" s="437">
        <v>28400</v>
      </c>
      <c r="AD356" s="437">
        <v>28400</v>
      </c>
      <c r="AE356" s="437">
        <v>28400</v>
      </c>
      <c r="AF356" s="437">
        <v>28400</v>
      </c>
      <c r="AG356" s="437">
        <v>28400</v>
      </c>
      <c r="AH356" s="437">
        <v>28400</v>
      </c>
      <c r="AI356" s="437">
        <v>28400</v>
      </c>
    </row>
    <row r="357" spans="1:35">
      <c r="A357" s="145">
        <v>45502</v>
      </c>
      <c r="B357" s="376"/>
      <c r="C357" s="27">
        <v>240803</v>
      </c>
      <c r="D357" s="20" t="str">
        <f t="shared" ref="D357" si="174">IF(C357="","",_xlfn.XLOOKUP(C357,社員№,派遣先,"",0,-1))</f>
        <v>高雄工業 静岡</v>
      </c>
      <c r="E357" s="20" t="str">
        <f t="shared" ref="E357" si="175">IF(C357="","",_xlfn.XLOOKUP(C357,社員№,氏名,"",0,-1))</f>
        <v>NGUYEN VAN TUYEN</v>
      </c>
      <c r="F357" s="20" t="str">
        <f t="shared" ref="F357" si="176">IF(C357="","",_xlfn.XLOOKUP(C357,社員№,カナ,"",0,-1))</f>
        <v>グエン　バン　トゥエン</v>
      </c>
      <c r="G357" s="11"/>
      <c r="H357" s="11"/>
      <c r="I357" s="11">
        <v>28400</v>
      </c>
      <c r="J357" s="65"/>
      <c r="Q357" s="157">
        <v>2748</v>
      </c>
      <c r="R357" s="133">
        <f>2748+28400</f>
        <v>31148</v>
      </c>
      <c r="S357" s="133">
        <v>28400</v>
      </c>
      <c r="T357" s="133">
        <v>28400</v>
      </c>
      <c r="U357" s="133">
        <v>28400</v>
      </c>
      <c r="V357" s="133">
        <v>28400</v>
      </c>
      <c r="W357" s="133">
        <v>28400</v>
      </c>
      <c r="X357" s="133">
        <v>28400</v>
      </c>
      <c r="Y357" s="415">
        <v>28400</v>
      </c>
      <c r="Z357" s="444">
        <v>28400</v>
      </c>
      <c r="AA357" s="444">
        <v>28400</v>
      </c>
      <c r="AB357" s="444">
        <v>28400</v>
      </c>
      <c r="AC357" s="437">
        <v>28400</v>
      </c>
      <c r="AD357" s="437">
        <v>28400</v>
      </c>
      <c r="AE357" s="437">
        <v>28400</v>
      </c>
      <c r="AF357" s="437">
        <v>28400</v>
      </c>
      <c r="AG357" s="437">
        <v>28400</v>
      </c>
      <c r="AH357" s="437">
        <v>28400</v>
      </c>
      <c r="AI357" s="437">
        <v>28400</v>
      </c>
    </row>
    <row r="358" spans="1:35">
      <c r="F358" s="160"/>
      <c r="G358" s="10"/>
      <c r="H358" s="10"/>
      <c r="I358" s="10"/>
      <c r="J358" s="74"/>
      <c r="K358" s="10"/>
      <c r="L358" s="10"/>
      <c r="M358" s="88"/>
      <c r="N358" s="88"/>
      <c r="O358" s="88"/>
      <c r="P358" s="88"/>
      <c r="Q358" s="88"/>
      <c r="R358" s="88"/>
      <c r="S358" s="88"/>
      <c r="T358" s="88"/>
      <c r="U358" s="88"/>
      <c r="V358" s="88"/>
      <c r="W358" s="88"/>
      <c r="X358" s="88"/>
      <c r="Y358" s="410"/>
      <c r="Z358" s="438"/>
      <c r="AA358" s="438"/>
      <c r="AB358" s="438"/>
    </row>
    <row r="359" spans="1:35">
      <c r="C359" s="28"/>
      <c r="D359" s="28"/>
      <c r="E359" s="28" t="s">
        <v>325</v>
      </c>
      <c r="F359" s="174"/>
      <c r="G359" s="210">
        <v>51800</v>
      </c>
      <c r="H359" s="210">
        <v>56800</v>
      </c>
      <c r="I359" s="210" t="s">
        <v>584</v>
      </c>
      <c r="J359" s="90"/>
      <c r="K359" s="10"/>
      <c r="L359" s="10"/>
      <c r="M359" s="88"/>
      <c r="N359" s="88"/>
      <c r="O359" s="88"/>
      <c r="P359" s="88"/>
      <c r="Q359" s="88"/>
      <c r="R359" s="88"/>
      <c r="S359" s="88"/>
      <c r="T359" s="88"/>
      <c r="U359" s="88"/>
      <c r="V359" s="88"/>
      <c r="W359" s="88"/>
      <c r="X359" s="88"/>
      <c r="Y359" s="410"/>
      <c r="Z359" s="438"/>
      <c r="AA359" s="438"/>
      <c r="AB359" s="438"/>
    </row>
    <row r="360" spans="1:35">
      <c r="A360" s="145" t="s">
        <v>1</v>
      </c>
      <c r="B360" s="376" t="s">
        <v>529</v>
      </c>
      <c r="C360" s="27" t="s">
        <v>2</v>
      </c>
      <c r="D360" s="27" t="s">
        <v>2532</v>
      </c>
      <c r="E360" s="27" t="s">
        <v>2433</v>
      </c>
      <c r="F360" s="165"/>
      <c r="G360" s="11" t="s">
        <v>629</v>
      </c>
      <c r="H360" s="11"/>
      <c r="I360" s="11" t="s">
        <v>3</v>
      </c>
      <c r="J360" s="65" t="s">
        <v>251</v>
      </c>
      <c r="K360" s="89"/>
      <c r="L360" s="91"/>
      <c r="M360" s="92"/>
      <c r="N360" s="92"/>
      <c r="O360" s="92"/>
      <c r="P360" s="92"/>
      <c r="Q360" s="92"/>
      <c r="R360" s="92"/>
      <c r="S360" s="92"/>
      <c r="T360" s="92"/>
      <c r="U360" s="92"/>
      <c r="V360" s="92"/>
      <c r="W360" s="92"/>
      <c r="X360" s="92"/>
      <c r="Y360" s="411"/>
      <c r="Z360" s="439"/>
      <c r="AA360" s="439"/>
      <c r="AB360" s="439"/>
    </row>
    <row r="361" spans="1:35" hidden="1">
      <c r="A361" s="145">
        <v>45133</v>
      </c>
      <c r="B361" s="376">
        <v>45617</v>
      </c>
      <c r="C361" s="27">
        <v>230807</v>
      </c>
      <c r="D361" s="20" t="str">
        <f t="shared" si="171"/>
        <v>高雄工業 静岡</v>
      </c>
      <c r="E361" s="20" t="str">
        <f t="shared" si="172"/>
        <v>VAN DUC NHIEN</v>
      </c>
      <c r="F361" s="20" t="str">
        <f t="shared" si="173"/>
        <v>ヴァン　ドゥック　ニエン</v>
      </c>
      <c r="G361" s="11"/>
      <c r="H361" s="11"/>
      <c r="I361" s="11">
        <v>28400</v>
      </c>
      <c r="J361" s="65">
        <v>14200</v>
      </c>
      <c r="K361" s="11">
        <v>28400</v>
      </c>
      <c r="L361" s="11">
        <v>28400</v>
      </c>
      <c r="M361" s="81">
        <v>28400</v>
      </c>
      <c r="N361" s="81">
        <v>28400</v>
      </c>
      <c r="O361" s="130">
        <v>28400</v>
      </c>
      <c r="P361" s="130">
        <v>28400</v>
      </c>
      <c r="Q361" s="130">
        <v>28400</v>
      </c>
      <c r="R361" s="130">
        <v>28400</v>
      </c>
      <c r="S361" s="130">
        <v>28400</v>
      </c>
      <c r="T361" s="130">
        <v>28400</v>
      </c>
      <c r="U361" s="130">
        <f>28400+20000</f>
        <v>48400</v>
      </c>
      <c r="V361" s="130">
        <v>0</v>
      </c>
      <c r="W361" s="130">
        <v>0</v>
      </c>
      <c r="X361" s="130">
        <v>0</v>
      </c>
      <c r="Y361" s="408">
        <v>0</v>
      </c>
      <c r="Z361" s="437">
        <v>0</v>
      </c>
      <c r="AA361" s="437">
        <v>0</v>
      </c>
      <c r="AB361" s="437">
        <v>0</v>
      </c>
    </row>
    <row r="362" spans="1:35">
      <c r="A362" s="145">
        <v>45303</v>
      </c>
      <c r="B362" s="376"/>
      <c r="C362" s="27">
        <v>240104</v>
      </c>
      <c r="D362" s="20" t="str">
        <f t="shared" ref="D362:D363" si="177">IF(C362="","",_xlfn.XLOOKUP(C362,社員№,派遣先,"",0,-1))</f>
        <v>高雄工業 静岡</v>
      </c>
      <c r="E362" s="20" t="str">
        <f t="shared" ref="E362:E363" si="178">IF(C362="","",_xlfn.XLOOKUP(C362,社員№,氏名,"",0,-1))</f>
        <v>NGUYEN THE HUY</v>
      </c>
      <c r="F362" s="20" t="str">
        <f t="shared" ref="F362:F363" si="179">IF(C362="","",_xlfn.XLOOKUP(C362,社員№,カナ,"",0,-1))</f>
        <v>グエン　テ　フィ</v>
      </c>
      <c r="G362" s="11"/>
      <c r="H362" s="11"/>
      <c r="I362" s="11">
        <v>28400</v>
      </c>
      <c r="J362" s="65"/>
      <c r="K362" s="4">
        <v>18323</v>
      </c>
      <c r="L362" s="11">
        <v>46723</v>
      </c>
      <c r="M362" s="81">
        <v>28400</v>
      </c>
      <c r="N362" s="81">
        <v>28400</v>
      </c>
      <c r="O362" s="81">
        <v>28400</v>
      </c>
      <c r="P362" s="81">
        <v>28400</v>
      </c>
      <c r="Q362" s="81">
        <v>28400</v>
      </c>
      <c r="R362" s="81">
        <v>28400</v>
      </c>
      <c r="S362" s="81">
        <v>28400</v>
      </c>
      <c r="T362" s="81">
        <v>28400</v>
      </c>
      <c r="U362" s="81">
        <v>28400</v>
      </c>
      <c r="V362" s="81">
        <v>28400</v>
      </c>
      <c r="W362" s="81">
        <v>28400</v>
      </c>
      <c r="X362" s="81">
        <v>28400</v>
      </c>
      <c r="Y362" s="413">
        <v>28400</v>
      </c>
      <c r="Z362" s="441">
        <v>28400</v>
      </c>
      <c r="AA362" s="441">
        <v>28400</v>
      </c>
      <c r="AB362" s="441">
        <v>28400</v>
      </c>
      <c r="AC362" s="441">
        <v>28400</v>
      </c>
      <c r="AD362" s="441">
        <v>28400</v>
      </c>
      <c r="AE362" s="437">
        <v>28400</v>
      </c>
      <c r="AF362" s="437">
        <v>28400</v>
      </c>
      <c r="AG362" s="437">
        <v>28400</v>
      </c>
      <c r="AH362" s="437">
        <v>28400</v>
      </c>
      <c r="AI362" s="437">
        <v>28400</v>
      </c>
    </row>
    <row r="363" spans="1:35">
      <c r="A363" s="145">
        <v>45637</v>
      </c>
      <c r="B363" s="376"/>
      <c r="C363" s="27">
        <v>241213</v>
      </c>
      <c r="D363" s="20" t="str">
        <f t="shared" si="177"/>
        <v>高雄工業 静岡</v>
      </c>
      <c r="E363" s="20" t="str">
        <f t="shared" si="178"/>
        <v>NGUYEN HAI LONG</v>
      </c>
      <c r="F363" s="20" t="str">
        <f t="shared" si="179"/>
        <v>グエン　ハイ　ロン</v>
      </c>
      <c r="G363" s="11"/>
      <c r="H363" s="11"/>
      <c r="I363" s="11">
        <v>28400</v>
      </c>
      <c r="J363" s="65"/>
      <c r="K363" s="4"/>
      <c r="O363" s="81"/>
      <c r="P363" s="81"/>
      <c r="Q363" s="81"/>
      <c r="R363" s="81"/>
      <c r="S363" s="81"/>
      <c r="T363" s="81"/>
      <c r="U363" s="81"/>
      <c r="V363" s="81">
        <v>19239</v>
      </c>
      <c r="W363" s="81">
        <v>28400</v>
      </c>
      <c r="X363" s="81">
        <v>28400</v>
      </c>
      <c r="Y363" s="413">
        <v>28400</v>
      </c>
      <c r="Z363" s="441">
        <v>28400</v>
      </c>
      <c r="AA363" s="441">
        <v>28400</v>
      </c>
      <c r="AB363" s="441">
        <v>28400</v>
      </c>
      <c r="AC363" s="441">
        <v>28400</v>
      </c>
      <c r="AD363" s="441">
        <v>28400</v>
      </c>
      <c r="AE363" s="437">
        <v>28400</v>
      </c>
      <c r="AF363" s="437">
        <v>28400</v>
      </c>
      <c r="AG363" s="437">
        <v>28400</v>
      </c>
      <c r="AH363" s="437">
        <v>28400</v>
      </c>
      <c r="AI363" s="437">
        <v>28400</v>
      </c>
    </row>
    <row r="364" spans="1:35">
      <c r="F364" s="160"/>
      <c r="G364" s="10"/>
      <c r="H364" s="10"/>
      <c r="I364" s="10"/>
      <c r="J364" s="74"/>
      <c r="K364" s="10"/>
      <c r="L364" s="10"/>
      <c r="M364" s="88"/>
      <c r="N364" s="88"/>
      <c r="O364" s="88"/>
      <c r="P364" s="88"/>
      <c r="Q364" s="88"/>
      <c r="R364" s="88"/>
      <c r="S364" s="88"/>
      <c r="T364" s="88"/>
      <c r="U364" s="88"/>
      <c r="V364" s="88"/>
      <c r="W364" s="88"/>
      <c r="X364" s="88"/>
      <c r="Y364" s="410"/>
      <c r="Z364" s="438"/>
      <c r="AA364" s="438"/>
      <c r="AB364" s="438"/>
    </row>
    <row r="365" spans="1:35">
      <c r="C365" s="28"/>
      <c r="D365" s="28"/>
      <c r="E365" s="28" t="s">
        <v>492</v>
      </c>
      <c r="F365" s="174"/>
      <c r="G365" s="210">
        <v>51500</v>
      </c>
      <c r="H365" s="210">
        <v>56500</v>
      </c>
      <c r="I365" s="210" t="s">
        <v>584</v>
      </c>
      <c r="J365" s="74"/>
      <c r="K365" s="10"/>
      <c r="L365" s="10"/>
      <c r="M365" s="88"/>
      <c r="N365" s="88"/>
      <c r="O365" s="88"/>
      <c r="P365" s="88"/>
      <c r="Q365" s="88"/>
      <c r="R365" s="88"/>
      <c r="S365" s="88"/>
      <c r="T365" s="88"/>
      <c r="U365" s="88"/>
      <c r="V365" s="88"/>
      <c r="W365" s="88"/>
      <c r="X365" s="88"/>
      <c r="Y365" s="410"/>
      <c r="Z365" s="438"/>
      <c r="AA365" s="438"/>
      <c r="AB365" s="438"/>
    </row>
    <row r="366" spans="1:35">
      <c r="A366" s="145" t="s">
        <v>1</v>
      </c>
      <c r="B366" s="376" t="s">
        <v>529</v>
      </c>
      <c r="C366" s="27" t="s">
        <v>2</v>
      </c>
      <c r="D366" s="27" t="s">
        <v>2532</v>
      </c>
      <c r="E366" s="27" t="s">
        <v>2433</v>
      </c>
      <c r="F366" s="165"/>
      <c r="G366" s="22" t="s">
        <v>629</v>
      </c>
      <c r="H366" s="22"/>
      <c r="I366" s="22" t="s">
        <v>3</v>
      </c>
      <c r="J366" s="90"/>
      <c r="K366" s="91"/>
      <c r="L366" s="91"/>
      <c r="M366" s="92"/>
      <c r="N366" s="92"/>
      <c r="O366" s="92"/>
      <c r="P366" s="92"/>
      <c r="Q366" s="92"/>
      <c r="R366" s="92"/>
      <c r="S366" s="92"/>
      <c r="T366" s="92"/>
      <c r="U366" s="92"/>
      <c r="V366" s="92"/>
      <c r="W366" s="92"/>
      <c r="X366" s="92"/>
      <c r="Y366" s="411"/>
      <c r="Z366" s="439"/>
      <c r="AA366" s="439"/>
      <c r="AB366" s="439"/>
    </row>
    <row r="367" spans="1:35" hidden="1">
      <c r="A367" s="145">
        <v>45313</v>
      </c>
      <c r="B367" s="376">
        <v>45776</v>
      </c>
      <c r="C367" s="27">
        <v>240110</v>
      </c>
      <c r="D367" s="20" t="str">
        <f t="shared" si="171"/>
        <v>高雄工業 静岡</v>
      </c>
      <c r="E367" s="20" t="str">
        <f t="shared" si="172"/>
        <v>LAI MINH TU</v>
      </c>
      <c r="F367" s="20" t="str">
        <f t="shared" si="173"/>
        <v>ライ　ミン　トウ</v>
      </c>
      <c r="G367" s="11"/>
      <c r="H367" s="11"/>
      <c r="I367" s="11">
        <v>28250</v>
      </c>
      <c r="J367" s="67"/>
      <c r="K367" s="4">
        <v>9113</v>
      </c>
      <c r="L367" s="11">
        <v>37363</v>
      </c>
      <c r="M367" s="81">
        <v>28250</v>
      </c>
      <c r="N367" s="81">
        <v>28250</v>
      </c>
      <c r="O367" s="130">
        <v>28250</v>
      </c>
      <c r="P367" s="130">
        <v>28250</v>
      </c>
      <c r="Q367" s="130">
        <v>28250</v>
      </c>
      <c r="R367" s="130">
        <v>28250</v>
      </c>
      <c r="S367" s="130">
        <v>28250</v>
      </c>
      <c r="T367" s="130">
        <v>28250</v>
      </c>
      <c r="U367" s="130">
        <v>28250</v>
      </c>
      <c r="V367" s="130">
        <v>28250</v>
      </c>
      <c r="W367" s="130">
        <v>28250</v>
      </c>
      <c r="X367" s="130">
        <v>28250</v>
      </c>
      <c r="Y367" s="408">
        <v>28250</v>
      </c>
      <c r="Z367" s="437">
        <f>28250+20000</f>
        <v>48250</v>
      </c>
      <c r="AA367" s="437">
        <v>0</v>
      </c>
      <c r="AB367" s="437">
        <v>0</v>
      </c>
      <c r="AC367" s="437">
        <v>0</v>
      </c>
    </row>
    <row r="368" spans="1:35">
      <c r="A368" s="145">
        <v>45313</v>
      </c>
      <c r="B368" s="376"/>
      <c r="C368" s="27">
        <v>240112</v>
      </c>
      <c r="D368" s="20" t="str">
        <f t="shared" ref="D368:D369" si="180">IF(C368="","",_xlfn.XLOOKUP(C368,社員№,派遣先,"",0,-1))</f>
        <v>高雄工業 静岡</v>
      </c>
      <c r="E368" s="20" t="str">
        <f t="shared" ref="E368:E369" si="181">IF(C368="","",_xlfn.XLOOKUP(C368,社員№,氏名,"",0,-1))</f>
        <v>TRAN TRUNG KIEN</v>
      </c>
      <c r="F368" s="20" t="str">
        <f t="shared" ref="F368:F369" si="182">IF(C368="","",_xlfn.XLOOKUP(C368,社員№,カナ,"",0,-1))</f>
        <v>チャン　チュン　キエン</v>
      </c>
      <c r="G368" s="11"/>
      <c r="H368" s="11"/>
      <c r="I368" s="11">
        <v>28250</v>
      </c>
      <c r="J368" s="65"/>
      <c r="K368" s="4">
        <v>9113</v>
      </c>
      <c r="L368" s="11">
        <v>37363</v>
      </c>
      <c r="M368" s="81">
        <v>28250</v>
      </c>
      <c r="N368" s="81">
        <v>28250</v>
      </c>
      <c r="O368" s="81">
        <v>28250</v>
      </c>
      <c r="P368" s="81">
        <v>28250</v>
      </c>
      <c r="Q368" s="81">
        <v>28250</v>
      </c>
      <c r="R368" s="81">
        <v>28250</v>
      </c>
      <c r="S368" s="81">
        <v>28250</v>
      </c>
      <c r="T368" s="81">
        <v>28250</v>
      </c>
      <c r="U368" s="81">
        <v>28250</v>
      </c>
      <c r="V368" s="81">
        <v>28250</v>
      </c>
      <c r="W368" s="81">
        <v>28250</v>
      </c>
      <c r="X368" s="81">
        <v>28250</v>
      </c>
      <c r="Y368" s="413">
        <v>28250</v>
      </c>
      <c r="Z368" s="441">
        <v>28250</v>
      </c>
      <c r="AA368" s="441">
        <v>28250</v>
      </c>
      <c r="AB368" s="441">
        <v>28250</v>
      </c>
      <c r="AC368" s="441">
        <v>28250</v>
      </c>
      <c r="AD368" s="441">
        <v>28250</v>
      </c>
      <c r="AE368" s="437">
        <v>28250</v>
      </c>
      <c r="AF368" s="437">
        <v>28250</v>
      </c>
      <c r="AG368" s="437">
        <v>28250</v>
      </c>
      <c r="AH368" s="437">
        <v>28250</v>
      </c>
      <c r="AI368" s="437">
        <v>28250</v>
      </c>
    </row>
    <row r="369" spans="1:35">
      <c r="A369" s="145">
        <v>45798</v>
      </c>
      <c r="B369" s="376"/>
      <c r="C369" s="27">
        <v>240111</v>
      </c>
      <c r="D369" s="20" t="str">
        <f t="shared" si="180"/>
        <v>高雄工業 静岡</v>
      </c>
      <c r="E369" s="20" t="str">
        <f t="shared" si="181"/>
        <v>LE NHAT ANH</v>
      </c>
      <c r="F369" s="20" t="str">
        <f t="shared" si="182"/>
        <v>レ　ニャット　アイン</v>
      </c>
      <c r="G369" s="11"/>
      <c r="H369" s="11"/>
      <c r="I369" s="11">
        <v>28250</v>
      </c>
      <c r="J369" s="65"/>
      <c r="O369" s="81"/>
      <c r="P369" s="81"/>
      <c r="Q369" s="81"/>
      <c r="R369" s="81"/>
      <c r="S369" s="81"/>
      <c r="T369" s="81"/>
      <c r="U369" s="81"/>
      <c r="V369" s="81"/>
      <c r="W369" s="81"/>
      <c r="X369" s="81"/>
      <c r="Y369" s="413"/>
      <c r="Z369" s="441"/>
      <c r="AA369" s="441">
        <f>12903+10024</f>
        <v>22927</v>
      </c>
      <c r="AB369" s="441">
        <v>28250</v>
      </c>
      <c r="AC369" s="441">
        <v>28250</v>
      </c>
      <c r="AD369" s="441">
        <v>28250</v>
      </c>
      <c r="AE369" s="437">
        <v>28250</v>
      </c>
      <c r="AF369" s="437">
        <v>28250</v>
      </c>
      <c r="AG369" s="437">
        <v>28250</v>
      </c>
      <c r="AH369" s="437">
        <v>28250</v>
      </c>
      <c r="AI369" s="437">
        <v>28250</v>
      </c>
    </row>
    <row r="370" spans="1:35">
      <c r="F370" s="160"/>
      <c r="G370" s="10"/>
      <c r="H370" s="10"/>
      <c r="I370" s="10"/>
      <c r="J370" s="74"/>
      <c r="K370" s="10"/>
      <c r="L370" s="10"/>
      <c r="M370" s="88"/>
      <c r="N370" s="88"/>
      <c r="O370" s="88"/>
      <c r="P370" s="88"/>
      <c r="Q370" s="88"/>
      <c r="R370" s="88"/>
      <c r="S370" s="88"/>
      <c r="T370" s="88"/>
      <c r="U370" s="88"/>
      <c r="V370" s="88"/>
      <c r="W370" s="88"/>
      <c r="X370" s="88"/>
      <c r="Y370" s="410"/>
      <c r="Z370" s="438"/>
      <c r="AA370" s="438"/>
      <c r="AB370" s="438"/>
    </row>
    <row r="371" spans="1:35">
      <c r="A371" s="147"/>
      <c r="C371" s="28"/>
      <c r="D371" s="28"/>
      <c r="E371" s="28" t="s">
        <v>71</v>
      </c>
      <c r="F371" s="174"/>
      <c r="G371" s="224">
        <v>50000</v>
      </c>
      <c r="H371" s="224">
        <v>60000</v>
      </c>
      <c r="I371" s="224" t="s">
        <v>587</v>
      </c>
      <c r="J371" s="101"/>
      <c r="K371" s="10"/>
      <c r="L371" s="10"/>
      <c r="M371" s="88"/>
      <c r="N371" s="88"/>
      <c r="O371" s="88"/>
      <c r="P371" s="88"/>
      <c r="Q371" s="88"/>
      <c r="R371" s="88"/>
      <c r="S371" s="88"/>
      <c r="T371" s="88"/>
      <c r="U371" s="88"/>
      <c r="V371" s="88"/>
      <c r="W371" s="88"/>
      <c r="X371" s="88"/>
      <c r="Y371" s="410"/>
      <c r="Z371" s="438"/>
      <c r="AA371" s="438"/>
      <c r="AB371" s="438"/>
    </row>
    <row r="372" spans="1:35">
      <c r="A372" s="148" t="s">
        <v>1</v>
      </c>
      <c r="B372" s="377" t="s">
        <v>529</v>
      </c>
      <c r="C372" s="27" t="s">
        <v>2</v>
      </c>
      <c r="D372" s="27" t="s">
        <v>2532</v>
      </c>
      <c r="E372" s="27" t="s">
        <v>2433</v>
      </c>
      <c r="F372" s="165"/>
      <c r="G372" s="22" t="s">
        <v>629</v>
      </c>
      <c r="H372" s="22"/>
      <c r="I372" s="22" t="s">
        <v>3</v>
      </c>
      <c r="J372" s="90"/>
      <c r="K372" s="91"/>
      <c r="L372" s="91"/>
      <c r="M372" s="92"/>
      <c r="N372" s="92"/>
      <c r="O372" s="92"/>
      <c r="P372" s="92"/>
      <c r="Q372" s="92"/>
      <c r="R372" s="92"/>
      <c r="S372" s="92"/>
      <c r="T372" s="92"/>
      <c r="U372" s="92"/>
      <c r="V372" s="92"/>
      <c r="W372" s="92"/>
      <c r="X372" s="92"/>
      <c r="Y372" s="411"/>
      <c r="Z372" s="439"/>
      <c r="AA372" s="439"/>
      <c r="AB372" s="439"/>
    </row>
    <row r="373" spans="1:35">
      <c r="A373" s="148">
        <v>44679</v>
      </c>
      <c r="B373" s="377"/>
      <c r="C373" s="27">
        <v>220508</v>
      </c>
      <c r="D373" s="20" t="str">
        <f t="shared" si="171"/>
        <v>高雄工業 静岡</v>
      </c>
      <c r="E373" s="20" t="str">
        <f t="shared" si="172"/>
        <v>TRAN VAN HIEU</v>
      </c>
      <c r="F373" s="20" t="str">
        <f t="shared" si="173"/>
        <v>チャン　ヴァン　ヒエウ</v>
      </c>
      <c r="G373" s="11"/>
      <c r="H373" s="11"/>
      <c r="I373" s="11">
        <v>20000</v>
      </c>
      <c r="J373" s="65"/>
      <c r="K373" s="11">
        <v>20000</v>
      </c>
      <c r="L373" s="11">
        <v>20000</v>
      </c>
      <c r="M373" s="81">
        <v>20000</v>
      </c>
      <c r="N373" s="81">
        <v>20000</v>
      </c>
      <c r="O373" s="130">
        <v>20000</v>
      </c>
      <c r="P373" s="130">
        <v>20000</v>
      </c>
      <c r="Q373" s="130">
        <v>20000</v>
      </c>
      <c r="R373" s="130">
        <v>20000</v>
      </c>
      <c r="S373" s="130">
        <v>20000</v>
      </c>
      <c r="T373" s="130">
        <v>20000</v>
      </c>
      <c r="U373" s="130">
        <v>20000</v>
      </c>
      <c r="V373" s="130">
        <v>20000</v>
      </c>
      <c r="W373" s="130">
        <v>20000</v>
      </c>
      <c r="X373" s="130">
        <v>20000</v>
      </c>
      <c r="Y373" s="408">
        <v>20000</v>
      </c>
      <c r="Z373" s="437">
        <v>20000</v>
      </c>
      <c r="AA373" s="437">
        <v>20000</v>
      </c>
      <c r="AB373" s="437">
        <v>20000</v>
      </c>
      <c r="AC373" s="437">
        <v>20000</v>
      </c>
      <c r="AD373" s="437">
        <v>20000</v>
      </c>
      <c r="AE373" s="437">
        <v>20000</v>
      </c>
      <c r="AF373" s="437">
        <v>20000</v>
      </c>
      <c r="AG373" s="437">
        <v>20000</v>
      </c>
      <c r="AH373" s="437">
        <v>20000</v>
      </c>
      <c r="AI373" s="437">
        <v>20000</v>
      </c>
    </row>
    <row r="374" spans="1:35">
      <c r="A374" s="145">
        <v>45303</v>
      </c>
      <c r="B374" s="376"/>
      <c r="C374" s="27">
        <v>240105</v>
      </c>
      <c r="D374" s="20" t="str">
        <f t="shared" ref="D374:D376" si="183">IF(C374="","",_xlfn.XLOOKUP(C374,社員№,派遣先,"",0,-1))</f>
        <v>高雄工業 静岡</v>
      </c>
      <c r="E374" s="20" t="str">
        <f t="shared" ref="E374:E376" si="184">IF(C374="","",_xlfn.XLOOKUP(C374,社員№,氏名,"",0,-1))</f>
        <v>TRAN QUOC KIET</v>
      </c>
      <c r="F374" s="20" t="str">
        <f t="shared" ref="F374:F376" si="185">IF(C374="","",_xlfn.XLOOKUP(C374,社員№,カナ,"",0,-1))</f>
        <v>チャン　コック　キエト</v>
      </c>
      <c r="G374" s="11"/>
      <c r="H374" s="11"/>
      <c r="I374" s="11">
        <v>20000</v>
      </c>
      <c r="J374" s="65"/>
      <c r="K374" s="4">
        <v>12903</v>
      </c>
      <c r="L374" s="11">
        <v>32903</v>
      </c>
      <c r="M374" s="81">
        <v>20000</v>
      </c>
      <c r="N374" s="81">
        <v>20000</v>
      </c>
      <c r="O374" s="81">
        <v>20000</v>
      </c>
      <c r="P374" s="81">
        <v>20000</v>
      </c>
      <c r="Q374" s="81">
        <v>20000</v>
      </c>
      <c r="R374" s="81">
        <v>20000</v>
      </c>
      <c r="S374" s="81">
        <v>20000</v>
      </c>
      <c r="T374" s="81">
        <v>20000</v>
      </c>
      <c r="U374" s="81">
        <v>20000</v>
      </c>
      <c r="V374" s="81">
        <v>20000</v>
      </c>
      <c r="W374" s="81">
        <v>20000</v>
      </c>
      <c r="X374" s="81">
        <v>20000</v>
      </c>
      <c r="Y374" s="413">
        <v>20000</v>
      </c>
      <c r="Z374" s="441">
        <v>20000</v>
      </c>
      <c r="AA374" s="441">
        <v>20000</v>
      </c>
      <c r="AB374" s="441">
        <v>20000</v>
      </c>
      <c r="AC374" s="437">
        <v>20000</v>
      </c>
      <c r="AD374" s="437">
        <v>20000</v>
      </c>
      <c r="AE374" s="437">
        <v>20000</v>
      </c>
      <c r="AF374" s="437">
        <v>20000</v>
      </c>
      <c r="AG374" s="437">
        <v>20000</v>
      </c>
      <c r="AH374" s="437">
        <v>20000</v>
      </c>
      <c r="AI374" s="437">
        <v>20000</v>
      </c>
    </row>
    <row r="375" spans="1:35" hidden="1">
      <c r="A375" s="145">
        <v>45627</v>
      </c>
      <c r="B375" s="376">
        <v>45797</v>
      </c>
      <c r="C375" s="27">
        <v>240111</v>
      </c>
      <c r="D375" s="20" t="str">
        <f t="shared" si="183"/>
        <v>高雄工業 静岡</v>
      </c>
      <c r="E375" s="20" t="str">
        <f t="shared" si="184"/>
        <v>LE NHAT ANH</v>
      </c>
      <c r="F375" s="20" t="str">
        <f t="shared" si="185"/>
        <v>レ　ニャット　アイン</v>
      </c>
      <c r="G375" s="11"/>
      <c r="H375" s="11" t="s">
        <v>965</v>
      </c>
      <c r="I375" s="11">
        <v>20000</v>
      </c>
      <c r="J375" s="65"/>
      <c r="O375" s="81"/>
      <c r="P375" s="81"/>
      <c r="Q375" s="81"/>
      <c r="R375" s="81"/>
      <c r="S375" s="81"/>
      <c r="T375" s="81"/>
      <c r="U375" s="81"/>
      <c r="V375" s="81">
        <v>20000</v>
      </c>
      <c r="W375" s="81">
        <v>20000</v>
      </c>
      <c r="X375" s="81">
        <v>20000</v>
      </c>
      <c r="Y375" s="413">
        <v>20000</v>
      </c>
      <c r="Z375" s="441">
        <v>20000</v>
      </c>
      <c r="AA375" s="441">
        <v>0</v>
      </c>
      <c r="AB375" s="441">
        <v>0</v>
      </c>
      <c r="AD375" s="437"/>
      <c r="AH375" s="437">
        <v>20000</v>
      </c>
      <c r="AI375" s="437">
        <v>20000</v>
      </c>
    </row>
    <row r="376" spans="1:35">
      <c r="A376" s="145">
        <v>45821</v>
      </c>
      <c r="B376" s="376">
        <v>46054</v>
      </c>
      <c r="C376" s="27">
        <v>250607</v>
      </c>
      <c r="D376" s="20" t="str">
        <f t="shared" si="183"/>
        <v>高雄工業 静岡</v>
      </c>
      <c r="E376" s="20" t="str">
        <f t="shared" si="184"/>
        <v>BUI NGOC TIN</v>
      </c>
      <c r="F376" s="20" t="str">
        <f t="shared" si="185"/>
        <v>ブイ　ゴック　ティン</v>
      </c>
      <c r="G376" s="11"/>
      <c r="H376" s="11"/>
      <c r="I376" s="11">
        <v>20000</v>
      </c>
      <c r="J376" s="65"/>
      <c r="O376" s="81"/>
      <c r="P376" s="81"/>
      <c r="Q376" s="81"/>
      <c r="R376" s="81"/>
      <c r="S376" s="81"/>
      <c r="T376" s="81"/>
      <c r="U376" s="81"/>
      <c r="V376" s="81"/>
      <c r="W376" s="81"/>
      <c r="X376" s="81"/>
      <c r="Y376" s="413"/>
      <c r="Z376" s="441"/>
      <c r="AA376" s="441"/>
      <c r="AB376" s="455">
        <v>12000</v>
      </c>
      <c r="AC376" s="464">
        <f>12000+20000</f>
        <v>32000</v>
      </c>
      <c r="AD376" s="437">
        <v>20000</v>
      </c>
      <c r="AE376" s="437">
        <v>20000</v>
      </c>
      <c r="AF376" s="437">
        <v>20000</v>
      </c>
      <c r="AG376" s="437">
        <v>20000</v>
      </c>
      <c r="AH376" s="437">
        <v>20000</v>
      </c>
      <c r="AI376" s="437">
        <v>20000</v>
      </c>
    </row>
    <row r="377" spans="1:35">
      <c r="F377" s="160"/>
      <c r="G377" s="10"/>
      <c r="H377" s="10"/>
      <c r="I377" s="10"/>
      <c r="J377" s="74"/>
      <c r="K377" s="10"/>
      <c r="L377" s="10"/>
      <c r="M377" s="88"/>
      <c r="N377" s="88"/>
      <c r="O377" s="88"/>
      <c r="P377" s="88"/>
      <c r="Q377" s="88"/>
      <c r="R377" s="88"/>
      <c r="S377" s="88"/>
      <c r="T377" s="88"/>
      <c r="U377" s="88"/>
      <c r="V377" s="88"/>
      <c r="W377" s="88"/>
      <c r="X377" s="88"/>
      <c r="Y377" s="410"/>
      <c r="Z377" s="438"/>
      <c r="AA377" s="438"/>
      <c r="AB377" s="438"/>
    </row>
    <row r="378" spans="1:35">
      <c r="A378" s="147"/>
      <c r="C378" s="28"/>
      <c r="D378" s="28"/>
      <c r="E378" s="28" t="s">
        <v>83</v>
      </c>
      <c r="F378" s="174"/>
      <c r="G378" s="210">
        <v>60000</v>
      </c>
      <c r="H378" s="210">
        <v>63000</v>
      </c>
      <c r="I378" s="210" t="s">
        <v>25</v>
      </c>
      <c r="J378" s="74" t="s">
        <v>997</v>
      </c>
      <c r="K378" s="10"/>
      <c r="L378" s="10"/>
      <c r="M378" s="88"/>
      <c r="N378" s="88"/>
      <c r="O378" s="88"/>
      <c r="P378" s="88"/>
      <c r="Q378" s="88"/>
      <c r="R378" s="88"/>
      <c r="S378" s="88"/>
      <c r="T378" s="88"/>
      <c r="U378" s="88"/>
      <c r="V378" s="88"/>
      <c r="W378" s="88"/>
      <c r="X378" s="88"/>
      <c r="Y378" s="410"/>
      <c r="Z378" s="438"/>
      <c r="AA378" s="438"/>
      <c r="AB378" s="438"/>
    </row>
    <row r="379" spans="1:35">
      <c r="A379" s="148" t="s">
        <v>1</v>
      </c>
      <c r="B379" s="377" t="s">
        <v>529</v>
      </c>
      <c r="C379" s="27" t="s">
        <v>2</v>
      </c>
      <c r="D379" s="27" t="s">
        <v>2532</v>
      </c>
      <c r="E379" s="27" t="s">
        <v>2433</v>
      </c>
      <c r="F379" s="165"/>
      <c r="G379" s="22" t="s">
        <v>629</v>
      </c>
      <c r="H379" s="22"/>
      <c r="I379" s="22" t="s">
        <v>3</v>
      </c>
      <c r="J379" s="90"/>
      <c r="K379" s="91"/>
      <c r="L379" s="91"/>
      <c r="M379" s="92"/>
      <c r="N379" s="92"/>
      <c r="O379" s="92"/>
      <c r="P379" s="92"/>
      <c r="Q379" s="92"/>
      <c r="R379" s="92"/>
      <c r="S379" s="92"/>
      <c r="T379" s="92"/>
      <c r="U379" s="92"/>
      <c r="V379" s="92"/>
      <c r="W379" s="92"/>
      <c r="X379" s="92"/>
      <c r="Y379" s="411"/>
      <c r="Z379" s="439"/>
      <c r="AA379" s="439"/>
      <c r="AB379" s="439"/>
    </row>
    <row r="380" spans="1:35">
      <c r="A380" s="145">
        <v>45560</v>
      </c>
      <c r="B380" s="376"/>
      <c r="C380" s="27">
        <v>241003</v>
      </c>
      <c r="D380" s="20" t="str">
        <f t="shared" si="171"/>
        <v>高雄工業 静岡</v>
      </c>
      <c r="E380" s="20" t="str">
        <f t="shared" si="172"/>
        <v>DAO TIEN MANH</v>
      </c>
      <c r="F380" s="20" t="str">
        <f t="shared" si="173"/>
        <v>ダオ　ティエン　マイン</v>
      </c>
      <c r="G380" s="11"/>
      <c r="H380" s="11"/>
      <c r="I380" s="11">
        <v>22000</v>
      </c>
      <c r="J380" s="65"/>
      <c r="O380" s="81"/>
      <c r="P380" s="81"/>
      <c r="Q380" s="81"/>
      <c r="R380" s="81"/>
      <c r="S380" s="118">
        <v>4400</v>
      </c>
      <c r="T380" s="82">
        <f>4400+22000</f>
        <v>26400</v>
      </c>
      <c r="U380" s="82">
        <v>22000</v>
      </c>
      <c r="V380" s="82">
        <v>22000</v>
      </c>
      <c r="W380" s="82">
        <v>22000</v>
      </c>
      <c r="X380" s="82">
        <v>22000</v>
      </c>
      <c r="Y380" s="202">
        <v>22000</v>
      </c>
      <c r="Z380" s="446">
        <v>22000</v>
      </c>
      <c r="AA380" s="446">
        <v>22000</v>
      </c>
      <c r="AB380" s="446">
        <v>22000</v>
      </c>
      <c r="AC380" s="446">
        <v>22000</v>
      </c>
      <c r="AD380" s="446">
        <v>22000</v>
      </c>
      <c r="AE380" s="444">
        <v>22000</v>
      </c>
      <c r="AF380" s="444">
        <v>22000</v>
      </c>
      <c r="AG380" s="444">
        <v>22000</v>
      </c>
      <c r="AH380" s="444">
        <v>22000</v>
      </c>
      <c r="AI380" s="444">
        <v>22000</v>
      </c>
    </row>
    <row r="381" spans="1:35">
      <c r="A381" s="145">
        <v>45550</v>
      </c>
      <c r="B381" s="376"/>
      <c r="C381" s="20">
        <v>240311</v>
      </c>
      <c r="D381" s="20" t="str">
        <f t="shared" si="171"/>
        <v>高雄工業 静岡</v>
      </c>
      <c r="E381" s="20" t="str">
        <f t="shared" ref="E381:E383" si="186">IF(C381="","",_xlfn.XLOOKUP(C381,社員№,氏名,"",0,-1))</f>
        <v>NGUYEN MINH HIEU</v>
      </c>
      <c r="F381" s="20" t="str">
        <f t="shared" ref="F381:F383" si="187">IF(C381="","",_xlfn.XLOOKUP(C381,社員№,カナ,"",0,-1))</f>
        <v>グエン　ミン　ヒエウ</v>
      </c>
      <c r="G381" s="11"/>
      <c r="H381" s="11"/>
      <c r="I381" s="11">
        <v>22000</v>
      </c>
      <c r="J381" s="77"/>
      <c r="K381" s="4"/>
      <c r="L381" s="4"/>
      <c r="M381" s="82"/>
      <c r="N381" s="82"/>
      <c r="O381" s="82"/>
      <c r="P381" s="82"/>
      <c r="Q381" s="82"/>
      <c r="R381" s="82"/>
      <c r="S381" s="82"/>
      <c r="T381" s="82">
        <f>3383+22000</f>
        <v>25383</v>
      </c>
      <c r="U381" s="82">
        <v>22000</v>
      </c>
      <c r="V381" s="82">
        <v>22000</v>
      </c>
      <c r="W381" s="82">
        <v>22000</v>
      </c>
      <c r="X381" s="82">
        <v>22000</v>
      </c>
      <c r="Y381" s="202">
        <v>22000</v>
      </c>
      <c r="Z381" s="446">
        <v>22000</v>
      </c>
      <c r="AA381" s="446">
        <v>22000</v>
      </c>
      <c r="AB381" s="446">
        <v>22000</v>
      </c>
      <c r="AC381" s="446">
        <v>22000</v>
      </c>
      <c r="AD381" s="446">
        <v>22000</v>
      </c>
      <c r="AE381" s="444">
        <v>22000</v>
      </c>
      <c r="AF381" s="444">
        <v>22000</v>
      </c>
      <c r="AG381" s="444">
        <v>22000</v>
      </c>
      <c r="AH381" s="444">
        <v>22000</v>
      </c>
      <c r="AI381" s="444">
        <v>22000</v>
      </c>
    </row>
    <row r="382" spans="1:35" hidden="1">
      <c r="A382" s="145">
        <v>45637</v>
      </c>
      <c r="B382" s="376">
        <v>45716</v>
      </c>
      <c r="C382" s="20">
        <v>241212</v>
      </c>
      <c r="D382" s="20" t="str">
        <f t="shared" si="171"/>
        <v>高雄工業 静岡</v>
      </c>
      <c r="E382" s="20" t="str">
        <f t="shared" si="186"/>
        <v>DINH VAN LONG</v>
      </c>
      <c r="F382" s="20" t="str">
        <f t="shared" si="187"/>
        <v>ディン　バン　ロン</v>
      </c>
      <c r="G382" s="11"/>
      <c r="H382" s="11"/>
      <c r="I382" s="11">
        <v>22000</v>
      </c>
      <c r="J382" s="77"/>
      <c r="K382" s="4"/>
      <c r="L382" s="4"/>
      <c r="M382" s="82"/>
      <c r="N382" s="82"/>
      <c r="O382" s="82"/>
      <c r="P382" s="82"/>
      <c r="Q382" s="82"/>
      <c r="R382" s="82"/>
      <c r="S382" s="82"/>
      <c r="T382" s="82"/>
      <c r="U382" s="82"/>
      <c r="V382" s="82">
        <v>14903</v>
      </c>
      <c r="W382" s="82">
        <v>22000</v>
      </c>
      <c r="X382" s="82">
        <v>22000</v>
      </c>
      <c r="Y382" s="202">
        <v>0</v>
      </c>
      <c r="Z382" s="446">
        <v>0</v>
      </c>
      <c r="AA382" s="446">
        <v>0</v>
      </c>
      <c r="AB382" s="446">
        <v>0</v>
      </c>
      <c r="AC382" s="446"/>
      <c r="AD382" s="446">
        <v>22000</v>
      </c>
      <c r="AE382" s="444">
        <v>22000</v>
      </c>
      <c r="AF382" s="444">
        <v>22000</v>
      </c>
      <c r="AG382" s="444">
        <v>22000</v>
      </c>
      <c r="AH382" s="444">
        <v>22000</v>
      </c>
      <c r="AI382" s="444">
        <v>22000</v>
      </c>
    </row>
    <row r="383" spans="1:35">
      <c r="A383" s="145">
        <v>45741</v>
      </c>
      <c r="B383" s="376"/>
      <c r="C383" s="20">
        <v>250406</v>
      </c>
      <c r="D383" s="20" t="str">
        <f t="shared" si="171"/>
        <v>高雄工業 静岡</v>
      </c>
      <c r="E383" s="20" t="str">
        <f t="shared" si="186"/>
        <v>PHAM TAN DANH</v>
      </c>
      <c r="F383" s="20" t="str">
        <f t="shared" si="187"/>
        <v>ファム　タン　ザイン</v>
      </c>
      <c r="G383" s="11"/>
      <c r="H383" s="11"/>
      <c r="I383" s="11">
        <v>22000</v>
      </c>
      <c r="J383" s="77"/>
      <c r="K383" s="4"/>
      <c r="L383" s="4"/>
      <c r="M383" s="82"/>
      <c r="N383" s="82"/>
      <c r="O383" s="82"/>
      <c r="P383" s="82"/>
      <c r="Q383" s="82"/>
      <c r="R383" s="82"/>
      <c r="S383" s="82"/>
      <c r="T383" s="82"/>
      <c r="U383" s="82"/>
      <c r="V383" s="82"/>
      <c r="W383" s="82"/>
      <c r="X383" s="82"/>
      <c r="Y383" s="202"/>
      <c r="Z383" s="446">
        <f>4968+22000</f>
        <v>26968</v>
      </c>
      <c r="AA383" s="446">
        <v>22000</v>
      </c>
      <c r="AB383" s="446">
        <v>22000</v>
      </c>
      <c r="AC383" s="446">
        <v>22000</v>
      </c>
      <c r="AD383" s="446">
        <v>22000</v>
      </c>
      <c r="AE383" s="444">
        <v>22000</v>
      </c>
      <c r="AF383" s="444">
        <v>22000</v>
      </c>
      <c r="AG383" s="444">
        <v>22000</v>
      </c>
      <c r="AH383" s="444">
        <v>22000</v>
      </c>
      <c r="AI383" s="444">
        <v>22000</v>
      </c>
    </row>
    <row r="384" spans="1:35">
      <c r="A384" s="147"/>
      <c r="D384" s="20" t="str">
        <f t="shared" si="171"/>
        <v/>
      </c>
      <c r="F384" s="160"/>
      <c r="G384" s="10"/>
      <c r="H384" s="10"/>
      <c r="I384" s="10"/>
      <c r="J384" s="74"/>
      <c r="K384" s="10"/>
      <c r="L384" s="10"/>
      <c r="M384" s="88"/>
      <c r="N384" s="88"/>
      <c r="O384" s="88"/>
      <c r="P384" s="88"/>
      <c r="Q384" s="88"/>
      <c r="R384" s="88"/>
      <c r="S384" s="88"/>
      <c r="T384" s="88"/>
      <c r="U384" s="88"/>
      <c r="V384" s="88"/>
      <c r="W384" s="88"/>
      <c r="X384" s="88"/>
      <c r="Y384" s="410"/>
      <c r="Z384" s="438"/>
      <c r="AA384" s="438"/>
      <c r="AB384" s="438"/>
    </row>
    <row r="385" spans="1:35">
      <c r="A385" s="147"/>
      <c r="C385" s="59"/>
      <c r="D385" s="59"/>
      <c r="E385" s="59" t="s">
        <v>286</v>
      </c>
      <c r="F385" s="175"/>
      <c r="G385" s="224">
        <v>41000</v>
      </c>
      <c r="H385" s="224">
        <v>46000</v>
      </c>
      <c r="I385" s="224" t="s">
        <v>584</v>
      </c>
      <c r="J385" s="74"/>
      <c r="K385" s="10"/>
      <c r="L385" s="10"/>
      <c r="M385" s="88"/>
      <c r="N385" s="88"/>
      <c r="O385" s="88"/>
      <c r="P385" s="88"/>
      <c r="Q385" s="88"/>
      <c r="R385" s="88"/>
      <c r="S385" s="88"/>
      <c r="T385" s="88"/>
      <c r="U385" s="88"/>
      <c r="V385" s="88"/>
      <c r="W385" s="88"/>
      <c r="X385" s="88"/>
      <c r="Y385" s="410"/>
      <c r="Z385" s="438"/>
      <c r="AA385" s="438"/>
      <c r="AB385" s="438"/>
    </row>
    <row r="386" spans="1:35">
      <c r="A386" s="145" t="s">
        <v>1</v>
      </c>
      <c r="B386" s="376" t="s">
        <v>529</v>
      </c>
      <c r="C386" s="27" t="s">
        <v>2</v>
      </c>
      <c r="D386" s="27" t="s">
        <v>2532</v>
      </c>
      <c r="E386" s="27" t="s">
        <v>2433</v>
      </c>
      <c r="F386" s="165"/>
      <c r="G386" s="22" t="s">
        <v>629</v>
      </c>
      <c r="H386" s="22"/>
      <c r="I386" s="22" t="s">
        <v>3</v>
      </c>
      <c r="J386" s="90"/>
      <c r="K386" s="91"/>
      <c r="L386" s="91"/>
      <c r="M386" s="92"/>
      <c r="N386" s="92"/>
      <c r="O386" s="92"/>
      <c r="P386" s="92"/>
      <c r="Q386" s="92"/>
      <c r="R386" s="92"/>
      <c r="S386" s="92"/>
      <c r="T386" s="92"/>
      <c r="U386" s="92"/>
      <c r="V386" s="92"/>
      <c r="W386" s="92"/>
      <c r="X386" s="92"/>
      <c r="Y386" s="411"/>
      <c r="Z386" s="439"/>
      <c r="AA386" s="439"/>
      <c r="AB386" s="439"/>
    </row>
    <row r="387" spans="1:35">
      <c r="A387" s="145">
        <v>45056</v>
      </c>
      <c r="B387" s="376"/>
      <c r="C387" s="27">
        <v>230503</v>
      </c>
      <c r="D387" s="20" t="str">
        <f t="shared" si="171"/>
        <v>高雄工業 静岡</v>
      </c>
      <c r="E387" s="20" t="str">
        <f t="shared" si="172"/>
        <v>LE DUC THINH</v>
      </c>
      <c r="F387" s="20" t="str">
        <f t="shared" si="173"/>
        <v>レー　ドゥック　ティン</v>
      </c>
      <c r="G387" s="11"/>
      <c r="H387" s="11"/>
      <c r="I387" s="11">
        <v>23000</v>
      </c>
      <c r="J387" s="65"/>
      <c r="K387" s="11">
        <v>23000</v>
      </c>
      <c r="L387" s="11">
        <v>23000</v>
      </c>
      <c r="M387" s="81">
        <v>23000</v>
      </c>
      <c r="N387" s="81">
        <v>23000</v>
      </c>
      <c r="O387" s="130">
        <v>23000</v>
      </c>
      <c r="P387" s="130">
        <v>23000</v>
      </c>
      <c r="Q387" s="130">
        <v>23000</v>
      </c>
      <c r="R387" s="130">
        <v>23000</v>
      </c>
      <c r="S387" s="130">
        <v>23000</v>
      </c>
      <c r="T387" s="130">
        <v>23000</v>
      </c>
      <c r="U387" s="130">
        <v>23000</v>
      </c>
      <c r="V387" s="130">
        <v>23000</v>
      </c>
      <c r="W387" s="130">
        <v>23000</v>
      </c>
      <c r="X387" s="130">
        <v>23000</v>
      </c>
      <c r="Y387" s="408">
        <v>23000</v>
      </c>
      <c r="Z387" s="437">
        <v>23000</v>
      </c>
      <c r="AA387" s="437">
        <v>23000</v>
      </c>
      <c r="AB387" s="437">
        <v>23000</v>
      </c>
      <c r="AC387" s="437">
        <v>23000</v>
      </c>
      <c r="AD387" s="437">
        <v>23000</v>
      </c>
      <c r="AE387" s="437">
        <v>23000</v>
      </c>
      <c r="AF387" s="437">
        <v>23000</v>
      </c>
      <c r="AG387" s="437">
        <v>23000</v>
      </c>
      <c r="AH387" s="437">
        <v>23000</v>
      </c>
      <c r="AI387" s="437">
        <v>23000</v>
      </c>
    </row>
    <row r="388" spans="1:35">
      <c r="A388" s="145">
        <v>45303</v>
      </c>
      <c r="B388" s="376"/>
      <c r="C388" s="27">
        <v>240106</v>
      </c>
      <c r="D388" s="20" t="str">
        <f t="shared" ref="D388" si="188">IF(C388="","",_xlfn.XLOOKUP(C388,社員№,派遣先,"",0,-1))</f>
        <v>高雄工業 静岡</v>
      </c>
      <c r="E388" s="20" t="str">
        <f t="shared" ref="E388" si="189">IF(C388="","",_xlfn.XLOOKUP(C388,社員№,氏名,"",0,-1))</f>
        <v>TRAN VAN TOAN</v>
      </c>
      <c r="F388" s="20" t="str">
        <f t="shared" ref="F388" si="190">IF(C388="","",_xlfn.XLOOKUP(C388,社員№,カナ,"",0,-1))</f>
        <v>チャン　バン　トアン</v>
      </c>
      <c r="G388" s="11"/>
      <c r="H388" s="11"/>
      <c r="I388" s="11">
        <v>23000</v>
      </c>
      <c r="J388" s="65"/>
      <c r="K388" s="4">
        <v>14840</v>
      </c>
      <c r="L388" s="11">
        <v>37840</v>
      </c>
      <c r="M388" s="81">
        <v>23000</v>
      </c>
      <c r="N388" s="81">
        <v>23000</v>
      </c>
      <c r="O388" s="130">
        <v>23000</v>
      </c>
      <c r="P388" s="130">
        <v>23000</v>
      </c>
      <c r="Q388" s="130">
        <v>23000</v>
      </c>
      <c r="R388" s="130">
        <v>23000</v>
      </c>
      <c r="S388" s="130">
        <v>23000</v>
      </c>
      <c r="T388" s="130">
        <v>23000</v>
      </c>
      <c r="U388" s="130">
        <v>23000</v>
      </c>
      <c r="V388" s="130">
        <v>23000</v>
      </c>
      <c r="W388" s="130">
        <v>23000</v>
      </c>
      <c r="X388" s="130">
        <v>23000</v>
      </c>
      <c r="Y388" s="408">
        <v>23000</v>
      </c>
      <c r="Z388" s="437">
        <v>23000</v>
      </c>
      <c r="AA388" s="437">
        <v>23000</v>
      </c>
      <c r="AB388" s="437">
        <v>23000</v>
      </c>
      <c r="AC388" s="437">
        <v>23000</v>
      </c>
      <c r="AD388" s="437">
        <v>23000</v>
      </c>
      <c r="AE388" s="437">
        <v>23000</v>
      </c>
      <c r="AF388" s="437">
        <v>23000</v>
      </c>
      <c r="AG388" s="437">
        <v>23000</v>
      </c>
      <c r="AH388" s="437">
        <v>23000</v>
      </c>
      <c r="AI388" s="437">
        <v>23000</v>
      </c>
    </row>
    <row r="389" spans="1:35">
      <c r="F389" s="160"/>
      <c r="G389" s="10"/>
      <c r="H389" s="10"/>
      <c r="I389" s="10"/>
      <c r="J389" s="97"/>
      <c r="K389" s="98"/>
      <c r="L389" s="98"/>
      <c r="M389" s="99"/>
      <c r="N389" s="99"/>
      <c r="O389" s="99"/>
      <c r="P389" s="99"/>
      <c r="Q389" s="99"/>
      <c r="R389" s="99"/>
      <c r="S389" s="99"/>
      <c r="T389" s="99"/>
      <c r="U389" s="99"/>
      <c r="V389" s="99"/>
      <c r="W389" s="99"/>
      <c r="X389" s="99"/>
      <c r="Y389" s="416"/>
      <c r="Z389" s="445"/>
      <c r="AA389" s="445"/>
      <c r="AB389" s="445"/>
    </row>
    <row r="390" spans="1:35">
      <c r="C390" s="28"/>
      <c r="D390" s="28"/>
      <c r="E390" s="28" t="s">
        <v>363</v>
      </c>
      <c r="F390" s="174"/>
      <c r="G390" s="210">
        <v>46590</v>
      </c>
      <c r="H390" s="210">
        <v>51000</v>
      </c>
      <c r="I390" s="210" t="s">
        <v>574</v>
      </c>
      <c r="J390" s="90"/>
      <c r="K390" s="10"/>
      <c r="L390" s="10"/>
      <c r="M390" s="88"/>
      <c r="N390" s="88"/>
      <c r="O390" s="88"/>
      <c r="P390" s="88"/>
      <c r="Q390" s="88"/>
      <c r="R390" s="88"/>
      <c r="S390" s="88"/>
      <c r="T390" s="88"/>
      <c r="U390" s="88"/>
      <c r="V390" s="88"/>
      <c r="W390" s="88"/>
      <c r="X390" s="88"/>
      <c r="Y390" s="410"/>
      <c r="Z390" s="438"/>
      <c r="AA390" s="438"/>
      <c r="AB390" s="438"/>
    </row>
    <row r="391" spans="1:35">
      <c r="A391" s="145" t="s">
        <v>1</v>
      </c>
      <c r="B391" s="376" t="s">
        <v>529</v>
      </c>
      <c r="C391" s="27" t="s">
        <v>2</v>
      </c>
      <c r="D391" s="27" t="s">
        <v>2532</v>
      </c>
      <c r="E391" s="27" t="s">
        <v>2433</v>
      </c>
      <c r="F391" s="165"/>
      <c r="G391" s="11" t="s">
        <v>629</v>
      </c>
      <c r="H391" s="11"/>
      <c r="I391" s="11" t="s">
        <v>3</v>
      </c>
      <c r="J391" s="65" t="s">
        <v>154</v>
      </c>
      <c r="K391" s="89"/>
      <c r="L391" s="91"/>
      <c r="M391" s="92"/>
      <c r="N391" s="92"/>
      <c r="O391" s="92"/>
      <c r="P391" s="92"/>
      <c r="Q391" s="92"/>
      <c r="R391" s="92"/>
      <c r="S391" s="92"/>
      <c r="T391" s="92"/>
      <c r="U391" s="92"/>
      <c r="V391" s="92"/>
      <c r="W391" s="92"/>
      <c r="X391" s="92"/>
      <c r="Y391" s="411"/>
      <c r="Z391" s="439"/>
      <c r="AA391" s="439"/>
      <c r="AB391" s="439"/>
    </row>
    <row r="392" spans="1:35">
      <c r="A392" s="145">
        <v>45181</v>
      </c>
      <c r="B392" s="376"/>
      <c r="C392" s="27">
        <v>230909</v>
      </c>
      <c r="D392" s="20" t="str">
        <f t="shared" si="171"/>
        <v>高雄工業 静岡</v>
      </c>
      <c r="E392" s="20" t="str">
        <f t="shared" si="172"/>
        <v>DANG VAN TAN</v>
      </c>
      <c r="F392" s="20" t="str">
        <f t="shared" si="173"/>
        <v>ダン　バン　タン</v>
      </c>
      <c r="G392" s="11"/>
      <c r="H392" s="11"/>
      <c r="I392" s="11">
        <v>25355</v>
      </c>
      <c r="J392" s="65">
        <v>17000</v>
      </c>
      <c r="K392" s="11">
        <v>17000</v>
      </c>
      <c r="L392" s="11">
        <v>17000</v>
      </c>
      <c r="M392" s="81">
        <v>17000</v>
      </c>
      <c r="N392" s="81">
        <v>17000</v>
      </c>
      <c r="O392" s="130">
        <v>17000</v>
      </c>
      <c r="P392" s="130">
        <v>17000</v>
      </c>
      <c r="Q392" s="130">
        <v>17000</v>
      </c>
      <c r="R392" s="130">
        <v>17000</v>
      </c>
      <c r="S392" s="130">
        <v>17000</v>
      </c>
      <c r="T392" s="130">
        <v>17000</v>
      </c>
      <c r="U392" s="130">
        <v>17000</v>
      </c>
      <c r="V392" s="130">
        <v>17000</v>
      </c>
      <c r="W392" s="130">
        <v>17000</v>
      </c>
      <c r="X392" s="130">
        <v>17000</v>
      </c>
      <c r="Y392" s="408">
        <v>17000</v>
      </c>
      <c r="Z392" s="437">
        <v>17000</v>
      </c>
      <c r="AA392" s="437">
        <v>17000</v>
      </c>
      <c r="AB392" s="437">
        <v>17000</v>
      </c>
      <c r="AC392" s="437">
        <v>17000</v>
      </c>
      <c r="AD392" s="437">
        <v>17000</v>
      </c>
      <c r="AE392" s="437">
        <v>17000</v>
      </c>
      <c r="AF392" s="437">
        <v>17000</v>
      </c>
      <c r="AG392" s="437">
        <v>17000</v>
      </c>
      <c r="AH392" s="437">
        <v>17000</v>
      </c>
      <c r="AI392" s="437">
        <v>17000</v>
      </c>
    </row>
    <row r="393" spans="1:35">
      <c r="A393" s="145">
        <v>45181</v>
      </c>
      <c r="B393" s="376"/>
      <c r="C393" s="27">
        <v>230912</v>
      </c>
      <c r="D393" s="20" t="str">
        <f t="shared" ref="D393:D394" si="191">IF(C393="","",_xlfn.XLOOKUP(C393,社員№,派遣先,"",0,-1))</f>
        <v>高雄工業 静岡</v>
      </c>
      <c r="E393" s="20" t="str">
        <f t="shared" ref="E393:E394" si="192">IF(C393="","",_xlfn.XLOOKUP(C393,社員№,氏名,"",0,-1))</f>
        <v>NGUYEN SY PHUC</v>
      </c>
      <c r="F393" s="20" t="str">
        <f t="shared" ref="F393:F394" si="193">IF(C393="","",_xlfn.XLOOKUP(C393,社員№,カナ,"",0,-1))</f>
        <v>グエン　シ　フック</v>
      </c>
      <c r="G393" s="11"/>
      <c r="H393" s="11"/>
      <c r="I393" s="11">
        <v>25355</v>
      </c>
      <c r="J393" s="65">
        <v>17000</v>
      </c>
      <c r="K393" s="11">
        <v>17000</v>
      </c>
      <c r="L393" s="11">
        <v>17000</v>
      </c>
      <c r="M393" s="81">
        <v>17000</v>
      </c>
      <c r="N393" s="81">
        <v>17000</v>
      </c>
      <c r="O393" s="130">
        <v>17000</v>
      </c>
      <c r="P393" s="130">
        <v>17000</v>
      </c>
      <c r="Q393" s="130">
        <v>17000</v>
      </c>
      <c r="R393" s="130">
        <v>17000</v>
      </c>
      <c r="S393" s="130">
        <v>17000</v>
      </c>
      <c r="T393" s="130">
        <v>17000</v>
      </c>
      <c r="U393" s="130">
        <v>17000</v>
      </c>
      <c r="V393" s="130">
        <v>17000</v>
      </c>
      <c r="W393" s="130">
        <v>17000</v>
      </c>
      <c r="X393" s="130">
        <v>17000</v>
      </c>
      <c r="Y393" s="408">
        <v>17000</v>
      </c>
      <c r="Z393" s="437">
        <v>17000</v>
      </c>
      <c r="AA393" s="437">
        <v>17000</v>
      </c>
      <c r="AB393" s="437">
        <v>17000</v>
      </c>
      <c r="AC393" s="437">
        <v>17000</v>
      </c>
      <c r="AD393" s="437">
        <v>17000</v>
      </c>
      <c r="AE393" s="437">
        <v>17000</v>
      </c>
      <c r="AF393" s="437">
        <v>17000</v>
      </c>
      <c r="AG393" s="437">
        <v>17000</v>
      </c>
      <c r="AH393" s="437">
        <v>17000</v>
      </c>
      <c r="AI393" s="437">
        <v>17000</v>
      </c>
    </row>
    <row r="394" spans="1:35">
      <c r="A394" s="145">
        <v>45284</v>
      </c>
      <c r="B394" s="376"/>
      <c r="C394" s="27">
        <v>230913</v>
      </c>
      <c r="D394" s="20" t="str">
        <f t="shared" si="191"/>
        <v>高雄工業 静岡</v>
      </c>
      <c r="E394" s="20" t="str">
        <f t="shared" si="192"/>
        <v>TRAN DUC CUONG</v>
      </c>
      <c r="F394" s="20" t="str">
        <f t="shared" si="193"/>
        <v>チャン　ドゥック　クオン</v>
      </c>
      <c r="G394" s="11"/>
      <c r="H394" s="11"/>
      <c r="I394" s="11"/>
      <c r="J394" s="65">
        <v>17000</v>
      </c>
      <c r="K394" s="11">
        <v>17000</v>
      </c>
      <c r="L394" s="11">
        <v>17000</v>
      </c>
      <c r="M394" s="81">
        <v>17000</v>
      </c>
      <c r="N394" s="81">
        <v>17000</v>
      </c>
      <c r="O394" s="130">
        <v>17000</v>
      </c>
      <c r="P394" s="130">
        <v>17000</v>
      </c>
      <c r="Q394" s="130">
        <v>17000</v>
      </c>
      <c r="R394" s="130">
        <v>17000</v>
      </c>
      <c r="S394" s="130">
        <v>17000</v>
      </c>
      <c r="T394" s="130">
        <v>17000</v>
      </c>
      <c r="U394" s="130">
        <v>17000</v>
      </c>
      <c r="V394" s="130">
        <v>17000</v>
      </c>
      <c r="W394" s="130">
        <v>17000</v>
      </c>
      <c r="X394" s="130">
        <v>17000</v>
      </c>
      <c r="Y394" s="408">
        <v>17000</v>
      </c>
      <c r="Z394" s="437">
        <v>17000</v>
      </c>
      <c r="AA394" s="437">
        <v>17000</v>
      </c>
      <c r="AB394" s="437">
        <v>17000</v>
      </c>
      <c r="AC394" s="437">
        <v>17000</v>
      </c>
      <c r="AD394" s="437">
        <v>17000</v>
      </c>
      <c r="AE394" s="437">
        <v>17000</v>
      </c>
      <c r="AF394" s="437">
        <v>17000</v>
      </c>
      <c r="AG394" s="437">
        <v>17000</v>
      </c>
      <c r="AH394" s="437">
        <v>17000</v>
      </c>
      <c r="AI394" s="437">
        <v>17000</v>
      </c>
    </row>
    <row r="395" spans="1:35">
      <c r="F395" s="160"/>
      <c r="G395" s="10"/>
      <c r="H395" s="10"/>
      <c r="I395" s="10"/>
      <c r="J395" s="97"/>
      <c r="K395" s="98"/>
      <c r="L395" s="98"/>
      <c r="M395" s="99"/>
      <c r="N395" s="99"/>
      <c r="O395" s="99"/>
      <c r="P395" s="99"/>
      <c r="Q395" s="99"/>
      <c r="R395" s="99"/>
      <c r="S395" s="99"/>
      <c r="T395" s="99"/>
      <c r="U395" s="99"/>
      <c r="V395" s="99"/>
      <c r="W395" s="99"/>
      <c r="X395" s="99"/>
      <c r="Y395" s="416"/>
      <c r="Z395" s="445"/>
      <c r="AA395" s="445"/>
      <c r="AB395" s="445"/>
    </row>
    <row r="396" spans="1:35">
      <c r="C396" s="28"/>
      <c r="D396" s="28"/>
      <c r="E396" s="28" t="s">
        <v>368</v>
      </c>
      <c r="F396" s="174"/>
      <c r="G396" s="210">
        <v>45830</v>
      </c>
      <c r="H396" s="210">
        <v>50500</v>
      </c>
      <c r="I396" s="210" t="s">
        <v>574</v>
      </c>
      <c r="J396" s="74"/>
      <c r="K396" s="10"/>
      <c r="L396" s="10"/>
      <c r="M396" s="88"/>
      <c r="N396" s="88"/>
      <c r="O396" s="88"/>
      <c r="P396" s="88"/>
      <c r="Q396" s="88"/>
      <c r="R396" s="88"/>
      <c r="S396" s="88"/>
      <c r="T396" s="88"/>
      <c r="U396" s="88"/>
      <c r="V396" s="88"/>
      <c r="W396" s="88"/>
      <c r="X396" s="88"/>
      <c r="Y396" s="410"/>
      <c r="Z396" s="438"/>
      <c r="AA396" s="438"/>
      <c r="AB396" s="438"/>
    </row>
    <row r="397" spans="1:35">
      <c r="A397" s="145" t="s">
        <v>1</v>
      </c>
      <c r="B397" s="376" t="s">
        <v>529</v>
      </c>
      <c r="C397" s="27" t="s">
        <v>2</v>
      </c>
      <c r="D397" s="27" t="s">
        <v>2532</v>
      </c>
      <c r="E397" s="27" t="s">
        <v>2433</v>
      </c>
      <c r="F397" s="165"/>
      <c r="G397" s="22" t="s">
        <v>629</v>
      </c>
      <c r="H397" s="22"/>
      <c r="I397" s="22" t="s">
        <v>3</v>
      </c>
      <c r="J397" s="90"/>
      <c r="K397" s="91"/>
      <c r="L397" s="91"/>
      <c r="M397" s="92"/>
      <c r="N397" s="92"/>
      <c r="O397" s="92"/>
      <c r="P397" s="92"/>
      <c r="Q397" s="92"/>
      <c r="R397" s="92"/>
      <c r="S397" s="92"/>
      <c r="T397" s="92"/>
      <c r="U397" s="92"/>
      <c r="V397" s="92"/>
      <c r="W397" s="92"/>
      <c r="X397" s="92"/>
      <c r="Y397" s="411"/>
      <c r="Z397" s="439"/>
      <c r="AA397" s="439"/>
      <c r="AB397" s="439"/>
    </row>
    <row r="398" spans="1:35">
      <c r="A398" s="145">
        <v>45729</v>
      </c>
      <c r="B398" s="376"/>
      <c r="C398" s="27">
        <v>250308</v>
      </c>
      <c r="D398" s="20" t="str">
        <f t="shared" si="171"/>
        <v>高雄工業 静岡</v>
      </c>
      <c r="E398" s="20" t="str">
        <f t="shared" ref="E398" si="194">IF(C398="","",_xlfn.XLOOKUP(C398,社員№,氏名,"",0,-1))</f>
        <v>DUONG CHI THONG</v>
      </c>
      <c r="F398" s="20" t="str">
        <f t="shared" ref="F398" si="195">IF(C398="","",_xlfn.XLOOKUP(C398,社員№,カナ,"",0,-1))</f>
        <v>ズオン　チ　トン</v>
      </c>
      <c r="G398" s="11"/>
      <c r="H398" s="11"/>
      <c r="I398" s="11">
        <v>23250</v>
      </c>
      <c r="J398" s="65"/>
      <c r="O398" s="81"/>
      <c r="P398" s="81"/>
      <c r="Q398" s="81"/>
      <c r="R398" s="81"/>
      <c r="S398" s="81"/>
      <c r="T398" s="81"/>
      <c r="U398" s="81"/>
      <c r="V398" s="81"/>
      <c r="W398" s="81"/>
      <c r="X398" s="81"/>
      <c r="Y398" s="418">
        <v>14250</v>
      </c>
      <c r="Z398" s="446">
        <f t="shared" ref="Z398:Z399" si="196">14250+23250</f>
        <v>37500</v>
      </c>
      <c r="AA398" s="446">
        <v>23250</v>
      </c>
      <c r="AB398" s="446">
        <v>23250</v>
      </c>
      <c r="AC398" s="446">
        <v>23250</v>
      </c>
      <c r="AD398" s="446">
        <v>23250</v>
      </c>
      <c r="AE398" s="444">
        <v>23250</v>
      </c>
      <c r="AF398" s="444">
        <v>23250</v>
      </c>
      <c r="AG398" s="444">
        <v>23250</v>
      </c>
      <c r="AH398" s="444">
        <v>23250</v>
      </c>
      <c r="AI398" s="444">
        <v>23250</v>
      </c>
    </row>
    <row r="399" spans="1:35">
      <c r="A399" s="145">
        <v>45729</v>
      </c>
      <c r="B399" s="376"/>
      <c r="C399" s="27">
        <v>250309</v>
      </c>
      <c r="D399" s="20" t="str">
        <f t="shared" ref="D399" si="197">IF(C399="","",_xlfn.XLOOKUP(C399,社員№,派遣先,"",0,-1))</f>
        <v>高雄工業 静岡</v>
      </c>
      <c r="E399" s="20" t="str">
        <f t="shared" ref="E399" si="198">IF(C399="","",_xlfn.XLOOKUP(C399,社員№,氏名,"",0,-1))</f>
        <v>LY VAN NHAN</v>
      </c>
      <c r="F399" s="20" t="str">
        <f t="shared" ref="F399" si="199">IF(C399="","",_xlfn.XLOOKUP(C399,社員№,カナ,"",0,-1))</f>
        <v>リ　ヴァン　ニャン</v>
      </c>
      <c r="G399" s="11"/>
      <c r="H399" s="11"/>
      <c r="I399" s="11"/>
      <c r="J399" s="65"/>
      <c r="O399" s="81"/>
      <c r="P399" s="81"/>
      <c r="Q399" s="81"/>
      <c r="R399" s="81"/>
      <c r="S399" s="81"/>
      <c r="T399" s="81"/>
      <c r="U399" s="81"/>
      <c r="V399" s="81"/>
      <c r="W399" s="81"/>
      <c r="X399" s="81"/>
      <c r="Y399" s="418">
        <v>14250</v>
      </c>
      <c r="Z399" s="446">
        <f t="shared" si="196"/>
        <v>37500</v>
      </c>
      <c r="AA399" s="446">
        <v>23250</v>
      </c>
      <c r="AB399" s="446">
        <v>23250</v>
      </c>
      <c r="AC399" s="446">
        <v>23250</v>
      </c>
      <c r="AD399" s="446">
        <v>23250</v>
      </c>
      <c r="AE399" s="444">
        <v>23250</v>
      </c>
      <c r="AF399" s="444">
        <v>23250</v>
      </c>
      <c r="AG399" s="444">
        <v>23250</v>
      </c>
      <c r="AH399" s="444">
        <v>23250</v>
      </c>
      <c r="AI399" s="444">
        <v>23250</v>
      </c>
    </row>
    <row r="400" spans="1:35">
      <c r="F400" s="160"/>
      <c r="G400" s="10"/>
      <c r="H400" s="10"/>
      <c r="I400" s="10"/>
      <c r="J400" s="74"/>
      <c r="K400" s="10"/>
      <c r="L400" s="10"/>
      <c r="M400" s="88"/>
      <c r="N400" s="88"/>
      <c r="O400" s="88"/>
      <c r="P400" s="88"/>
      <c r="Q400" s="88"/>
      <c r="R400" s="88"/>
      <c r="S400" s="88"/>
      <c r="T400" s="88"/>
      <c r="U400" s="88"/>
      <c r="V400" s="88"/>
      <c r="W400" s="88"/>
      <c r="X400" s="88"/>
      <c r="Y400" s="410"/>
      <c r="Z400" s="438"/>
      <c r="AA400" s="438"/>
      <c r="AB400" s="438"/>
    </row>
    <row r="401" spans="1:35">
      <c r="C401" s="28"/>
      <c r="D401" s="28"/>
      <c r="E401" s="28" t="s">
        <v>373</v>
      </c>
      <c r="F401" s="174"/>
      <c r="G401" s="210">
        <v>43330</v>
      </c>
      <c r="H401" s="210">
        <v>48000</v>
      </c>
      <c r="I401" s="210" t="s">
        <v>626</v>
      </c>
      <c r="J401" s="74"/>
      <c r="K401" s="10"/>
      <c r="L401" s="10"/>
      <c r="M401" s="88"/>
      <c r="N401" s="88"/>
      <c r="O401" s="88"/>
      <c r="P401" s="88"/>
      <c r="Q401" s="88"/>
      <c r="R401" s="88"/>
      <c r="S401" s="88"/>
      <c r="T401" s="88"/>
      <c r="U401" s="88"/>
      <c r="V401" s="88"/>
      <c r="W401" s="88"/>
      <c r="X401" s="88"/>
      <c r="Y401" s="410"/>
      <c r="Z401" s="438"/>
      <c r="AA401" s="438"/>
      <c r="AB401" s="438"/>
    </row>
    <row r="402" spans="1:35">
      <c r="A402" s="145" t="s">
        <v>1</v>
      </c>
      <c r="B402" s="376" t="s">
        <v>529</v>
      </c>
      <c r="C402" s="27" t="s">
        <v>2</v>
      </c>
      <c r="D402" s="27" t="s">
        <v>2532</v>
      </c>
      <c r="E402" s="27" t="s">
        <v>2433</v>
      </c>
      <c r="F402" s="165"/>
      <c r="G402" s="22" t="s">
        <v>629</v>
      </c>
      <c r="H402" s="22"/>
      <c r="I402" s="22" t="s">
        <v>3</v>
      </c>
      <c r="J402" s="90"/>
      <c r="K402" s="91"/>
      <c r="L402" s="91"/>
      <c r="M402" s="92"/>
      <c r="N402" s="92"/>
      <c r="O402" s="92"/>
      <c r="P402" s="92"/>
      <c r="Q402" s="92"/>
      <c r="R402" s="92"/>
      <c r="S402" s="92"/>
      <c r="T402" s="92"/>
      <c r="U402" s="92"/>
      <c r="V402" s="92"/>
      <c r="W402" s="92"/>
      <c r="X402" s="92"/>
      <c r="Y402" s="411"/>
      <c r="Z402" s="439"/>
      <c r="AA402" s="439"/>
      <c r="AB402" s="439"/>
    </row>
    <row r="403" spans="1:35">
      <c r="A403" s="145">
        <v>45187</v>
      </c>
      <c r="B403" s="376"/>
      <c r="C403" s="27">
        <v>230914</v>
      </c>
      <c r="D403" s="20" t="str">
        <f t="shared" si="171"/>
        <v>高雄工業 静岡</v>
      </c>
      <c r="E403" s="20" t="str">
        <f t="shared" si="172"/>
        <v>TRAN VAN THINH</v>
      </c>
      <c r="F403" s="20" t="str">
        <f t="shared" si="173"/>
        <v>チャン　バン　ティン</v>
      </c>
      <c r="G403" s="11"/>
      <c r="H403" s="11"/>
      <c r="I403" s="11">
        <v>24000</v>
      </c>
      <c r="J403" s="65"/>
      <c r="K403" s="11">
        <v>24000</v>
      </c>
      <c r="L403" s="11">
        <v>24000</v>
      </c>
      <c r="M403" s="81">
        <v>24000</v>
      </c>
      <c r="N403" s="81">
        <v>24000</v>
      </c>
      <c r="O403" s="130">
        <v>24000</v>
      </c>
      <c r="P403" s="130">
        <v>24000</v>
      </c>
      <c r="Q403" s="130">
        <v>24000</v>
      </c>
      <c r="R403" s="130">
        <v>24000</v>
      </c>
      <c r="S403" s="130">
        <v>24000</v>
      </c>
      <c r="T403" s="130">
        <v>24000</v>
      </c>
      <c r="U403" s="130">
        <v>24000</v>
      </c>
      <c r="V403" s="130">
        <v>24000</v>
      </c>
      <c r="W403" s="130">
        <v>24000</v>
      </c>
      <c r="X403" s="130">
        <v>24000</v>
      </c>
      <c r="Y403" s="408">
        <v>24000</v>
      </c>
      <c r="Z403" s="437">
        <v>24000</v>
      </c>
      <c r="AA403" s="437">
        <v>24000</v>
      </c>
      <c r="AB403" s="437">
        <v>24000</v>
      </c>
      <c r="AC403" s="437">
        <v>24000</v>
      </c>
      <c r="AD403" s="437">
        <v>24000</v>
      </c>
      <c r="AE403" s="437">
        <v>24000</v>
      </c>
      <c r="AF403" s="437">
        <v>24000</v>
      </c>
      <c r="AG403" s="437">
        <v>24000</v>
      </c>
      <c r="AH403" s="437">
        <v>24000</v>
      </c>
      <c r="AI403" s="437">
        <v>24000</v>
      </c>
    </row>
    <row r="404" spans="1:35">
      <c r="A404" s="145">
        <v>45187</v>
      </c>
      <c r="B404" s="376"/>
      <c r="C404" s="27">
        <v>230915</v>
      </c>
      <c r="D404" s="20" t="str">
        <f t="shared" ref="D404" si="200">IF(C404="","",_xlfn.XLOOKUP(C404,社員№,派遣先,"",0,-1))</f>
        <v>高雄工業 静岡</v>
      </c>
      <c r="E404" s="20" t="str">
        <f t="shared" ref="E404" si="201">IF(C404="","",_xlfn.XLOOKUP(C404,社員№,氏名,"",0,-1))</f>
        <v>NGUYEN TRUONG AN</v>
      </c>
      <c r="F404" s="20" t="str">
        <f t="shared" ref="F404" si="202">IF(C404="","",_xlfn.XLOOKUP(C404,社員№,カナ,"",0,-1))</f>
        <v>グエン　チュオン　アン</v>
      </c>
      <c r="G404" s="11"/>
      <c r="H404" s="11"/>
      <c r="I404" s="11">
        <v>24000</v>
      </c>
      <c r="J404" s="65"/>
      <c r="K404" s="11">
        <v>24000</v>
      </c>
      <c r="L404" s="11">
        <v>24000</v>
      </c>
      <c r="M404" s="81">
        <v>24000</v>
      </c>
      <c r="N404" s="81">
        <v>24000</v>
      </c>
      <c r="O404" s="130">
        <v>24000</v>
      </c>
      <c r="P404" s="130">
        <v>24000</v>
      </c>
      <c r="Q404" s="130">
        <v>24000</v>
      </c>
      <c r="R404" s="130">
        <v>24000</v>
      </c>
      <c r="S404" s="130">
        <v>24000</v>
      </c>
      <c r="T404" s="130">
        <v>24000</v>
      </c>
      <c r="U404" s="130">
        <v>24000</v>
      </c>
      <c r="V404" s="130">
        <v>24000</v>
      </c>
      <c r="W404" s="130">
        <v>24000</v>
      </c>
      <c r="X404" s="130">
        <v>24000</v>
      </c>
      <c r="Y404" s="408">
        <v>24000</v>
      </c>
      <c r="Z404" s="437">
        <v>24000</v>
      </c>
      <c r="AA404" s="437">
        <v>24000</v>
      </c>
      <c r="AB404" s="437">
        <v>24000</v>
      </c>
      <c r="AC404" s="437">
        <v>24000</v>
      </c>
      <c r="AD404" s="437">
        <v>24000</v>
      </c>
      <c r="AE404" s="437">
        <v>24000</v>
      </c>
      <c r="AF404" s="437">
        <v>24000</v>
      </c>
      <c r="AG404" s="437">
        <v>24000</v>
      </c>
      <c r="AH404" s="437">
        <v>24000</v>
      </c>
      <c r="AI404" s="437">
        <v>24000</v>
      </c>
    </row>
    <row r="405" spans="1:35">
      <c r="F405" s="160"/>
      <c r="G405" s="10"/>
      <c r="H405" s="10"/>
      <c r="I405" s="10"/>
      <c r="J405" s="97"/>
      <c r="K405" s="98"/>
      <c r="L405" s="98"/>
      <c r="M405" s="99"/>
      <c r="N405" s="99"/>
      <c r="O405" s="99"/>
      <c r="P405" s="99"/>
      <c r="Q405" s="99"/>
      <c r="R405" s="99"/>
      <c r="S405" s="99"/>
      <c r="T405" s="99"/>
      <c r="U405" s="99"/>
      <c r="V405" s="99"/>
      <c r="W405" s="99"/>
      <c r="X405" s="99"/>
      <c r="Y405" s="416"/>
      <c r="Z405" s="445"/>
      <c r="AA405" s="445"/>
      <c r="AB405" s="445"/>
    </row>
    <row r="406" spans="1:35">
      <c r="C406" s="28"/>
      <c r="D406" s="28"/>
      <c r="E406" s="28" t="s">
        <v>454</v>
      </c>
      <c r="F406" s="174"/>
      <c r="G406" s="210">
        <v>50730</v>
      </c>
      <c r="H406" s="210">
        <v>56000</v>
      </c>
      <c r="I406" s="210" t="s">
        <v>584</v>
      </c>
      <c r="J406" s="74"/>
      <c r="K406" s="10"/>
      <c r="L406" s="10"/>
      <c r="M406" s="88"/>
      <c r="N406" s="88"/>
      <c r="O406" s="88"/>
      <c r="P406" s="88"/>
      <c r="Q406" s="88"/>
      <c r="R406" s="88"/>
      <c r="S406" s="88"/>
      <c r="T406" s="88"/>
      <c r="U406" s="88"/>
      <c r="V406" s="88"/>
      <c r="W406" s="88"/>
      <c r="X406" s="88"/>
      <c r="Y406" s="410"/>
      <c r="Z406" s="438"/>
      <c r="AA406" s="438"/>
      <c r="AB406" s="438"/>
    </row>
    <row r="407" spans="1:35">
      <c r="A407" s="145" t="s">
        <v>1</v>
      </c>
      <c r="B407" s="376" t="s">
        <v>529</v>
      </c>
      <c r="C407" s="27" t="s">
        <v>2</v>
      </c>
      <c r="D407" s="27" t="s">
        <v>2532</v>
      </c>
      <c r="E407" s="27" t="s">
        <v>2433</v>
      </c>
      <c r="F407" s="165"/>
      <c r="G407" s="22" t="s">
        <v>629</v>
      </c>
      <c r="H407" s="22"/>
      <c r="I407" s="22" t="s">
        <v>3</v>
      </c>
      <c r="J407" s="128"/>
      <c r="K407" s="91"/>
      <c r="L407" s="91"/>
      <c r="M407" s="92"/>
      <c r="N407" s="92"/>
      <c r="O407" s="92"/>
      <c r="P407" s="92"/>
      <c r="Q407" s="92"/>
      <c r="R407" s="92"/>
      <c r="S407" s="92"/>
      <c r="T407" s="92"/>
      <c r="U407" s="92"/>
      <c r="V407" s="92"/>
      <c r="W407" s="92"/>
      <c r="X407" s="92"/>
      <c r="Y407" s="411"/>
      <c r="Z407" s="439"/>
      <c r="AA407" s="439"/>
      <c r="AB407" s="439"/>
    </row>
    <row r="408" spans="1:35">
      <c r="A408" s="145">
        <v>45245</v>
      </c>
      <c r="B408" s="376"/>
      <c r="C408" s="27">
        <v>231115</v>
      </c>
      <c r="D408" s="20" t="str">
        <f t="shared" si="171"/>
        <v>高雄工業 静岡</v>
      </c>
      <c r="E408" s="20" t="str">
        <f t="shared" si="172"/>
        <v>NGUYEN CONG LUONG</v>
      </c>
      <c r="F408" s="20" t="str">
        <f t="shared" si="173"/>
        <v>グエン　コン　ルオン</v>
      </c>
      <c r="G408" s="11"/>
      <c r="H408" s="11"/>
      <c r="I408" s="11">
        <v>28000</v>
      </c>
      <c r="J408" s="65"/>
      <c r="K408" s="11">
        <v>28000</v>
      </c>
      <c r="L408" s="11">
        <v>28000</v>
      </c>
      <c r="M408" s="81">
        <v>28000</v>
      </c>
      <c r="N408" s="81">
        <v>28000</v>
      </c>
      <c r="O408" s="81">
        <v>28000</v>
      </c>
      <c r="P408" s="81">
        <v>28000</v>
      </c>
      <c r="Q408" s="81">
        <v>28000</v>
      </c>
      <c r="R408" s="81">
        <v>28000</v>
      </c>
      <c r="S408" s="81">
        <v>28000</v>
      </c>
      <c r="T408" s="81">
        <v>28000</v>
      </c>
      <c r="U408" s="81">
        <v>28000</v>
      </c>
      <c r="V408" s="81">
        <v>28000</v>
      </c>
      <c r="W408" s="81">
        <v>28000</v>
      </c>
      <c r="X408" s="81">
        <v>28000</v>
      </c>
      <c r="Y408" s="413">
        <v>28000</v>
      </c>
      <c r="Z408" s="441">
        <v>28000</v>
      </c>
      <c r="AA408" s="441">
        <v>28000</v>
      </c>
      <c r="AB408" s="441">
        <v>28000</v>
      </c>
      <c r="AC408" s="441">
        <v>28000</v>
      </c>
      <c r="AD408" s="441">
        <v>28000</v>
      </c>
      <c r="AE408" s="437">
        <v>28000</v>
      </c>
      <c r="AF408" s="437">
        <v>28000</v>
      </c>
      <c r="AG408" s="437">
        <v>28000</v>
      </c>
      <c r="AH408" s="437">
        <v>28000</v>
      </c>
      <c r="AI408" s="437">
        <v>28000</v>
      </c>
    </row>
    <row r="409" spans="1:35">
      <c r="A409" s="145">
        <v>45502</v>
      </c>
      <c r="B409" s="376"/>
      <c r="C409" s="27">
        <v>240804</v>
      </c>
      <c r="D409" s="20" t="str">
        <f t="shared" ref="D409" si="203">IF(C409="","",_xlfn.XLOOKUP(C409,社員№,派遣先,"",0,-1))</f>
        <v>高雄工業 静岡</v>
      </c>
      <c r="E409" s="20" t="str">
        <f t="shared" ref="E409" si="204">IF(C409="","",_xlfn.XLOOKUP(C409,社員№,氏名,"",0,-1))</f>
        <v>HOANG QUOC VIET</v>
      </c>
      <c r="F409" s="20" t="str">
        <f t="shared" ref="F409" si="205">IF(C409="","",_xlfn.XLOOKUP(C409,社員№,カナ,"",0,-1))</f>
        <v>ホアン　クォック　ベト</v>
      </c>
      <c r="G409" s="11"/>
      <c r="H409" s="11"/>
      <c r="I409" s="11">
        <v>28000</v>
      </c>
      <c r="J409" s="65"/>
      <c r="O409" s="81"/>
      <c r="P409" s="81"/>
      <c r="Q409" s="118">
        <v>2710</v>
      </c>
      <c r="R409" s="81">
        <f>2710+28000</f>
        <v>30710</v>
      </c>
      <c r="S409" s="81">
        <v>28000</v>
      </c>
      <c r="T409" s="81">
        <v>28000</v>
      </c>
      <c r="U409" s="81">
        <v>28000</v>
      </c>
      <c r="V409" s="81">
        <v>28000</v>
      </c>
      <c r="W409" s="81">
        <v>28000</v>
      </c>
      <c r="X409" s="81">
        <v>28000</v>
      </c>
      <c r="Y409" s="413">
        <v>28000</v>
      </c>
      <c r="Z409" s="441">
        <v>28000</v>
      </c>
      <c r="AA409" s="441">
        <v>28000</v>
      </c>
      <c r="AB409" s="441">
        <v>28000</v>
      </c>
      <c r="AC409" s="441">
        <v>28000</v>
      </c>
      <c r="AD409" s="441">
        <v>28000</v>
      </c>
      <c r="AE409" s="437">
        <v>28000</v>
      </c>
      <c r="AF409" s="437">
        <v>28000</v>
      </c>
      <c r="AG409" s="437">
        <v>28000</v>
      </c>
      <c r="AH409" s="437">
        <v>28000</v>
      </c>
      <c r="AI409" s="437">
        <v>28000</v>
      </c>
    </row>
    <row r="410" spans="1:35">
      <c r="F410" s="160"/>
      <c r="G410" s="10"/>
      <c r="H410" s="10"/>
      <c r="I410" s="10"/>
      <c r="J410" s="74"/>
      <c r="K410" s="10"/>
      <c r="L410" s="10"/>
      <c r="M410" s="88"/>
      <c r="N410" s="88"/>
      <c r="O410" s="88"/>
      <c r="P410" s="88"/>
      <c r="Q410" s="88"/>
      <c r="R410" s="88"/>
      <c r="S410" s="88"/>
      <c r="T410" s="88"/>
      <c r="U410" s="88"/>
      <c r="V410" s="88"/>
      <c r="W410" s="88"/>
      <c r="X410" s="88"/>
      <c r="Y410" s="410"/>
      <c r="Z410" s="438"/>
      <c r="AA410" s="438"/>
      <c r="AB410" s="438"/>
    </row>
    <row r="411" spans="1:35">
      <c r="C411" s="28"/>
      <c r="D411" s="28"/>
      <c r="E411" s="28" t="s">
        <v>455</v>
      </c>
      <c r="F411" s="174"/>
      <c r="G411" s="210">
        <v>50730</v>
      </c>
      <c r="H411" s="210">
        <v>56000</v>
      </c>
      <c r="I411" s="210" t="s">
        <v>584</v>
      </c>
      <c r="J411" s="74"/>
      <c r="K411" s="10"/>
      <c r="L411" s="10"/>
      <c r="M411" s="88"/>
      <c r="N411" s="88"/>
      <c r="O411" s="88"/>
      <c r="P411" s="88"/>
      <c r="Q411" s="88"/>
      <c r="R411" s="88"/>
      <c r="S411" s="88"/>
      <c r="T411" s="88"/>
      <c r="U411" s="88"/>
      <c r="V411" s="88"/>
      <c r="W411" s="88"/>
      <c r="X411" s="88"/>
      <c r="Y411" s="410"/>
      <c r="Z411" s="438"/>
      <c r="AA411" s="438"/>
      <c r="AB411" s="438"/>
    </row>
    <row r="412" spans="1:35">
      <c r="A412" s="145" t="s">
        <v>1</v>
      </c>
      <c r="B412" s="376" t="s">
        <v>529</v>
      </c>
      <c r="C412" s="27" t="s">
        <v>2</v>
      </c>
      <c r="D412" s="27" t="s">
        <v>2532</v>
      </c>
      <c r="E412" s="27" t="s">
        <v>2433</v>
      </c>
      <c r="F412" s="165"/>
      <c r="G412" s="22" t="s">
        <v>629</v>
      </c>
      <c r="H412" s="22"/>
      <c r="I412" s="22" t="s">
        <v>3</v>
      </c>
      <c r="J412" s="90"/>
      <c r="K412" s="91"/>
      <c r="L412" s="91"/>
      <c r="M412" s="92"/>
      <c r="N412" s="92"/>
      <c r="O412" s="92"/>
      <c r="P412" s="92"/>
      <c r="Q412" s="92"/>
      <c r="R412" s="92"/>
      <c r="S412" s="92"/>
      <c r="T412" s="92"/>
      <c r="U412" s="92"/>
      <c r="V412" s="92"/>
      <c r="W412" s="92"/>
      <c r="X412" s="92"/>
      <c r="Y412" s="411"/>
      <c r="Z412" s="439"/>
      <c r="AA412" s="439"/>
      <c r="AB412" s="439"/>
    </row>
    <row r="413" spans="1:35">
      <c r="A413" s="145">
        <v>45261</v>
      </c>
      <c r="B413" s="376"/>
      <c r="C413" s="27">
        <v>231116</v>
      </c>
      <c r="D413" s="20" t="str">
        <f t="shared" si="171"/>
        <v>高雄工業 静岡</v>
      </c>
      <c r="E413" s="20" t="str">
        <f t="shared" si="172"/>
        <v>NGUYEN VAN THANH</v>
      </c>
      <c r="F413" s="20" t="str">
        <f t="shared" si="173"/>
        <v>グエン　バン　タイン</v>
      </c>
      <c r="G413" s="11"/>
      <c r="H413" s="11"/>
      <c r="I413" s="11">
        <v>28000</v>
      </c>
      <c r="J413" s="65"/>
      <c r="K413" s="11">
        <v>28000</v>
      </c>
      <c r="L413" s="11">
        <v>28000</v>
      </c>
      <c r="M413" s="81">
        <v>28000</v>
      </c>
      <c r="N413" s="81">
        <v>28000</v>
      </c>
      <c r="O413" s="130">
        <v>28000</v>
      </c>
      <c r="P413" s="130">
        <v>28000</v>
      </c>
      <c r="Q413" s="130">
        <v>28000</v>
      </c>
      <c r="R413" s="130">
        <v>28000</v>
      </c>
      <c r="S413" s="130">
        <v>28000</v>
      </c>
      <c r="T413" s="130">
        <v>28000</v>
      </c>
      <c r="U413" s="130">
        <v>28000</v>
      </c>
      <c r="V413" s="130">
        <v>28000</v>
      </c>
      <c r="W413" s="130">
        <v>28000</v>
      </c>
      <c r="X413" s="130">
        <v>28000</v>
      </c>
      <c r="Y413" s="408">
        <v>28000</v>
      </c>
      <c r="Z413" s="437">
        <v>28000</v>
      </c>
      <c r="AA413" s="437">
        <v>28000</v>
      </c>
      <c r="AB413" s="437">
        <v>28000</v>
      </c>
      <c r="AC413" s="437">
        <v>28000</v>
      </c>
      <c r="AD413" s="437">
        <v>28000</v>
      </c>
      <c r="AE413" s="437">
        <v>28000</v>
      </c>
      <c r="AF413" s="437">
        <v>28000</v>
      </c>
      <c r="AG413" s="437">
        <v>28000</v>
      </c>
      <c r="AH413" s="437">
        <v>28000</v>
      </c>
      <c r="AI413" s="437">
        <v>28000</v>
      </c>
    </row>
    <row r="414" spans="1:35" hidden="1">
      <c r="A414" s="145">
        <v>45261</v>
      </c>
      <c r="B414" s="376">
        <v>45676</v>
      </c>
      <c r="C414" s="27">
        <v>231117</v>
      </c>
      <c r="D414" s="20" t="str">
        <f t="shared" ref="D414:D415" si="206">IF(C414="","",_xlfn.XLOOKUP(C414,社員№,派遣先,"",0,-1))</f>
        <v>高雄工業 静岡</v>
      </c>
      <c r="E414" s="20" t="str">
        <f t="shared" ref="E414:E415" si="207">IF(C414="","",_xlfn.XLOOKUP(C414,社員№,氏名,"",0,-1))</f>
        <v>NGUYEN QUANG DIEU</v>
      </c>
      <c r="F414" s="20" t="str">
        <f t="shared" ref="F414:F415" si="208">IF(C414="","",_xlfn.XLOOKUP(C414,社員№,カナ,"",0,-1))</f>
        <v>グエン　クアン　ジエウ</v>
      </c>
      <c r="G414" s="11"/>
      <c r="H414" s="11"/>
      <c r="I414" s="11">
        <v>28000</v>
      </c>
      <c r="J414" s="65"/>
      <c r="K414" s="11">
        <v>28000</v>
      </c>
      <c r="L414" s="11">
        <v>28000</v>
      </c>
      <c r="M414" s="81">
        <v>28000</v>
      </c>
      <c r="N414" s="81">
        <v>28000</v>
      </c>
      <c r="O414" s="81">
        <v>28000</v>
      </c>
      <c r="P414" s="81">
        <v>28000</v>
      </c>
      <c r="Q414" s="81">
        <v>28000</v>
      </c>
      <c r="R414" s="81">
        <v>28000</v>
      </c>
      <c r="S414" s="81">
        <v>28000</v>
      </c>
      <c r="T414" s="81">
        <v>28000</v>
      </c>
      <c r="U414" s="81">
        <v>28000</v>
      </c>
      <c r="V414" s="81">
        <v>28000</v>
      </c>
      <c r="W414" s="81">
        <f>28000+20000</f>
        <v>48000</v>
      </c>
      <c r="X414" s="81">
        <v>0</v>
      </c>
      <c r="Y414" s="413">
        <v>0</v>
      </c>
      <c r="Z414" s="441">
        <v>0</v>
      </c>
      <c r="AA414" s="441">
        <v>0</v>
      </c>
      <c r="AB414" s="441">
        <v>0</v>
      </c>
      <c r="AC414" s="437">
        <v>28000</v>
      </c>
      <c r="AD414" s="437">
        <v>28000</v>
      </c>
      <c r="AE414" s="437">
        <v>28000</v>
      </c>
      <c r="AF414" s="437">
        <v>28000</v>
      </c>
      <c r="AG414" s="437">
        <v>28000</v>
      </c>
      <c r="AH414" s="437">
        <v>28000</v>
      </c>
      <c r="AI414" s="437">
        <v>28000</v>
      </c>
    </row>
    <row r="415" spans="1:35">
      <c r="A415" s="145">
        <v>45717</v>
      </c>
      <c r="B415" s="376"/>
      <c r="C415" s="27">
        <v>220522</v>
      </c>
      <c r="D415" s="20" t="str">
        <f t="shared" si="206"/>
        <v>高雄工業 静岡</v>
      </c>
      <c r="E415" s="20" t="str">
        <f t="shared" si="207"/>
        <v>NGUYEN DINH THANH</v>
      </c>
      <c r="F415" s="20" t="str">
        <f t="shared" si="208"/>
        <v>グエン　ディン　タイン</v>
      </c>
      <c r="G415" s="11"/>
      <c r="H415" s="11"/>
      <c r="I415" s="11"/>
      <c r="J415" s="65"/>
      <c r="O415" s="81"/>
      <c r="P415" s="81"/>
      <c r="Q415" s="81"/>
      <c r="R415" s="81"/>
      <c r="S415" s="81"/>
      <c r="T415" s="81"/>
      <c r="U415" s="81"/>
      <c r="V415" s="81"/>
      <c r="W415" s="81"/>
      <c r="X415" s="81">
        <v>0</v>
      </c>
      <c r="Y415" s="413">
        <v>28000</v>
      </c>
      <c r="Z415" s="441">
        <v>28000</v>
      </c>
      <c r="AA415" s="441">
        <v>28000</v>
      </c>
      <c r="AB415" s="441">
        <v>28000</v>
      </c>
      <c r="AC415" s="437">
        <v>28000</v>
      </c>
      <c r="AD415" s="437">
        <v>28000</v>
      </c>
      <c r="AE415" s="437">
        <v>28000</v>
      </c>
      <c r="AF415" s="437">
        <v>28000</v>
      </c>
      <c r="AG415" s="437">
        <v>28000</v>
      </c>
      <c r="AH415" s="437">
        <v>28000</v>
      </c>
      <c r="AI415" s="437">
        <v>28000</v>
      </c>
    </row>
    <row r="416" spans="1:35">
      <c r="F416" s="160"/>
      <c r="G416" s="10"/>
      <c r="H416" s="10"/>
      <c r="I416" s="10"/>
      <c r="J416" s="74"/>
      <c r="K416" s="10"/>
      <c r="L416" s="10"/>
      <c r="M416" s="88"/>
      <c r="N416" s="88"/>
      <c r="O416" s="88"/>
      <c r="P416" s="88"/>
      <c r="Q416" s="88"/>
      <c r="R416" s="88"/>
      <c r="S416" s="88"/>
      <c r="T416" s="88"/>
      <c r="U416" s="88"/>
      <c r="V416" s="88"/>
      <c r="W416" s="88"/>
      <c r="X416" s="88"/>
      <c r="Y416" s="410"/>
      <c r="Z416" s="438"/>
      <c r="AA416" s="438"/>
      <c r="AB416" s="438"/>
    </row>
    <row r="417" spans="1:35">
      <c r="C417" s="28"/>
      <c r="D417" s="28"/>
      <c r="E417" s="28" t="s">
        <v>448</v>
      </c>
      <c r="F417" s="174"/>
      <c r="G417" s="210">
        <v>57830</v>
      </c>
      <c r="H417" s="210">
        <v>63000</v>
      </c>
      <c r="I417" s="210" t="s">
        <v>25</v>
      </c>
      <c r="J417" s="90" t="s">
        <v>997</v>
      </c>
      <c r="K417" s="91"/>
      <c r="L417" s="91"/>
      <c r="M417" s="92"/>
      <c r="N417" s="92"/>
      <c r="O417" s="92"/>
      <c r="P417" s="92"/>
      <c r="Q417" s="92"/>
      <c r="R417" s="92"/>
      <c r="S417" s="92"/>
      <c r="T417" s="92"/>
      <c r="U417" s="92"/>
      <c r="V417" s="92"/>
      <c r="W417" s="92"/>
      <c r="X417" s="92"/>
      <c r="Y417" s="411"/>
      <c r="Z417" s="439"/>
      <c r="AA417" s="439"/>
      <c r="AB417" s="439"/>
    </row>
    <row r="418" spans="1:35">
      <c r="A418" s="145" t="s">
        <v>1</v>
      </c>
      <c r="B418" s="376" t="s">
        <v>529</v>
      </c>
      <c r="C418" s="27" t="s">
        <v>2</v>
      </c>
      <c r="D418" s="27" t="s">
        <v>2532</v>
      </c>
      <c r="E418" s="27" t="s">
        <v>2433</v>
      </c>
      <c r="F418" s="165"/>
      <c r="G418" s="11" t="s">
        <v>629</v>
      </c>
      <c r="H418" s="11"/>
      <c r="I418" s="11" t="s">
        <v>3</v>
      </c>
      <c r="J418" s="65"/>
    </row>
    <row r="419" spans="1:35">
      <c r="A419" s="145">
        <v>45257</v>
      </c>
      <c r="B419" s="376">
        <v>46053</v>
      </c>
      <c r="C419" s="27">
        <v>231212</v>
      </c>
      <c r="D419" s="20" t="str">
        <f t="shared" si="171"/>
        <v>高雄工業 静岡</v>
      </c>
      <c r="E419" s="20" t="str">
        <f t="shared" si="172"/>
        <v>PHAM KHANH LINH</v>
      </c>
      <c r="F419" s="20" t="str">
        <f t="shared" si="173"/>
        <v>ファム　カイン　リン</v>
      </c>
      <c r="G419" s="11"/>
      <c r="H419" s="11"/>
      <c r="I419" s="65">
        <v>21000</v>
      </c>
      <c r="J419" s="65"/>
      <c r="K419" s="11">
        <v>21000</v>
      </c>
      <c r="L419" s="11">
        <v>21000</v>
      </c>
      <c r="M419" s="81">
        <v>21000</v>
      </c>
      <c r="N419" s="81">
        <v>21000</v>
      </c>
      <c r="O419" s="130">
        <v>21000</v>
      </c>
      <c r="P419" s="130">
        <v>21000</v>
      </c>
      <c r="Q419" s="130">
        <v>21000</v>
      </c>
      <c r="R419" s="130">
        <v>21000</v>
      </c>
      <c r="S419" s="130">
        <v>21000</v>
      </c>
      <c r="T419" s="130">
        <v>21000</v>
      </c>
      <c r="U419" s="130">
        <v>21000</v>
      </c>
      <c r="V419" s="130">
        <v>21000</v>
      </c>
      <c r="W419" s="130">
        <v>21000</v>
      </c>
      <c r="X419" s="130">
        <v>21000</v>
      </c>
      <c r="Y419" s="408">
        <v>21000</v>
      </c>
      <c r="Z419" s="437">
        <v>21000</v>
      </c>
      <c r="AA419" s="437">
        <v>21000</v>
      </c>
      <c r="AB419" s="437">
        <v>21000</v>
      </c>
      <c r="AC419" s="437">
        <v>21000</v>
      </c>
      <c r="AD419" s="437">
        <v>21000</v>
      </c>
      <c r="AE419" s="437">
        <v>21000</v>
      </c>
      <c r="AF419" s="437">
        <v>21000</v>
      </c>
      <c r="AG419" s="437">
        <v>21000</v>
      </c>
      <c r="AH419" s="437">
        <v>21000</v>
      </c>
      <c r="AI419" s="437">
        <v>41000</v>
      </c>
    </row>
    <row r="420" spans="1:35" hidden="1">
      <c r="A420" s="145">
        <v>45257</v>
      </c>
      <c r="B420" s="376">
        <v>45733</v>
      </c>
      <c r="C420" s="27">
        <v>231213</v>
      </c>
      <c r="D420" s="20" t="str">
        <f t="shared" ref="D420:D422" si="209">IF(C420="","",_xlfn.XLOOKUP(C420,社員№,派遣先,"",0,-1))</f>
        <v>高雄工業 静岡</v>
      </c>
      <c r="E420" s="20" t="str">
        <f t="shared" ref="E420:E422" si="210">IF(C420="","",_xlfn.XLOOKUP(C420,社員№,氏名,"",0,-1))</f>
        <v>LE VAN TAI</v>
      </c>
      <c r="F420" s="20" t="str">
        <f t="shared" ref="F420:F422" si="211">IF(C420="","",_xlfn.XLOOKUP(C420,社員№,カナ,"",0,-1))</f>
        <v>レ　バン　タイ</v>
      </c>
      <c r="G420" s="11"/>
      <c r="H420" s="11"/>
      <c r="I420" s="65">
        <v>21000</v>
      </c>
      <c r="J420" s="65"/>
      <c r="K420" s="11">
        <v>21000</v>
      </c>
      <c r="L420" s="11">
        <v>21000</v>
      </c>
      <c r="M420" s="81">
        <v>21000</v>
      </c>
      <c r="N420" s="81">
        <v>21000</v>
      </c>
      <c r="O420" s="81">
        <v>21000</v>
      </c>
      <c r="P420" s="81">
        <v>21000</v>
      </c>
      <c r="Q420" s="81">
        <v>21000</v>
      </c>
      <c r="R420" s="81">
        <v>21000</v>
      </c>
      <c r="S420" s="81">
        <v>21000</v>
      </c>
      <c r="T420" s="81">
        <v>21000</v>
      </c>
      <c r="U420" s="81">
        <v>21000</v>
      </c>
      <c r="V420" s="81">
        <v>21000</v>
      </c>
      <c r="W420" s="81">
        <v>21000</v>
      </c>
      <c r="X420" s="81">
        <v>21000</v>
      </c>
      <c r="Y420" s="413">
        <f>21000+20000</f>
        <v>41000</v>
      </c>
      <c r="Z420" s="441">
        <v>0</v>
      </c>
      <c r="AA420" s="441">
        <v>0</v>
      </c>
      <c r="AB420" s="441">
        <v>0</v>
      </c>
      <c r="AC420" s="475"/>
      <c r="AD420" s="437">
        <v>21000</v>
      </c>
      <c r="AE420" s="437">
        <v>21000</v>
      </c>
      <c r="AF420" s="437">
        <v>21000</v>
      </c>
      <c r="AG420" s="437">
        <v>21000</v>
      </c>
      <c r="AH420" s="437">
        <v>21000</v>
      </c>
      <c r="AI420" s="437">
        <v>21000</v>
      </c>
    </row>
    <row r="421" spans="1:35">
      <c r="A421" s="145">
        <v>45717</v>
      </c>
      <c r="B421" s="376"/>
      <c r="C421" s="27">
        <v>231209</v>
      </c>
      <c r="D421" s="20" t="str">
        <f t="shared" si="209"/>
        <v>高雄工業 静岡</v>
      </c>
      <c r="E421" s="20" t="str">
        <f t="shared" si="210"/>
        <v>NGUYEN DUY TAN</v>
      </c>
      <c r="F421" s="20" t="str">
        <f t="shared" si="211"/>
        <v>グエン　ズイ　タン</v>
      </c>
      <c r="G421" s="11"/>
      <c r="H421" s="11"/>
      <c r="I421" s="203">
        <v>21000</v>
      </c>
      <c r="J421" s="65"/>
      <c r="O421" s="81"/>
      <c r="P421" s="81"/>
      <c r="Q421" s="81"/>
      <c r="R421" s="81"/>
      <c r="S421" s="81"/>
      <c r="T421" s="81"/>
      <c r="U421" s="81"/>
      <c r="V421" s="81"/>
      <c r="W421" s="81"/>
      <c r="X421" s="81"/>
      <c r="Y421" s="413">
        <v>21000</v>
      </c>
      <c r="Z421" s="441">
        <v>21000</v>
      </c>
      <c r="AA421" s="441">
        <v>21000</v>
      </c>
      <c r="AB421" s="441">
        <v>21000</v>
      </c>
      <c r="AC421" s="441">
        <v>21000</v>
      </c>
      <c r="AD421" s="437">
        <v>21000</v>
      </c>
      <c r="AE421" s="437">
        <v>21000</v>
      </c>
      <c r="AF421" s="437">
        <v>21000</v>
      </c>
      <c r="AG421" s="437">
        <v>21000</v>
      </c>
      <c r="AH421" s="437">
        <v>21000</v>
      </c>
      <c r="AI421" s="437">
        <v>21000</v>
      </c>
    </row>
    <row r="422" spans="1:35">
      <c r="A422" s="145">
        <v>45805</v>
      </c>
      <c r="B422" s="376"/>
      <c r="C422" s="27">
        <v>250605</v>
      </c>
      <c r="D422" s="20" t="str">
        <f t="shared" si="209"/>
        <v>高雄工業 静岡</v>
      </c>
      <c r="E422" s="20" t="str">
        <f t="shared" si="210"/>
        <v>BUI QUANG DUNG</v>
      </c>
      <c r="F422" s="20" t="str">
        <f t="shared" si="211"/>
        <v>ブイ　クアン　ズン</v>
      </c>
      <c r="G422" s="11"/>
      <c r="H422" s="11"/>
      <c r="I422" s="203">
        <v>21000</v>
      </c>
      <c r="J422" s="65"/>
      <c r="O422" s="81"/>
      <c r="P422" s="81"/>
      <c r="Q422" s="81"/>
      <c r="R422" s="81"/>
      <c r="S422" s="81"/>
      <c r="T422" s="81"/>
      <c r="U422" s="81"/>
      <c r="V422" s="81"/>
      <c r="W422" s="81"/>
      <c r="X422" s="81"/>
      <c r="Y422" s="413"/>
      <c r="Z422" s="441"/>
      <c r="AA422" s="441"/>
      <c r="AB422" s="441">
        <f>2710+21000</f>
        <v>23710</v>
      </c>
      <c r="AC422" s="441">
        <v>21000</v>
      </c>
      <c r="AD422" s="437">
        <v>21000</v>
      </c>
      <c r="AE422" s="437">
        <v>21000</v>
      </c>
      <c r="AF422" s="437">
        <v>21000</v>
      </c>
      <c r="AG422" s="437">
        <v>21000</v>
      </c>
      <c r="AH422" s="437">
        <v>21000</v>
      </c>
      <c r="AI422" s="437">
        <v>21000</v>
      </c>
    </row>
    <row r="423" spans="1:35">
      <c r="A423" s="145">
        <v>46054</v>
      </c>
      <c r="B423" s="376"/>
      <c r="C423" s="27">
        <v>250607</v>
      </c>
      <c r="D423" s="27" t="s">
        <v>1130</v>
      </c>
      <c r="E423" s="27" t="s">
        <v>1060</v>
      </c>
      <c r="F423" s="27" t="s">
        <v>1061</v>
      </c>
      <c r="G423" s="11"/>
      <c r="H423" s="11"/>
      <c r="I423" s="11"/>
      <c r="J423" s="65"/>
      <c r="O423" s="81"/>
      <c r="P423" s="81"/>
      <c r="Q423" s="81"/>
      <c r="R423" s="81"/>
      <c r="S423" s="81"/>
      <c r="T423" s="81"/>
      <c r="U423" s="81"/>
      <c r="V423" s="81"/>
      <c r="W423" s="81"/>
      <c r="X423" s="81"/>
      <c r="Y423" s="413"/>
      <c r="Z423" s="441"/>
      <c r="AA423" s="441"/>
      <c r="AB423" s="441"/>
      <c r="AC423" s="448"/>
      <c r="AD423" s="1"/>
      <c r="AE423" s="1"/>
      <c r="AI423" s="448">
        <v>0</v>
      </c>
    </row>
    <row r="424" spans="1:35">
      <c r="F424" s="160"/>
      <c r="G424" s="10"/>
      <c r="H424" s="10"/>
      <c r="I424" s="10"/>
      <c r="J424" s="74"/>
      <c r="K424" s="10"/>
      <c r="L424" s="10"/>
      <c r="M424" s="88"/>
      <c r="N424" s="88"/>
      <c r="O424" s="88"/>
      <c r="P424" s="88"/>
      <c r="Q424" s="88"/>
      <c r="R424" s="88"/>
      <c r="S424" s="88"/>
      <c r="T424" s="88"/>
      <c r="U424" s="88"/>
      <c r="V424" s="88"/>
      <c r="W424" s="88"/>
      <c r="X424" s="88"/>
      <c r="Y424" s="410"/>
      <c r="Z424" s="438"/>
      <c r="AA424" s="438"/>
      <c r="AB424" s="438"/>
    </row>
    <row r="425" spans="1:35">
      <c r="C425" s="28"/>
      <c r="D425" s="28"/>
      <c r="E425" s="28" t="s">
        <v>485</v>
      </c>
      <c r="F425" s="174"/>
      <c r="G425" s="210">
        <v>42630</v>
      </c>
      <c r="H425" s="210">
        <v>47630</v>
      </c>
      <c r="I425" s="210" t="s">
        <v>584</v>
      </c>
      <c r="J425" s="74"/>
      <c r="K425" s="10"/>
      <c r="L425" s="10"/>
      <c r="M425" s="88"/>
      <c r="N425" s="88"/>
      <c r="O425" s="88"/>
      <c r="P425" s="88"/>
      <c r="Q425" s="88"/>
      <c r="R425" s="88"/>
      <c r="S425" s="88"/>
      <c r="T425" s="88"/>
      <c r="U425" s="88"/>
      <c r="V425" s="88"/>
      <c r="W425" s="88"/>
      <c r="X425" s="88"/>
      <c r="Y425" s="410"/>
      <c r="Z425" s="438"/>
      <c r="AA425" s="438"/>
      <c r="AB425" s="438"/>
    </row>
    <row r="426" spans="1:35">
      <c r="A426" s="145" t="s">
        <v>1</v>
      </c>
      <c r="B426" s="376" t="s">
        <v>529</v>
      </c>
      <c r="C426" s="27" t="s">
        <v>2</v>
      </c>
      <c r="D426" s="27" t="s">
        <v>2532</v>
      </c>
      <c r="E426" s="27" t="s">
        <v>2433</v>
      </c>
      <c r="F426" s="165"/>
      <c r="G426" s="22" t="s">
        <v>629</v>
      </c>
      <c r="H426" s="22"/>
      <c r="I426" s="22" t="s">
        <v>3</v>
      </c>
      <c r="J426" s="90"/>
      <c r="K426" s="91"/>
      <c r="L426" s="91"/>
      <c r="M426" s="92"/>
      <c r="N426" s="92"/>
      <c r="O426" s="92"/>
      <c r="P426" s="92"/>
      <c r="Q426" s="92"/>
      <c r="R426" s="92"/>
      <c r="S426" s="92"/>
      <c r="T426" s="92"/>
      <c r="U426" s="92"/>
      <c r="V426" s="92"/>
      <c r="W426" s="92"/>
      <c r="X426" s="92"/>
      <c r="Y426" s="411"/>
      <c r="Z426" s="439"/>
      <c r="AA426" s="439"/>
      <c r="AB426" s="439"/>
    </row>
    <row r="427" spans="1:35">
      <c r="A427" s="145">
        <v>45313</v>
      </c>
      <c r="B427" s="376"/>
      <c r="C427" s="27">
        <v>240117</v>
      </c>
      <c r="D427" s="20" t="str">
        <f t="shared" ref="D427:D495" si="212">IF(C427="","",_xlfn.XLOOKUP(C427,社員№,派遣先,"",0,-1))</f>
        <v>高雄工業 静岡</v>
      </c>
      <c r="E427" s="20" t="str">
        <f t="shared" ref="E427:E495" si="213">IF(C427="","",_xlfn.XLOOKUP(C427,社員№,氏名,"",0,-1))</f>
        <v>DO XUAN LOI</v>
      </c>
      <c r="F427" s="20" t="str">
        <f t="shared" ref="F427:F495" si="214">IF(C427="","",_xlfn.XLOOKUP(C427,社員№,カナ,"",0,-1))</f>
        <v>ド　スアン　ロイ</v>
      </c>
      <c r="G427" s="11"/>
      <c r="H427" s="11"/>
      <c r="I427" s="11">
        <v>23815</v>
      </c>
      <c r="J427" s="65"/>
      <c r="K427" s="4">
        <v>7682</v>
      </c>
      <c r="L427" s="11">
        <v>31497</v>
      </c>
      <c r="M427" s="81">
        <v>23815</v>
      </c>
      <c r="N427" s="81">
        <v>23815</v>
      </c>
      <c r="O427" s="130">
        <v>23815</v>
      </c>
      <c r="P427" s="130">
        <v>23815</v>
      </c>
      <c r="Q427" s="130">
        <v>23815</v>
      </c>
      <c r="R427" s="130">
        <v>23815</v>
      </c>
      <c r="S427" s="130">
        <v>23815</v>
      </c>
      <c r="T427" s="130">
        <v>23815</v>
      </c>
      <c r="U427" s="130">
        <v>23815</v>
      </c>
      <c r="V427" s="130">
        <v>23815</v>
      </c>
      <c r="W427" s="130">
        <v>23815</v>
      </c>
      <c r="X427" s="130">
        <v>23815</v>
      </c>
      <c r="Y427" s="408">
        <v>23815</v>
      </c>
      <c r="Z427" s="437">
        <v>23815</v>
      </c>
      <c r="AA427" s="437">
        <v>23815</v>
      </c>
      <c r="AB427" s="437">
        <v>23815</v>
      </c>
      <c r="AC427" s="441">
        <v>23815</v>
      </c>
      <c r="AD427" s="441">
        <v>23815</v>
      </c>
      <c r="AE427" s="437">
        <v>23815</v>
      </c>
      <c r="AF427" s="437">
        <v>23815</v>
      </c>
      <c r="AG427" s="437">
        <v>23815</v>
      </c>
      <c r="AH427" s="437">
        <v>23815</v>
      </c>
      <c r="AI427" s="437">
        <v>23815</v>
      </c>
    </row>
    <row r="428" spans="1:35">
      <c r="A428" s="145">
        <v>45362</v>
      </c>
      <c r="B428" s="376">
        <v>45838</v>
      </c>
      <c r="C428" s="20">
        <v>240316</v>
      </c>
      <c r="D428" s="20" t="str">
        <f t="shared" ref="D428:D430" si="215">IF(C428="","",_xlfn.XLOOKUP(C428,社員№,派遣先,"",0,-1))</f>
        <v>高雄工業 静岡</v>
      </c>
      <c r="E428" s="20" t="str">
        <f t="shared" ref="E428:E430" si="216">IF(C428="","",_xlfn.XLOOKUP(C428,社員№,氏名,"",0,-1))</f>
        <v>LE ANH TU</v>
      </c>
      <c r="F428" s="20" t="str">
        <f t="shared" ref="F428:F430" si="217">IF(C428="","",_xlfn.XLOOKUP(C428,社員№,カナ,"",0,-1))</f>
        <v>レ　アイン　トゥ</v>
      </c>
      <c r="G428" s="11"/>
      <c r="H428" s="11"/>
      <c r="I428" s="11">
        <v>23815</v>
      </c>
      <c r="J428" s="65"/>
      <c r="K428" s="4"/>
      <c r="M428" s="81">
        <v>16133</v>
      </c>
      <c r="N428" s="81">
        <v>23815</v>
      </c>
      <c r="O428" s="81">
        <v>23815</v>
      </c>
      <c r="P428" s="81">
        <v>23815</v>
      </c>
      <c r="Q428" s="81">
        <v>23815</v>
      </c>
      <c r="R428" s="81">
        <v>23815</v>
      </c>
      <c r="S428" s="81">
        <v>23815</v>
      </c>
      <c r="T428" s="81">
        <v>23815</v>
      </c>
      <c r="U428" s="81">
        <v>23815</v>
      </c>
      <c r="V428" s="81">
        <v>23815</v>
      </c>
      <c r="W428" s="81">
        <v>23815</v>
      </c>
      <c r="X428" s="81">
        <v>23815</v>
      </c>
      <c r="Y428" s="413">
        <v>23815</v>
      </c>
      <c r="Z428" s="441">
        <v>23815</v>
      </c>
      <c r="AA428" s="441">
        <v>23815</v>
      </c>
      <c r="AB428" s="441">
        <f>23815+20000</f>
        <v>43815</v>
      </c>
      <c r="AC428" s="448">
        <v>0</v>
      </c>
    </row>
    <row r="429" spans="1:35">
      <c r="A429" s="145">
        <v>45839</v>
      </c>
      <c r="B429" s="376">
        <v>45991</v>
      </c>
      <c r="C429" s="20">
        <v>210406</v>
      </c>
      <c r="D429" s="20" t="str">
        <f t="shared" si="215"/>
        <v>高雄工業 静岡</v>
      </c>
      <c r="E429" s="20" t="str">
        <f t="shared" si="216"/>
        <v>MAI HUNG ANH</v>
      </c>
      <c r="F429" s="20" t="str">
        <f t="shared" si="217"/>
        <v>マイ　フン　アイン</v>
      </c>
      <c r="G429" s="11"/>
      <c r="H429" s="11"/>
      <c r="I429" s="11"/>
      <c r="J429" s="65"/>
      <c r="K429" s="4"/>
      <c r="O429" s="81"/>
      <c r="P429" s="81"/>
      <c r="Q429" s="81"/>
      <c r="R429" s="81"/>
      <c r="S429" s="81"/>
      <c r="T429" s="81"/>
      <c r="U429" s="81"/>
      <c r="V429" s="81"/>
      <c r="W429" s="81"/>
      <c r="X429" s="81"/>
      <c r="Y429" s="413"/>
      <c r="Z429" s="441"/>
      <c r="AA429" s="441"/>
      <c r="AB429" s="441"/>
      <c r="AC429" s="448">
        <v>23815</v>
      </c>
      <c r="AD429" s="448">
        <v>23815</v>
      </c>
      <c r="AE429" s="508">
        <v>23815</v>
      </c>
      <c r="AF429" s="508">
        <v>23815</v>
      </c>
      <c r="AG429" s="508">
        <v>23815</v>
      </c>
      <c r="AH429" s="508">
        <v>0</v>
      </c>
    </row>
    <row r="430" spans="1:35">
      <c r="A430" s="145">
        <v>45991</v>
      </c>
      <c r="B430" s="376"/>
      <c r="C430" s="27">
        <v>251107</v>
      </c>
      <c r="D430" s="20" t="str">
        <f t="shared" si="215"/>
        <v>高雄工業 静岡</v>
      </c>
      <c r="E430" s="20" t="str">
        <f t="shared" si="216"/>
        <v>DUONG CHI THANH</v>
      </c>
      <c r="F430" s="20" t="str">
        <f t="shared" si="217"/>
        <v>ズオン　チー　タイン</v>
      </c>
      <c r="G430" s="11"/>
      <c r="H430" s="11"/>
      <c r="I430" s="11"/>
      <c r="J430" s="65"/>
      <c r="O430" s="81"/>
      <c r="P430" s="81"/>
      <c r="Q430" s="81"/>
      <c r="R430" s="81"/>
      <c r="S430" s="81"/>
      <c r="T430" s="81"/>
      <c r="U430" s="81"/>
      <c r="V430" s="81"/>
      <c r="W430" s="81"/>
      <c r="X430" s="81"/>
      <c r="Y430" s="413"/>
      <c r="Z430" s="441"/>
      <c r="AA430" s="441"/>
      <c r="AB430" s="441"/>
      <c r="AC430" s="448"/>
      <c r="AD430" s="1"/>
      <c r="AE430" s="1"/>
      <c r="AF430" s="27"/>
      <c r="AG430" s="25">
        <v>0</v>
      </c>
      <c r="AH430" s="508">
        <v>23815</v>
      </c>
      <c r="AI430" s="508">
        <v>23815</v>
      </c>
    </row>
    <row r="431" spans="1:35">
      <c r="F431" s="160"/>
      <c r="G431" s="10"/>
      <c r="H431" s="10"/>
      <c r="I431" s="10"/>
      <c r="J431" s="74"/>
      <c r="K431" s="10"/>
      <c r="L431" s="10"/>
      <c r="M431" s="88"/>
      <c r="N431" s="88"/>
      <c r="O431" s="88"/>
      <c r="P431" s="88"/>
      <c r="Q431" s="88"/>
      <c r="R431" s="88"/>
      <c r="S431" s="88"/>
      <c r="T431" s="88"/>
      <c r="U431" s="88"/>
      <c r="V431" s="88"/>
      <c r="W431" s="88"/>
      <c r="X431" s="88"/>
      <c r="Y431" s="410"/>
      <c r="Z431" s="438"/>
      <c r="AA431" s="438"/>
      <c r="AB431" s="438"/>
      <c r="AF431" s="538"/>
      <c r="AG431" s="544"/>
    </row>
    <row r="432" spans="1:35">
      <c r="C432" s="28"/>
      <c r="D432" s="28"/>
      <c r="E432" s="28" t="s">
        <v>2844</v>
      </c>
      <c r="F432" s="174"/>
      <c r="G432" s="210">
        <v>45280</v>
      </c>
      <c r="H432" s="210">
        <v>50100</v>
      </c>
      <c r="I432" s="210" t="s">
        <v>581</v>
      </c>
      <c r="J432" s="74"/>
      <c r="K432" s="10"/>
      <c r="L432" s="10"/>
      <c r="M432" s="88"/>
      <c r="N432" s="88"/>
      <c r="O432" s="88"/>
      <c r="P432" s="88"/>
      <c r="Q432" s="88"/>
      <c r="R432" s="88"/>
      <c r="S432" s="88"/>
      <c r="T432" s="88"/>
      <c r="U432" s="88"/>
      <c r="V432" s="88"/>
      <c r="W432" s="88"/>
      <c r="X432" s="88"/>
      <c r="Y432" s="410"/>
      <c r="Z432" s="438"/>
      <c r="AA432" s="438"/>
      <c r="AB432" s="438"/>
      <c r="AF432" s="538"/>
      <c r="AG432" s="544"/>
    </row>
    <row r="433" spans="1:35">
      <c r="A433" s="145" t="s">
        <v>1</v>
      </c>
      <c r="B433" s="376" t="s">
        <v>529</v>
      </c>
      <c r="C433" s="27" t="s">
        <v>2</v>
      </c>
      <c r="D433" s="27" t="s">
        <v>2532</v>
      </c>
      <c r="E433" s="27" t="s">
        <v>2433</v>
      </c>
      <c r="F433" s="165"/>
      <c r="G433" s="22" t="s">
        <v>629</v>
      </c>
      <c r="H433" s="22"/>
      <c r="I433" s="22" t="s">
        <v>3</v>
      </c>
      <c r="J433" s="90"/>
      <c r="K433" s="91"/>
      <c r="L433" s="91"/>
      <c r="M433" s="92"/>
      <c r="N433" s="92"/>
      <c r="O433" s="92"/>
      <c r="P433" s="92"/>
      <c r="Q433" s="92"/>
      <c r="R433" s="92"/>
      <c r="S433" s="92"/>
      <c r="T433" s="92"/>
      <c r="U433" s="92"/>
      <c r="V433" s="92"/>
      <c r="W433" s="92"/>
      <c r="X433" s="92"/>
      <c r="Y433" s="411"/>
      <c r="Z433" s="439"/>
      <c r="AA433" s="439"/>
      <c r="AB433" s="439"/>
    </row>
    <row r="434" spans="1:35">
      <c r="A434" s="145">
        <v>45357</v>
      </c>
      <c r="B434" s="376"/>
      <c r="C434" s="20">
        <v>240312</v>
      </c>
      <c r="D434" s="20" t="str">
        <f t="shared" si="212"/>
        <v>高雄工業 静岡</v>
      </c>
      <c r="E434" s="20" t="str">
        <f t="shared" si="213"/>
        <v>NGUYEN HONG HIEU</v>
      </c>
      <c r="F434" s="20" t="str">
        <f t="shared" si="214"/>
        <v>グエン　ホン　ヒエウ</v>
      </c>
      <c r="G434" s="11"/>
      <c r="H434" s="11"/>
      <c r="I434" s="11">
        <v>25050</v>
      </c>
      <c r="J434" s="65"/>
      <c r="K434" s="4"/>
      <c r="M434" s="81">
        <v>14006</v>
      </c>
      <c r="N434" s="11">
        <v>16700</v>
      </c>
      <c r="O434" s="22">
        <v>16700</v>
      </c>
      <c r="P434" s="22">
        <v>16700</v>
      </c>
      <c r="Q434" s="22">
        <v>16700</v>
      </c>
      <c r="R434" s="130">
        <v>16700</v>
      </c>
      <c r="S434" s="130">
        <v>16700</v>
      </c>
      <c r="T434" s="130">
        <v>25050</v>
      </c>
      <c r="U434" s="130">
        <v>25050</v>
      </c>
      <c r="V434" s="130">
        <v>25050</v>
      </c>
      <c r="W434" s="130">
        <v>25050</v>
      </c>
      <c r="X434" s="130">
        <v>25050</v>
      </c>
      <c r="Y434" s="408">
        <v>25050</v>
      </c>
      <c r="Z434" s="437">
        <v>25050</v>
      </c>
      <c r="AA434" s="437">
        <v>25050</v>
      </c>
      <c r="AB434" s="437">
        <v>25050</v>
      </c>
      <c r="AC434" s="437">
        <v>25050</v>
      </c>
      <c r="AD434" s="443">
        <v>25050</v>
      </c>
      <c r="AE434" s="493">
        <v>25050</v>
      </c>
      <c r="AF434" s="493">
        <v>25050</v>
      </c>
      <c r="AG434" s="493">
        <v>25050</v>
      </c>
      <c r="AH434" s="493">
        <v>70100</v>
      </c>
      <c r="AI434" s="487"/>
    </row>
    <row r="435" spans="1:35" hidden="1">
      <c r="A435" s="228">
        <v>45357</v>
      </c>
      <c r="B435" s="375">
        <v>45807</v>
      </c>
      <c r="C435" s="85">
        <v>240310</v>
      </c>
      <c r="D435" s="20" t="str">
        <f t="shared" ref="D435:D436" si="218">IF(C435="","",_xlfn.XLOOKUP(C435,社員№,派遣先,"",0,-1))</f>
        <v>高雄工業 静岡</v>
      </c>
      <c r="E435" s="20" t="str">
        <f t="shared" ref="E435:E436" si="219">IF(C435="","",_xlfn.XLOOKUP(C435,社員№,氏名,"",0,-1))</f>
        <v>NGUYEN THANH LUAN</v>
      </c>
      <c r="F435" s="20" t="str">
        <f t="shared" ref="F435:F436" si="220">IF(C435="","",_xlfn.XLOOKUP(C435,社員№,カナ,"",0,-1))</f>
        <v>グエン　タイン　ルアン</v>
      </c>
      <c r="G435" s="3"/>
      <c r="H435" s="3"/>
      <c r="I435" s="3">
        <v>25050</v>
      </c>
      <c r="J435" s="71"/>
      <c r="K435" s="481"/>
      <c r="L435" s="3"/>
      <c r="M435" s="95">
        <v>14006</v>
      </c>
      <c r="N435" s="3">
        <v>16700</v>
      </c>
      <c r="O435" s="111">
        <v>16700</v>
      </c>
      <c r="P435" s="111">
        <v>16700</v>
      </c>
      <c r="Q435" s="111">
        <v>16700</v>
      </c>
      <c r="R435" s="136">
        <v>16700</v>
      </c>
      <c r="S435" s="136">
        <v>16700</v>
      </c>
      <c r="T435" s="136">
        <v>25050</v>
      </c>
      <c r="U435" s="136">
        <v>25050</v>
      </c>
      <c r="V435" s="136">
        <v>25050</v>
      </c>
      <c r="W435" s="136">
        <v>25050</v>
      </c>
      <c r="X435" s="136">
        <v>25050</v>
      </c>
      <c r="Y435" s="421">
        <v>25050</v>
      </c>
      <c r="Z435" s="451">
        <v>25050</v>
      </c>
      <c r="AA435" s="451">
        <f>25050+20000</f>
        <v>45050</v>
      </c>
      <c r="AB435" s="451">
        <v>0</v>
      </c>
      <c r="AC435" s="477">
        <v>0</v>
      </c>
      <c r="AD435" s="1"/>
      <c r="AE435" s="493">
        <v>25050</v>
      </c>
      <c r="AF435" s="493">
        <v>25050</v>
      </c>
      <c r="AG435" s="493">
        <v>25050</v>
      </c>
      <c r="AH435" s="493">
        <v>25050</v>
      </c>
    </row>
    <row r="436" spans="1:35">
      <c r="A436" s="145">
        <v>45854</v>
      </c>
      <c r="B436" s="376"/>
      <c r="C436" s="20">
        <v>250708</v>
      </c>
      <c r="D436" s="20" t="str">
        <f t="shared" si="218"/>
        <v>高雄工業 静岡</v>
      </c>
      <c r="E436" s="20" t="str">
        <f t="shared" si="219"/>
        <v>HUYNH HAI DANG</v>
      </c>
      <c r="F436" s="20" t="str">
        <f t="shared" si="220"/>
        <v>フイン　ハイ　ダン</v>
      </c>
      <c r="G436" s="11"/>
      <c r="H436" s="11"/>
      <c r="I436" s="11"/>
      <c r="J436" s="65"/>
      <c r="K436" s="4"/>
      <c r="N436" s="11"/>
      <c r="O436" s="11"/>
      <c r="P436" s="11"/>
      <c r="Q436" s="11"/>
      <c r="R436" s="81"/>
      <c r="S436" s="81"/>
      <c r="T436" s="81"/>
      <c r="U436" s="81"/>
      <c r="V436" s="81"/>
      <c r="W436" s="81"/>
      <c r="X436" s="81"/>
      <c r="Y436" s="413"/>
      <c r="Z436" s="441"/>
      <c r="AA436" s="441"/>
      <c r="AB436" s="441"/>
      <c r="AC436" s="492">
        <v>12930</v>
      </c>
      <c r="AD436" s="499">
        <v>37980</v>
      </c>
      <c r="AE436" s="493">
        <v>25050</v>
      </c>
      <c r="AF436" s="493">
        <v>25050</v>
      </c>
      <c r="AG436" s="493">
        <v>25050</v>
      </c>
      <c r="AH436" s="493">
        <v>25050</v>
      </c>
      <c r="AI436" s="448">
        <v>25050</v>
      </c>
    </row>
    <row r="437" spans="1:35">
      <c r="A437" s="145">
        <v>46037</v>
      </c>
      <c r="B437" s="376"/>
      <c r="C437" s="20">
        <v>260109</v>
      </c>
      <c r="D437" s="20" t="s">
        <v>2847</v>
      </c>
      <c r="E437" s="20" t="s">
        <v>2845</v>
      </c>
      <c r="F437" s="20" t="s">
        <v>2846</v>
      </c>
      <c r="G437" s="11"/>
      <c r="H437" s="11"/>
      <c r="I437" s="11"/>
      <c r="J437" s="65"/>
      <c r="K437" s="4"/>
      <c r="N437" s="11"/>
      <c r="O437" s="11"/>
      <c r="P437" s="11"/>
      <c r="Q437" s="11"/>
      <c r="R437" s="81"/>
      <c r="S437" s="81"/>
      <c r="T437" s="81"/>
      <c r="U437" s="81"/>
      <c r="V437" s="81"/>
      <c r="W437" s="81"/>
      <c r="X437" s="81"/>
      <c r="Y437" s="413"/>
      <c r="Z437" s="441"/>
      <c r="AA437" s="441"/>
      <c r="AB437" s="441"/>
      <c r="AC437" s="455"/>
      <c r="AD437" s="499"/>
      <c r="AE437" s="443"/>
      <c r="AF437" s="443"/>
      <c r="AG437" s="493"/>
      <c r="AH437" s="493"/>
      <c r="AI437" s="448">
        <v>12930</v>
      </c>
    </row>
    <row r="438" spans="1:35">
      <c r="C438" s="47"/>
      <c r="F438" s="160"/>
      <c r="G438" s="10"/>
      <c r="H438" s="10"/>
      <c r="I438" s="10"/>
      <c r="J438" s="74"/>
      <c r="K438" s="5"/>
      <c r="L438" s="10"/>
      <c r="M438" s="88"/>
      <c r="N438" s="10"/>
      <c r="O438" s="10"/>
      <c r="P438" s="10"/>
      <c r="Q438" s="10"/>
      <c r="R438" s="88"/>
      <c r="S438" s="88"/>
      <c r="T438" s="88"/>
      <c r="U438" s="88"/>
      <c r="V438" s="88"/>
      <c r="W438" s="88"/>
      <c r="X438" s="88"/>
      <c r="Y438" s="410"/>
      <c r="Z438" s="438"/>
      <c r="AA438" s="438"/>
      <c r="AB438" s="438"/>
      <c r="AF438" s="538"/>
    </row>
    <row r="439" spans="1:35">
      <c r="C439" s="28"/>
      <c r="D439" s="28"/>
      <c r="E439" s="28" t="s">
        <v>937</v>
      </c>
      <c r="F439" s="174"/>
      <c r="G439" s="210">
        <v>49630</v>
      </c>
      <c r="H439" s="210">
        <v>55000</v>
      </c>
      <c r="I439" s="210" t="s">
        <v>626</v>
      </c>
      <c r="J439" s="74"/>
      <c r="K439" s="10"/>
      <c r="L439" s="10"/>
      <c r="M439" s="88"/>
      <c r="N439" s="88"/>
      <c r="O439" s="88"/>
      <c r="P439" s="88"/>
      <c r="Q439" s="88"/>
      <c r="R439" s="88"/>
      <c r="S439" s="88"/>
      <c r="T439" s="88"/>
      <c r="U439" s="88"/>
      <c r="V439" s="88"/>
      <c r="W439" s="88"/>
      <c r="X439" s="88"/>
      <c r="Y439" s="410"/>
      <c r="Z439" s="438"/>
      <c r="AA439" s="438"/>
      <c r="AB439" s="438"/>
    </row>
    <row r="440" spans="1:35">
      <c r="A440" s="145" t="s">
        <v>1</v>
      </c>
      <c r="B440" s="376" t="s">
        <v>529</v>
      </c>
      <c r="C440" s="27" t="s">
        <v>2</v>
      </c>
      <c r="D440" s="27" t="s">
        <v>2532</v>
      </c>
      <c r="E440" s="27" t="s">
        <v>2433</v>
      </c>
      <c r="F440" s="165"/>
      <c r="G440" s="22" t="s">
        <v>629</v>
      </c>
      <c r="H440" s="22"/>
      <c r="I440" s="22" t="s">
        <v>3</v>
      </c>
      <c r="J440" s="90"/>
      <c r="K440" s="91"/>
      <c r="L440" s="91"/>
      <c r="M440" s="92"/>
      <c r="N440" s="92"/>
      <c r="O440" s="92"/>
      <c r="P440" s="92"/>
      <c r="Q440" s="92"/>
      <c r="R440" s="92"/>
      <c r="S440" s="92"/>
      <c r="T440" s="92"/>
      <c r="U440" s="92"/>
      <c r="V440" s="92"/>
      <c r="W440" s="92"/>
      <c r="X440" s="92"/>
      <c r="Y440" s="411"/>
      <c r="Z440" s="439"/>
      <c r="AA440" s="439"/>
      <c r="AB440" s="439"/>
    </row>
    <row r="441" spans="1:35">
      <c r="A441" s="145">
        <v>45691</v>
      </c>
      <c r="B441" s="376"/>
      <c r="C441" s="20">
        <v>250202</v>
      </c>
      <c r="D441" s="20" t="str">
        <f t="shared" si="212"/>
        <v>高雄工業 静岡</v>
      </c>
      <c r="E441" s="20" t="str">
        <f t="shared" si="213"/>
        <v>NONG VAN TINH</v>
      </c>
      <c r="F441" s="20" t="str">
        <f t="shared" si="214"/>
        <v>ノン　ヴァン　ティン</v>
      </c>
      <c r="G441" s="11"/>
      <c r="H441" s="11"/>
      <c r="I441" s="11">
        <v>27500</v>
      </c>
      <c r="J441" s="65"/>
      <c r="K441" s="4"/>
      <c r="N441" s="11"/>
      <c r="O441" s="22"/>
      <c r="P441" s="22"/>
      <c r="Q441" s="22"/>
      <c r="X441" s="130">
        <v>25536</v>
      </c>
      <c r="Y441" s="408">
        <v>27500</v>
      </c>
      <c r="Z441" s="437">
        <v>27500</v>
      </c>
      <c r="AA441" s="437">
        <v>27500</v>
      </c>
      <c r="AB441" s="437">
        <v>27500</v>
      </c>
      <c r="AC441" s="437">
        <v>27500</v>
      </c>
      <c r="AD441" s="437">
        <v>27500</v>
      </c>
      <c r="AE441" s="437">
        <v>27500</v>
      </c>
      <c r="AF441" s="437">
        <v>27500</v>
      </c>
      <c r="AG441" s="437">
        <v>27500</v>
      </c>
      <c r="AH441" s="437">
        <v>27500</v>
      </c>
      <c r="AI441" s="437">
        <v>27500</v>
      </c>
    </row>
    <row r="442" spans="1:35">
      <c r="A442" s="145">
        <v>45694</v>
      </c>
      <c r="B442" s="376"/>
      <c r="C442" s="20">
        <v>250217</v>
      </c>
      <c r="D442" s="20" t="str">
        <f t="shared" ref="D442" si="221">IF(C442="","",_xlfn.XLOOKUP(C442,社員№,派遣先,"",0,-1))</f>
        <v>高雄工業 静岡</v>
      </c>
      <c r="E442" s="20" t="str">
        <f t="shared" ref="E442" si="222">IF(C442="","",_xlfn.XLOOKUP(C442,社員№,氏名,"",0,-1))</f>
        <v>MAI XUAN CHAU BINH</v>
      </c>
      <c r="F442" s="20" t="str">
        <f t="shared" ref="F442" si="223">IF(C442="","",_xlfn.XLOOKUP(C442,社員№,カナ,"",0,-1))</f>
        <v>マイ　スアン　チャウ　ビン</v>
      </c>
      <c r="G442" s="11"/>
      <c r="H442" s="11"/>
      <c r="I442" s="11">
        <v>27500</v>
      </c>
      <c r="J442" s="65"/>
      <c r="K442" s="4"/>
      <c r="N442" s="11"/>
      <c r="O442" s="22"/>
      <c r="P442" s="22"/>
      <c r="Q442" s="22"/>
      <c r="X442" s="130">
        <v>22589</v>
      </c>
      <c r="Y442" s="408">
        <v>27500</v>
      </c>
      <c r="Z442" s="437">
        <v>27500</v>
      </c>
      <c r="AA442" s="437">
        <v>27500</v>
      </c>
      <c r="AB442" s="437">
        <v>27500</v>
      </c>
      <c r="AC442" s="437">
        <v>27500</v>
      </c>
      <c r="AD442" s="437">
        <v>27500</v>
      </c>
      <c r="AE442" s="437">
        <v>27500</v>
      </c>
      <c r="AF442" s="437">
        <v>27500</v>
      </c>
      <c r="AG442" s="437">
        <v>27500</v>
      </c>
      <c r="AH442" s="437">
        <v>27500</v>
      </c>
      <c r="AI442" s="437">
        <v>27500</v>
      </c>
    </row>
    <row r="443" spans="1:35">
      <c r="C443" s="47"/>
      <c r="F443" s="160"/>
      <c r="G443" s="10"/>
      <c r="H443" s="10"/>
      <c r="I443" s="10"/>
      <c r="J443" s="74"/>
      <c r="K443" s="5"/>
      <c r="L443" s="10"/>
      <c r="M443" s="88"/>
      <c r="N443" s="10"/>
      <c r="O443" s="10"/>
      <c r="P443" s="10"/>
      <c r="Q443" s="10"/>
      <c r="R443" s="88"/>
      <c r="S443" s="88"/>
      <c r="T443" s="88"/>
      <c r="U443" s="88"/>
      <c r="V443" s="88"/>
      <c r="W443" s="88"/>
      <c r="X443" s="88"/>
      <c r="Y443" s="410"/>
      <c r="Z443" s="438"/>
      <c r="AA443" s="438"/>
      <c r="AB443" s="438"/>
    </row>
    <row r="444" spans="1:35">
      <c r="C444" s="28"/>
      <c r="D444" s="28"/>
      <c r="E444" s="28" t="s">
        <v>938</v>
      </c>
      <c r="F444" s="174"/>
      <c r="G444" s="210">
        <v>47630</v>
      </c>
      <c r="H444" s="210">
        <v>55000</v>
      </c>
      <c r="I444" s="210" t="s">
        <v>626</v>
      </c>
      <c r="J444" s="74"/>
      <c r="K444" s="10"/>
      <c r="L444" s="10"/>
      <c r="M444" s="88"/>
      <c r="N444" s="88"/>
      <c r="O444" s="88"/>
      <c r="P444" s="88"/>
      <c r="Q444" s="88"/>
      <c r="R444" s="88"/>
      <c r="S444" s="88"/>
      <c r="T444" s="88"/>
      <c r="U444" s="88"/>
      <c r="V444" s="88"/>
      <c r="W444" s="88"/>
      <c r="X444" s="88"/>
      <c r="Y444" s="410"/>
      <c r="Z444" s="438"/>
      <c r="AA444" s="438"/>
      <c r="AB444" s="438"/>
    </row>
    <row r="445" spans="1:35">
      <c r="A445" s="145" t="s">
        <v>1</v>
      </c>
      <c r="B445" s="376" t="s">
        <v>529</v>
      </c>
      <c r="C445" s="27" t="s">
        <v>2</v>
      </c>
      <c r="D445" s="27" t="s">
        <v>2532</v>
      </c>
      <c r="E445" s="27" t="s">
        <v>2433</v>
      </c>
      <c r="F445" s="165"/>
      <c r="G445" s="22" t="s">
        <v>629</v>
      </c>
      <c r="H445" s="22"/>
      <c r="I445" s="22" t="s">
        <v>3</v>
      </c>
      <c r="J445" s="90"/>
      <c r="K445" s="91"/>
      <c r="L445" s="91"/>
      <c r="M445" s="92"/>
      <c r="N445" s="92"/>
      <c r="O445" s="92"/>
      <c r="P445" s="92"/>
      <c r="Q445" s="92"/>
      <c r="R445" s="92"/>
      <c r="S445" s="92"/>
      <c r="T445" s="92"/>
      <c r="U445" s="92"/>
      <c r="V445" s="92"/>
      <c r="W445" s="92"/>
      <c r="X445" s="92"/>
      <c r="Y445" s="411"/>
      <c r="Z445" s="439"/>
      <c r="AA445" s="439"/>
      <c r="AB445" s="439"/>
    </row>
    <row r="446" spans="1:35">
      <c r="A446" s="145">
        <v>45691</v>
      </c>
      <c r="B446" s="376">
        <v>45879</v>
      </c>
      <c r="C446" s="20">
        <v>250203</v>
      </c>
      <c r="D446" s="20" t="str">
        <f t="shared" si="212"/>
        <v>高雄工業 静岡</v>
      </c>
      <c r="E446" s="20" t="str">
        <f t="shared" si="213"/>
        <v>NGUYEN THAI HUNG</v>
      </c>
      <c r="F446" s="20" t="str">
        <f t="shared" si="214"/>
        <v>グエン　タイ　フン</v>
      </c>
      <c r="G446" s="11"/>
      <c r="H446" s="11"/>
      <c r="I446" s="11">
        <v>27500</v>
      </c>
      <c r="J446" s="65"/>
      <c r="K446" s="4"/>
      <c r="N446" s="11"/>
      <c r="O446" s="22"/>
      <c r="P446" s="22"/>
      <c r="Q446" s="22"/>
      <c r="X446" s="130">
        <v>25536</v>
      </c>
      <c r="Y446" s="408">
        <v>27500</v>
      </c>
      <c r="Z446" s="437">
        <v>27500</v>
      </c>
      <c r="AA446" s="437">
        <v>27500</v>
      </c>
      <c r="AB446" s="437">
        <v>27500</v>
      </c>
      <c r="AC446" s="437">
        <v>27500</v>
      </c>
      <c r="AD446" s="493">
        <v>38333</v>
      </c>
      <c r="AE446" s="493">
        <v>0</v>
      </c>
      <c r="AF446" s="493">
        <v>0</v>
      </c>
      <c r="AG446" s="493">
        <v>0</v>
      </c>
      <c r="AH446" s="493">
        <v>0</v>
      </c>
    </row>
    <row r="447" spans="1:35">
      <c r="A447" s="145">
        <v>45691</v>
      </c>
      <c r="B447" s="376"/>
      <c r="C447" s="20">
        <v>250204</v>
      </c>
      <c r="D447" s="20" t="str">
        <f t="shared" ref="D447:D448" si="224">IF(C447="","",_xlfn.XLOOKUP(C447,社員№,派遣先,"",0,-1))</f>
        <v>高雄工業 静岡</v>
      </c>
      <c r="E447" s="20" t="str">
        <f t="shared" ref="E447:E448" si="225">IF(C447="","",_xlfn.XLOOKUP(C447,社員№,氏名,"",0,-1))</f>
        <v>TRINH LUONG QUANG</v>
      </c>
      <c r="F447" s="20" t="str">
        <f t="shared" ref="F447:F448" si="226">IF(C447="","",_xlfn.XLOOKUP(C447,社員№,カナ,"",0,-1))</f>
        <v>チン　ルオン　クアン</v>
      </c>
      <c r="G447" s="11"/>
      <c r="H447" s="11"/>
      <c r="I447" s="11">
        <v>27500</v>
      </c>
      <c r="J447" s="65"/>
      <c r="K447" s="4"/>
      <c r="N447" s="11"/>
      <c r="O447" s="22"/>
      <c r="P447" s="22"/>
      <c r="Q447" s="22"/>
      <c r="X447" s="130">
        <v>25536</v>
      </c>
      <c r="Y447" s="408">
        <v>27500</v>
      </c>
      <c r="Z447" s="437">
        <v>27500</v>
      </c>
      <c r="AA447" s="437">
        <v>27500</v>
      </c>
      <c r="AB447" s="437">
        <v>27500</v>
      </c>
      <c r="AC447" s="437">
        <v>27500</v>
      </c>
      <c r="AD447" s="493">
        <v>24842</v>
      </c>
      <c r="AE447" s="493">
        <v>27500</v>
      </c>
      <c r="AF447" s="493">
        <v>27500</v>
      </c>
      <c r="AG447" s="493">
        <v>27500</v>
      </c>
      <c r="AH447" s="493">
        <v>27500</v>
      </c>
      <c r="AI447" s="493">
        <v>27500</v>
      </c>
    </row>
    <row r="448" spans="1:35">
      <c r="A448" s="145">
        <v>45868</v>
      </c>
      <c r="B448" s="376"/>
      <c r="C448" s="20">
        <v>250804</v>
      </c>
      <c r="D448" s="20" t="str">
        <f t="shared" si="224"/>
        <v>高雄工業 静岡</v>
      </c>
      <c r="E448" s="20" t="str">
        <f t="shared" si="225"/>
        <v>NGUYEN THANH PHONG</v>
      </c>
      <c r="F448" s="20" t="str">
        <f t="shared" si="226"/>
        <v>グエン　タイン　フォン</v>
      </c>
      <c r="G448" s="11"/>
      <c r="H448" s="11"/>
      <c r="I448" s="11"/>
      <c r="J448" s="65"/>
      <c r="K448" s="4"/>
      <c r="N448" s="11"/>
      <c r="O448" s="11"/>
      <c r="P448" s="11"/>
      <c r="Q448" s="11"/>
      <c r="R448" s="81"/>
      <c r="S448" s="81"/>
      <c r="T448" s="81"/>
      <c r="U448" s="81"/>
      <c r="V448" s="81"/>
      <c r="W448" s="81"/>
      <c r="X448" s="81"/>
      <c r="Y448" s="413"/>
      <c r="Z448" s="441"/>
      <c r="AA448" s="441"/>
      <c r="AB448" s="441"/>
      <c r="AC448" s="441"/>
      <c r="AD448" s="443">
        <v>24842</v>
      </c>
      <c r="AE448" s="493">
        <v>27500</v>
      </c>
      <c r="AF448" s="493">
        <v>27500</v>
      </c>
      <c r="AG448" s="493">
        <v>27500</v>
      </c>
      <c r="AH448" s="493">
        <v>27500</v>
      </c>
      <c r="AI448" s="493">
        <v>27500</v>
      </c>
    </row>
    <row r="449" spans="1:35">
      <c r="C449" s="47"/>
      <c r="D449" s="47"/>
      <c r="E449" s="47"/>
      <c r="F449" s="47"/>
      <c r="G449" s="10"/>
      <c r="H449" s="10"/>
      <c r="I449" s="10"/>
      <c r="J449" s="74"/>
      <c r="K449" s="5"/>
      <c r="L449" s="10"/>
      <c r="M449" s="88"/>
      <c r="N449" s="10"/>
      <c r="O449" s="10"/>
      <c r="P449" s="10"/>
      <c r="Q449" s="10"/>
      <c r="R449" s="88"/>
      <c r="S449" s="88"/>
      <c r="T449" s="88"/>
      <c r="U449" s="88"/>
      <c r="V449" s="88"/>
      <c r="W449" s="88"/>
      <c r="X449" s="88"/>
      <c r="Y449" s="410"/>
      <c r="Z449" s="438"/>
      <c r="AA449" s="438"/>
      <c r="AB449" s="438"/>
      <c r="AC449" s="438"/>
      <c r="AD449" s="476"/>
      <c r="AE449" s="476"/>
      <c r="AF449" s="493"/>
      <c r="AG449" s="493"/>
    </row>
    <row r="450" spans="1:35">
      <c r="C450" s="28"/>
      <c r="D450" s="28"/>
      <c r="E450" s="28" t="s">
        <v>2659</v>
      </c>
      <c r="F450" s="28"/>
      <c r="G450" s="210">
        <v>48650</v>
      </c>
      <c r="H450" s="210">
        <v>53650</v>
      </c>
      <c r="I450" s="10"/>
      <c r="J450" s="74"/>
      <c r="K450" s="5"/>
      <c r="L450" s="10"/>
      <c r="M450" s="88"/>
      <c r="N450" s="10"/>
      <c r="O450" s="10"/>
      <c r="P450" s="10"/>
      <c r="Q450" s="10"/>
      <c r="R450" s="88"/>
      <c r="S450" s="88"/>
      <c r="T450" s="88"/>
      <c r="U450" s="88"/>
      <c r="V450" s="88"/>
      <c r="W450" s="88"/>
      <c r="X450" s="88"/>
      <c r="Y450" s="410"/>
      <c r="Z450" s="438"/>
      <c r="AA450" s="438"/>
      <c r="AB450" s="438"/>
      <c r="AC450" s="438"/>
      <c r="AD450" s="476"/>
      <c r="AE450" s="476"/>
      <c r="AF450" s="493"/>
      <c r="AG450" s="493"/>
    </row>
    <row r="451" spans="1:35">
      <c r="A451" s="145" t="s">
        <v>1</v>
      </c>
      <c r="B451" s="376" t="s">
        <v>529</v>
      </c>
      <c r="C451" s="20" t="s">
        <v>2</v>
      </c>
      <c r="D451" s="20" t="s">
        <v>2547</v>
      </c>
      <c r="E451" s="20" t="s">
        <v>2548</v>
      </c>
      <c r="F451" s="20"/>
      <c r="G451" s="11" t="s">
        <v>629</v>
      </c>
      <c r="H451" s="11" t="s">
        <v>2662</v>
      </c>
      <c r="I451" s="11" t="s">
        <v>2661</v>
      </c>
      <c r="J451" s="65"/>
      <c r="K451" s="4"/>
      <c r="N451" s="11"/>
      <c r="O451" s="11"/>
      <c r="P451" s="11"/>
      <c r="Q451" s="11"/>
      <c r="R451" s="81"/>
      <c r="S451" s="81"/>
      <c r="T451" s="81"/>
      <c r="U451" s="81"/>
      <c r="V451" s="81"/>
      <c r="W451" s="81"/>
      <c r="X451" s="81"/>
      <c r="Y451" s="413"/>
      <c r="Z451" s="441"/>
      <c r="AA451" s="441"/>
      <c r="AB451" s="441"/>
      <c r="AC451" s="441"/>
      <c r="AD451" s="443"/>
      <c r="AE451" s="443"/>
      <c r="AF451" s="493"/>
      <c r="AG451" s="493"/>
    </row>
    <row r="452" spans="1:35">
      <c r="A452" s="145">
        <v>45991</v>
      </c>
      <c r="B452" s="376"/>
      <c r="C452" s="20">
        <v>251105</v>
      </c>
      <c r="D452" s="20" t="str">
        <f t="shared" ref="D452" si="227">IF(C452="","",_xlfn.XLOOKUP(C452,社員№,派遣先,"",0,-1))</f>
        <v>高雄工業 静岡</v>
      </c>
      <c r="E452" s="20" t="str">
        <f t="shared" ref="E452" si="228">IF(C452="","",_xlfn.XLOOKUP(C452,社員№,氏名,"",0,-1))</f>
        <v>DOAN NGOC THANG</v>
      </c>
      <c r="F452" s="20" t="str">
        <f t="shared" ref="F452" si="229">IF(C452="","",_xlfn.XLOOKUP(C452,社員№,カナ,"",0,-1))</f>
        <v>ドアン　ゴック　タン</v>
      </c>
      <c r="G452" s="11"/>
      <c r="H452" s="11">
        <v>26825</v>
      </c>
      <c r="I452" s="11"/>
      <c r="J452" s="65"/>
      <c r="K452" s="4"/>
      <c r="N452" s="11"/>
      <c r="O452" s="11"/>
      <c r="P452" s="11"/>
      <c r="Q452" s="11"/>
      <c r="R452" s="81"/>
      <c r="S452" s="81"/>
      <c r="T452" s="81"/>
      <c r="U452" s="81"/>
      <c r="V452" s="81"/>
      <c r="W452" s="81"/>
      <c r="X452" s="81"/>
      <c r="Y452" s="413"/>
      <c r="Z452" s="441"/>
      <c r="AA452" s="441"/>
      <c r="AB452" s="441"/>
      <c r="AC452" s="441"/>
      <c r="AD452" s="443"/>
      <c r="AE452" s="443"/>
      <c r="AF452" s="493"/>
      <c r="AG452" s="493">
        <v>0</v>
      </c>
      <c r="AH452" s="508">
        <v>26825</v>
      </c>
      <c r="AI452" s="508">
        <v>26825</v>
      </c>
    </row>
    <row r="453" spans="1:35">
      <c r="A453" s="145">
        <v>45991</v>
      </c>
      <c r="B453" s="376"/>
      <c r="C453" s="20">
        <v>251106</v>
      </c>
      <c r="D453" s="20" t="str">
        <f t="shared" ref="D453" si="230">IF(C453="","",_xlfn.XLOOKUP(C453,社員№,派遣先,"",0,-1))</f>
        <v>高雄工業 静岡</v>
      </c>
      <c r="E453" s="20" t="str">
        <f t="shared" ref="E453" si="231">IF(C453="","",_xlfn.XLOOKUP(C453,社員№,氏名,"",0,-1))</f>
        <v>NGUYEN MANH HA</v>
      </c>
      <c r="F453" s="20" t="str">
        <f t="shared" ref="F453" si="232">IF(C453="","",_xlfn.XLOOKUP(C453,社員№,カナ,"",0,-1))</f>
        <v>グエン　マイン　ハー</v>
      </c>
      <c r="G453" s="11"/>
      <c r="H453" s="11">
        <v>26825</v>
      </c>
      <c r="I453" s="11"/>
      <c r="J453" s="65"/>
      <c r="K453" s="4"/>
      <c r="N453" s="11"/>
      <c r="O453" s="11"/>
      <c r="P453" s="11"/>
      <c r="Q453" s="11"/>
      <c r="R453" s="81"/>
      <c r="S453" s="81"/>
      <c r="T453" s="81"/>
      <c r="U453" s="81"/>
      <c r="V453" s="81"/>
      <c r="W453" s="81"/>
      <c r="X453" s="81"/>
      <c r="Y453" s="413"/>
      <c r="Z453" s="441"/>
      <c r="AA453" s="441"/>
      <c r="AB453" s="441"/>
      <c r="AC453" s="441"/>
      <c r="AD453" s="443"/>
      <c r="AE453" s="443"/>
      <c r="AF453" s="493"/>
      <c r="AG453" s="493">
        <v>0</v>
      </c>
      <c r="AH453" s="508">
        <v>26825</v>
      </c>
      <c r="AI453" s="508">
        <v>26825</v>
      </c>
    </row>
    <row r="454" spans="1:35">
      <c r="F454" s="160"/>
      <c r="G454" s="10"/>
      <c r="H454" s="10"/>
      <c r="I454" s="10"/>
      <c r="J454" s="74"/>
      <c r="K454" s="10"/>
      <c r="L454" s="10"/>
      <c r="M454" s="88"/>
      <c r="N454" s="88"/>
      <c r="O454" s="88"/>
      <c r="P454" s="88"/>
      <c r="Q454" s="88"/>
      <c r="R454" s="88"/>
      <c r="S454" s="88"/>
      <c r="T454" s="88"/>
      <c r="U454" s="88"/>
      <c r="V454" s="88"/>
      <c r="W454" s="88"/>
      <c r="X454" s="88"/>
      <c r="Y454" s="410"/>
      <c r="Z454" s="438"/>
      <c r="AA454" s="438"/>
      <c r="AB454" s="438"/>
    </row>
    <row r="455" spans="1:35">
      <c r="A455" s="515" t="s">
        <v>2648</v>
      </c>
      <c r="C455" s="29"/>
      <c r="D455" s="29"/>
      <c r="E455" s="29" t="s">
        <v>2458</v>
      </c>
      <c r="F455" s="176"/>
      <c r="G455" s="210">
        <v>49500</v>
      </c>
      <c r="H455" s="210">
        <v>54000</v>
      </c>
      <c r="I455" s="210" t="s">
        <v>583</v>
      </c>
      <c r="J455" s="74"/>
      <c r="K455" s="10"/>
      <c r="L455" s="10"/>
      <c r="M455" s="88"/>
      <c r="N455" s="88"/>
      <c r="O455" s="88"/>
      <c r="P455" s="88"/>
      <c r="Q455" s="88"/>
      <c r="R455" s="88"/>
      <c r="S455" s="88"/>
      <c r="T455" s="88"/>
      <c r="U455" s="88"/>
      <c r="V455" s="88"/>
      <c r="W455" s="88"/>
      <c r="X455" s="88"/>
      <c r="Y455" s="410"/>
      <c r="Z455" s="438"/>
      <c r="AA455" s="438"/>
      <c r="AB455" s="438"/>
    </row>
    <row r="456" spans="1:35">
      <c r="A456" s="145" t="s">
        <v>1</v>
      </c>
      <c r="B456" s="376" t="s">
        <v>529</v>
      </c>
      <c r="C456" s="27" t="s">
        <v>2</v>
      </c>
      <c r="D456" s="27" t="s">
        <v>2532</v>
      </c>
      <c r="E456" s="27" t="s">
        <v>2433</v>
      </c>
      <c r="F456" s="165"/>
      <c r="G456" s="22" t="s">
        <v>629</v>
      </c>
      <c r="H456" s="22"/>
      <c r="I456" s="22" t="s">
        <v>3</v>
      </c>
      <c r="J456" s="90"/>
      <c r="K456" s="91"/>
      <c r="L456" s="91"/>
      <c r="M456" s="92"/>
      <c r="N456" s="92"/>
      <c r="O456" s="92"/>
      <c r="P456" s="92"/>
      <c r="Q456" s="92"/>
      <c r="R456" s="92"/>
      <c r="S456" s="92"/>
      <c r="T456" s="92"/>
      <c r="U456" s="92"/>
      <c r="V456" s="92"/>
      <c r="W456" s="92"/>
      <c r="X456" s="92"/>
      <c r="Y456" s="411"/>
      <c r="Z456" s="439"/>
      <c r="AA456" s="439"/>
      <c r="AB456" s="439"/>
    </row>
    <row r="457" spans="1:35" hidden="1">
      <c r="A457" s="150">
        <v>45419</v>
      </c>
      <c r="B457" s="384">
        <v>45748</v>
      </c>
      <c r="C457" s="20">
        <v>240506</v>
      </c>
      <c r="D457" s="20" t="str">
        <f t="shared" si="212"/>
        <v>高雄工業 岡山</v>
      </c>
      <c r="E457" s="20" t="str">
        <f t="shared" si="213"/>
        <v>PHAN TRUNG NAM</v>
      </c>
      <c r="F457" s="20" t="str">
        <f t="shared" si="214"/>
        <v>ファン　チュン　ナム</v>
      </c>
      <c r="G457" s="11"/>
      <c r="H457" s="11" t="s">
        <v>965</v>
      </c>
      <c r="I457" s="11">
        <v>27000</v>
      </c>
      <c r="J457" s="65"/>
      <c r="O457" s="130">
        <v>21774</v>
      </c>
      <c r="P457" s="130">
        <v>27000</v>
      </c>
      <c r="Q457" s="130">
        <v>27000</v>
      </c>
      <c r="R457" s="130">
        <v>27000</v>
      </c>
      <c r="S457" s="130">
        <v>27000</v>
      </c>
      <c r="T457" s="130">
        <v>27000</v>
      </c>
      <c r="U457" s="130">
        <v>27000</v>
      </c>
      <c r="V457" s="130">
        <v>27000</v>
      </c>
      <c r="W457" s="130">
        <v>27000</v>
      </c>
      <c r="X457" s="130">
        <v>27000</v>
      </c>
      <c r="Y457" s="408">
        <v>27000</v>
      </c>
      <c r="Z457" s="437">
        <v>0</v>
      </c>
      <c r="AA457" s="437">
        <v>0</v>
      </c>
      <c r="AB457" s="437">
        <v>0</v>
      </c>
    </row>
    <row r="458" spans="1:35">
      <c r="A458" s="150">
        <v>45705</v>
      </c>
      <c r="B458" s="384">
        <v>45980</v>
      </c>
      <c r="C458" s="557" t="s">
        <v>2853</v>
      </c>
      <c r="D458" s="20" t="str">
        <f t="shared" ref="D458:D460" si="233">IF(C458="","",_xlfn.XLOOKUP(C458,社員№,派遣先,"",0,-1))</f>
        <v>梱包</v>
      </c>
      <c r="E458" s="20" t="str">
        <f t="shared" ref="E458:E460" si="234">IF(C458="","",_xlfn.XLOOKUP(C458,社員№,氏名,"",0,-1))</f>
        <v>BUI MINH TUAN</v>
      </c>
      <c r="F458" s="20" t="str">
        <f t="shared" ref="F458:F460" si="235">IF(C458="","",_xlfn.XLOOKUP(C458,社員№,カナ,"",0,-1))</f>
        <v>ブイ　ミン　トゥアン</v>
      </c>
      <c r="G458" s="11"/>
      <c r="H458" s="11"/>
      <c r="I458" s="11">
        <v>27000</v>
      </c>
      <c r="J458" s="398"/>
      <c r="N458" s="82"/>
      <c r="O458" s="82"/>
      <c r="P458" s="82"/>
      <c r="Q458" s="82"/>
      <c r="R458" s="82"/>
      <c r="S458" s="82"/>
      <c r="T458" s="82"/>
      <c r="U458" s="82"/>
      <c r="V458" s="82"/>
      <c r="W458" s="82"/>
      <c r="X458" s="118">
        <v>11571</v>
      </c>
      <c r="Y458" s="202">
        <f>11571+27000</f>
        <v>38571</v>
      </c>
      <c r="Z458" s="446">
        <f>900+10800+9900</f>
        <v>21600</v>
      </c>
      <c r="AA458" s="446">
        <v>27000</v>
      </c>
      <c r="AB458" s="446">
        <v>27000</v>
      </c>
      <c r="AC458" s="446">
        <v>27000</v>
      </c>
      <c r="AD458" s="446">
        <v>27000</v>
      </c>
      <c r="AE458" s="444">
        <v>27000</v>
      </c>
      <c r="AF458" s="444">
        <v>27000</v>
      </c>
      <c r="AG458" s="444">
        <v>0</v>
      </c>
    </row>
    <row r="459" spans="1:35">
      <c r="A459" s="228">
        <v>45748</v>
      </c>
      <c r="B459" s="375">
        <v>45866</v>
      </c>
      <c r="C459" s="556" t="s">
        <v>2855</v>
      </c>
      <c r="D459" s="20" t="str">
        <f t="shared" si="233"/>
        <v>梱包</v>
      </c>
      <c r="E459" s="20" t="str">
        <f t="shared" si="234"/>
        <v>NGUYEN HOANG HIEP</v>
      </c>
      <c r="F459" s="20" t="str">
        <f t="shared" si="235"/>
        <v>グエン　ホアン　ヒエップ</v>
      </c>
      <c r="G459" s="3"/>
      <c r="H459" s="3"/>
      <c r="I459" s="3">
        <v>18000</v>
      </c>
      <c r="J459" s="494"/>
      <c r="K459" s="3"/>
      <c r="L459" s="3"/>
      <c r="M459" s="95"/>
      <c r="N459" s="495"/>
      <c r="O459" s="495"/>
      <c r="P459" s="495"/>
      <c r="Q459" s="495"/>
      <c r="R459" s="495"/>
      <c r="S459" s="495"/>
      <c r="T459" s="495"/>
      <c r="U459" s="495"/>
      <c r="V459" s="495"/>
      <c r="W459" s="495"/>
      <c r="X459" s="495"/>
      <c r="Y459" s="496"/>
      <c r="Z459" s="497">
        <f>7484+900+10800+9900</f>
        <v>29084</v>
      </c>
      <c r="AA459" s="497">
        <v>27000</v>
      </c>
      <c r="AB459" s="497">
        <v>27000</v>
      </c>
      <c r="AC459" s="498">
        <v>0</v>
      </c>
    </row>
    <row r="460" spans="1:35">
      <c r="A460" s="145">
        <v>45861</v>
      </c>
      <c r="B460" s="376">
        <v>45980</v>
      </c>
      <c r="C460" s="27">
        <v>250709</v>
      </c>
      <c r="D460" s="20" t="str">
        <f t="shared" si="233"/>
        <v>高雄工業 岡山</v>
      </c>
      <c r="E460" s="20" t="str">
        <f t="shared" si="234"/>
        <v>NGUYEN CHI THONG</v>
      </c>
      <c r="F460" s="20" t="str">
        <f t="shared" si="235"/>
        <v>グエン　チ　トン</v>
      </c>
      <c r="G460" s="11"/>
      <c r="H460" s="11"/>
      <c r="I460" s="11"/>
      <c r="J460" s="398"/>
      <c r="N460" s="82"/>
      <c r="O460" s="82"/>
      <c r="P460" s="82"/>
      <c r="Q460" s="82"/>
      <c r="R460" s="82"/>
      <c r="S460" s="82"/>
      <c r="T460" s="82"/>
      <c r="U460" s="82"/>
      <c r="V460" s="82"/>
      <c r="W460" s="82"/>
      <c r="X460" s="82"/>
      <c r="Y460" s="202"/>
      <c r="Z460" s="446"/>
      <c r="AA460" s="446"/>
      <c r="AB460" s="446"/>
      <c r="AC460" s="448">
        <v>7840</v>
      </c>
      <c r="AD460" s="499">
        <v>34840</v>
      </c>
      <c r="AE460" s="499">
        <v>27500</v>
      </c>
      <c r="AF460" s="522">
        <v>27500</v>
      </c>
      <c r="AG460" s="522">
        <v>0</v>
      </c>
    </row>
    <row r="461" spans="1:35">
      <c r="F461" s="160"/>
      <c r="G461" s="10"/>
      <c r="H461" s="10"/>
      <c r="I461" s="10"/>
      <c r="J461" s="139"/>
      <c r="K461" s="10"/>
      <c r="L461" s="10"/>
      <c r="M461" s="88"/>
      <c r="N461" s="140"/>
      <c r="O461" s="140"/>
      <c r="P461" s="140"/>
      <c r="Q461" s="140"/>
      <c r="R461" s="140"/>
      <c r="S461" s="140"/>
      <c r="T461" s="140"/>
      <c r="U461" s="140"/>
      <c r="V461" s="140"/>
      <c r="W461" s="140"/>
      <c r="X461" s="140"/>
      <c r="Y461" s="419"/>
      <c r="Z461" s="449"/>
      <c r="AA461" s="449"/>
      <c r="AB461" s="449"/>
    </row>
    <row r="462" spans="1:35">
      <c r="A462" s="515" t="s">
        <v>2580</v>
      </c>
      <c r="C462" s="29"/>
      <c r="D462" s="29"/>
      <c r="E462" s="29" t="s">
        <v>2459</v>
      </c>
      <c r="F462" s="176"/>
      <c r="G462" s="210">
        <v>30000</v>
      </c>
      <c r="H462" s="210">
        <v>33000</v>
      </c>
      <c r="I462" s="210" t="s">
        <v>582</v>
      </c>
      <c r="K462" s="10"/>
      <c r="L462" s="10"/>
      <c r="M462" s="88"/>
      <c r="N462" s="88"/>
      <c r="O462" s="88"/>
      <c r="P462" s="88"/>
      <c r="Q462" s="88"/>
      <c r="R462" s="88"/>
      <c r="S462" s="88"/>
      <c r="T462" s="88"/>
      <c r="U462" s="88"/>
      <c r="V462" s="88"/>
      <c r="W462" s="88"/>
      <c r="X462" s="88"/>
      <c r="Y462" s="410"/>
      <c r="Z462" s="438"/>
      <c r="AA462" s="438"/>
      <c r="AB462" s="472" t="s">
        <v>2575</v>
      </c>
    </row>
    <row r="463" spans="1:35">
      <c r="A463" s="148" t="s">
        <v>1</v>
      </c>
      <c r="B463" s="377" t="s">
        <v>529</v>
      </c>
      <c r="C463" s="27" t="s">
        <v>2</v>
      </c>
      <c r="D463" s="27" t="s">
        <v>2532</v>
      </c>
      <c r="E463" s="27" t="s">
        <v>2433</v>
      </c>
      <c r="F463" s="165"/>
      <c r="G463" s="22" t="s">
        <v>629</v>
      </c>
      <c r="H463" s="22"/>
      <c r="I463" s="22" t="s">
        <v>3</v>
      </c>
      <c r="J463" s="90"/>
      <c r="K463" s="91"/>
      <c r="L463" s="91"/>
      <c r="M463" s="92"/>
      <c r="N463" s="92"/>
      <c r="O463" s="92"/>
      <c r="P463" s="92"/>
      <c r="Q463" s="92"/>
      <c r="R463" s="92"/>
      <c r="S463" s="92"/>
      <c r="T463" s="92"/>
      <c r="U463" s="92"/>
      <c r="V463" s="92"/>
      <c r="W463" s="92"/>
      <c r="X463" s="92"/>
      <c r="Y463" s="411"/>
      <c r="Z463" s="439"/>
      <c r="AA463" s="439"/>
      <c r="AB463" s="439"/>
    </row>
    <row r="464" spans="1:35" hidden="1">
      <c r="A464" s="145">
        <v>44541</v>
      </c>
      <c r="B464" s="376">
        <v>45561</v>
      </c>
      <c r="C464" s="27">
        <v>220807</v>
      </c>
      <c r="D464" s="20" t="str">
        <f t="shared" si="212"/>
        <v>高雄工業 岡山</v>
      </c>
      <c r="E464" s="20" t="str">
        <f t="shared" si="213"/>
        <v>PHAM DINH SANG</v>
      </c>
      <c r="F464" s="20" t="str">
        <f t="shared" si="214"/>
        <v>ファム　ディン　サン</v>
      </c>
      <c r="G464" s="11"/>
      <c r="H464" s="11"/>
      <c r="I464" s="11">
        <v>38000</v>
      </c>
      <c r="J464" s="65"/>
      <c r="K464" s="11">
        <v>38000</v>
      </c>
      <c r="L464" s="11">
        <v>38000</v>
      </c>
      <c r="M464" s="81">
        <v>38000</v>
      </c>
      <c r="N464" s="81">
        <v>38000</v>
      </c>
      <c r="O464" s="81">
        <v>38000</v>
      </c>
      <c r="P464" s="81">
        <v>38000</v>
      </c>
      <c r="Q464" s="81">
        <v>38000</v>
      </c>
      <c r="R464" s="81">
        <v>38000</v>
      </c>
      <c r="S464" s="81">
        <f>38000+20000</f>
        <v>58000</v>
      </c>
      <c r="T464" s="81">
        <v>0</v>
      </c>
      <c r="U464" s="81">
        <v>0</v>
      </c>
      <c r="V464" s="81">
        <v>0</v>
      </c>
      <c r="W464" s="81">
        <v>0</v>
      </c>
      <c r="X464" s="81">
        <v>0</v>
      </c>
      <c r="Y464" s="413">
        <v>0</v>
      </c>
      <c r="Z464" s="441">
        <v>0</v>
      </c>
      <c r="AA464" s="441">
        <v>0</v>
      </c>
      <c r="AB464" s="441">
        <v>0</v>
      </c>
    </row>
    <row r="465" spans="1:35">
      <c r="A465" s="145">
        <v>45565</v>
      </c>
      <c r="B465" s="376">
        <v>45838</v>
      </c>
      <c r="C465" s="27">
        <v>231120</v>
      </c>
      <c r="D465" s="20" t="str">
        <f t="shared" ref="D465" si="236">IF(C465="","",_xlfn.XLOOKUP(C465,社員№,派遣先,"",0,-1))</f>
        <v>ユアサ工機 御津</v>
      </c>
      <c r="E465" s="20" t="str">
        <f t="shared" ref="E465" si="237">IF(C465="","",_xlfn.XLOOKUP(C465,社員№,氏名,"",0,-1))</f>
        <v>PHAN VAN QUY</v>
      </c>
      <c r="F465" s="20" t="str">
        <f t="shared" ref="F465" si="238">IF(C465="","",_xlfn.XLOOKUP(C465,社員№,カナ,"",0,-1))</f>
        <v>ファン　ヴァン　クイ</v>
      </c>
      <c r="G465" s="11"/>
      <c r="H465" s="11"/>
      <c r="I465" s="11">
        <v>33000</v>
      </c>
      <c r="J465" s="65"/>
      <c r="O465" s="81"/>
      <c r="P465" s="81"/>
      <c r="Q465" s="81"/>
      <c r="R465" s="81"/>
      <c r="S465" s="81"/>
      <c r="T465" s="81">
        <f>1100+33000</f>
        <v>34100</v>
      </c>
      <c r="U465" s="81">
        <v>33000</v>
      </c>
      <c r="V465" s="81">
        <v>33000</v>
      </c>
      <c r="W465" s="81">
        <v>33000</v>
      </c>
      <c r="X465" s="81">
        <v>33000</v>
      </c>
      <c r="Y465" s="413">
        <v>33000</v>
      </c>
      <c r="Z465" s="441">
        <v>33000</v>
      </c>
      <c r="AA465" s="441">
        <v>33000</v>
      </c>
      <c r="AB465" s="441">
        <v>33000</v>
      </c>
      <c r="AC465" s="448">
        <v>20000</v>
      </c>
      <c r="AD465" s="479">
        <v>0</v>
      </c>
    </row>
    <row r="466" spans="1:35">
      <c r="A466" s="147"/>
      <c r="F466" s="160"/>
      <c r="G466" s="10"/>
      <c r="H466" s="10"/>
      <c r="I466" s="10"/>
      <c r="J466" s="74"/>
      <c r="K466" s="10"/>
      <c r="L466" s="10"/>
      <c r="M466" s="88"/>
      <c r="N466" s="88"/>
      <c r="O466" s="88"/>
      <c r="P466" s="88"/>
      <c r="Q466" s="88"/>
      <c r="R466" s="88"/>
      <c r="S466" s="88"/>
      <c r="T466" s="88"/>
      <c r="U466" s="88"/>
      <c r="V466" s="88"/>
      <c r="W466" s="88"/>
      <c r="X466" s="88"/>
      <c r="Y466" s="410"/>
      <c r="Z466" s="438"/>
      <c r="AA466" s="438"/>
      <c r="AB466" s="438"/>
    </row>
    <row r="467" spans="1:35">
      <c r="A467" s="147"/>
      <c r="C467" s="29"/>
      <c r="D467" s="29"/>
      <c r="E467" s="29" t="s">
        <v>267</v>
      </c>
      <c r="F467" s="176"/>
      <c r="G467" s="210">
        <v>42000</v>
      </c>
      <c r="H467" s="210">
        <v>42000</v>
      </c>
      <c r="I467" s="210" t="s">
        <v>589</v>
      </c>
      <c r="J467" s="233"/>
      <c r="K467" s="10"/>
      <c r="L467" s="10"/>
      <c r="M467" s="88"/>
      <c r="N467" s="88"/>
      <c r="O467" s="88"/>
      <c r="P467" s="88"/>
      <c r="Q467" s="88"/>
      <c r="R467" s="88"/>
      <c r="S467" s="88"/>
      <c r="T467" s="88"/>
      <c r="U467" s="88"/>
      <c r="V467" s="88"/>
      <c r="W467" s="88"/>
      <c r="X467" s="88"/>
      <c r="Y467" s="410"/>
      <c r="Z467" s="438"/>
      <c r="AA467" s="438"/>
      <c r="AB467" s="438"/>
    </row>
    <row r="468" spans="1:35">
      <c r="A468" s="145" t="s">
        <v>1</v>
      </c>
      <c r="B468" s="376" t="s">
        <v>529</v>
      </c>
      <c r="C468" s="27" t="s">
        <v>2</v>
      </c>
      <c r="D468" s="27" t="s">
        <v>2532</v>
      </c>
      <c r="E468" s="27" t="s">
        <v>2433</v>
      </c>
      <c r="F468" s="165"/>
      <c r="G468" s="22" t="s">
        <v>629</v>
      </c>
      <c r="H468" s="22"/>
      <c r="I468" s="22" t="s">
        <v>3</v>
      </c>
      <c r="J468" s="61" t="s">
        <v>648</v>
      </c>
      <c r="K468" s="91"/>
      <c r="L468" s="91"/>
      <c r="M468" s="92"/>
      <c r="N468" s="92"/>
      <c r="O468" s="92"/>
      <c r="P468" s="92"/>
      <c r="Q468" s="92"/>
      <c r="R468" s="92"/>
      <c r="S468" s="92"/>
      <c r="T468" s="92"/>
      <c r="U468" s="92"/>
      <c r="V468" s="92"/>
      <c r="W468" s="92"/>
      <c r="X468" s="92"/>
      <c r="Y468" s="411"/>
      <c r="Z468" s="439"/>
      <c r="AA468" s="439"/>
      <c r="AB468" s="439"/>
    </row>
    <row r="469" spans="1:35">
      <c r="A469" s="145">
        <v>45024</v>
      </c>
      <c r="B469" s="376"/>
      <c r="C469" s="27">
        <v>220710</v>
      </c>
      <c r="D469" s="20" t="str">
        <f t="shared" si="212"/>
        <v>高雄工業 岡山</v>
      </c>
      <c r="E469" s="20" t="str">
        <f t="shared" si="213"/>
        <v>YASSER RIDHA MUSLIM</v>
      </c>
      <c r="F469" s="20" t="str">
        <f t="shared" si="214"/>
        <v>ヤッセル　リダ　ムスリム</v>
      </c>
      <c r="G469" s="11"/>
      <c r="H469" s="11"/>
      <c r="I469" s="11">
        <v>42000</v>
      </c>
      <c r="J469" s="65" t="s">
        <v>121</v>
      </c>
      <c r="K469" s="11">
        <v>42000</v>
      </c>
      <c r="L469" s="11">
        <v>42000</v>
      </c>
      <c r="M469" s="81">
        <v>42000</v>
      </c>
      <c r="N469" s="81">
        <v>42000</v>
      </c>
      <c r="O469" s="130">
        <v>42000</v>
      </c>
      <c r="P469" s="130">
        <v>42000</v>
      </c>
      <c r="Q469" s="130">
        <v>42000</v>
      </c>
      <c r="R469" s="130">
        <v>42000</v>
      </c>
      <c r="S469" s="130">
        <v>42000</v>
      </c>
      <c r="T469" s="130">
        <v>42000</v>
      </c>
      <c r="U469" s="130">
        <v>42000</v>
      </c>
      <c r="V469" s="130">
        <v>42000</v>
      </c>
      <c r="W469" s="130">
        <v>42000</v>
      </c>
      <c r="X469" s="130">
        <v>42000</v>
      </c>
      <c r="Y469" s="408">
        <v>42000</v>
      </c>
      <c r="Z469" s="437">
        <v>42000</v>
      </c>
      <c r="AA469" s="437">
        <v>42000</v>
      </c>
      <c r="AB469" s="437">
        <v>42000</v>
      </c>
      <c r="AC469" s="437">
        <v>42000</v>
      </c>
      <c r="AD469" s="437">
        <v>42000</v>
      </c>
      <c r="AE469" s="437">
        <v>42000</v>
      </c>
      <c r="AF469" s="437">
        <v>42000</v>
      </c>
      <c r="AG469" s="437">
        <v>42000</v>
      </c>
      <c r="AH469" s="437">
        <v>42000</v>
      </c>
      <c r="AI469" s="437">
        <v>42000</v>
      </c>
    </row>
    <row r="470" spans="1:35">
      <c r="A470" s="147"/>
      <c r="F470" s="160"/>
      <c r="G470" s="10"/>
      <c r="H470" s="10"/>
      <c r="I470" s="10"/>
      <c r="J470" s="97"/>
      <c r="K470" s="98"/>
      <c r="L470" s="98"/>
      <c r="M470" s="99"/>
      <c r="N470" s="99"/>
      <c r="O470" s="99"/>
      <c r="P470" s="99"/>
      <c r="Q470" s="99"/>
      <c r="R470" s="99"/>
      <c r="S470" s="99"/>
      <c r="T470" s="99"/>
      <c r="U470" s="99"/>
      <c r="V470" s="99"/>
      <c r="W470" s="99"/>
      <c r="X470" s="99"/>
      <c r="Y470" s="416"/>
      <c r="Z470" s="445"/>
      <c r="AA470" s="445"/>
      <c r="AB470" s="445"/>
    </row>
    <row r="471" spans="1:35">
      <c r="A471" s="147"/>
      <c r="C471" s="29"/>
      <c r="D471" s="29"/>
      <c r="E471" s="29" t="s">
        <v>2461</v>
      </c>
      <c r="F471" s="176"/>
      <c r="G471" s="210">
        <v>42000</v>
      </c>
      <c r="H471" s="210">
        <v>42000</v>
      </c>
      <c r="I471" s="210" t="s">
        <v>589</v>
      </c>
      <c r="J471" s="90"/>
      <c r="K471" s="10"/>
      <c r="L471" s="10"/>
      <c r="M471" s="88"/>
      <c r="N471" s="88"/>
      <c r="O471" s="88"/>
      <c r="P471" s="88"/>
      <c r="Q471" s="88"/>
      <c r="R471" s="88"/>
      <c r="S471" s="88"/>
      <c r="T471" s="88"/>
      <c r="U471" s="88"/>
      <c r="V471" s="88"/>
      <c r="W471" s="88"/>
      <c r="X471" s="88"/>
      <c r="Y471" s="410"/>
      <c r="Z471" s="438"/>
      <c r="AA471" s="438"/>
      <c r="AB471" s="438"/>
    </row>
    <row r="472" spans="1:35">
      <c r="A472" s="148" t="s">
        <v>1</v>
      </c>
      <c r="B472" s="377" t="s">
        <v>529</v>
      </c>
      <c r="C472" s="27" t="s">
        <v>2</v>
      </c>
      <c r="D472" s="27" t="s">
        <v>2532</v>
      </c>
      <c r="E472" s="27" t="s">
        <v>2433</v>
      </c>
      <c r="F472" s="165"/>
      <c r="G472" s="11" t="s">
        <v>629</v>
      </c>
      <c r="H472" s="11"/>
      <c r="I472" s="11" t="s">
        <v>3</v>
      </c>
      <c r="J472" s="65" t="s">
        <v>120</v>
      </c>
      <c r="K472" s="10"/>
      <c r="L472" s="10"/>
      <c r="M472" s="88"/>
      <c r="N472" s="88"/>
      <c r="O472" s="88"/>
      <c r="P472" s="88"/>
      <c r="Q472" s="88"/>
      <c r="R472" s="88"/>
      <c r="S472" s="88"/>
      <c r="T472" s="88"/>
      <c r="U472" s="88"/>
      <c r="V472" s="88"/>
      <c r="W472" s="88"/>
      <c r="X472" s="88"/>
      <c r="Y472" s="410"/>
      <c r="Z472" s="438"/>
      <c r="AA472" s="438"/>
      <c r="AB472" s="438"/>
    </row>
    <row r="473" spans="1:35" hidden="1">
      <c r="A473" s="145">
        <v>44594</v>
      </c>
      <c r="B473" s="376">
        <v>45657</v>
      </c>
      <c r="C473" s="27">
        <v>220206</v>
      </c>
      <c r="D473" s="20" t="str">
        <f t="shared" si="212"/>
        <v>高雄工業 岡山</v>
      </c>
      <c r="E473" s="20" t="str">
        <f t="shared" si="213"/>
        <v>DANG DUY VINH</v>
      </c>
      <c r="F473" s="20" t="str">
        <f t="shared" si="214"/>
        <v>ダン　ズイ　ビン</v>
      </c>
      <c r="G473" s="11"/>
      <c r="H473" s="11"/>
      <c r="I473" s="11"/>
      <c r="J473" s="65">
        <v>23500</v>
      </c>
      <c r="K473" s="11">
        <v>23500</v>
      </c>
      <c r="L473" s="12">
        <v>32500</v>
      </c>
      <c r="M473" s="83">
        <v>38000</v>
      </c>
      <c r="N473" s="83">
        <v>38000</v>
      </c>
      <c r="O473" s="83">
        <v>38000</v>
      </c>
      <c r="P473" s="83">
        <v>38000</v>
      </c>
      <c r="Q473" s="83">
        <v>38000</v>
      </c>
      <c r="R473" s="83">
        <v>38000</v>
      </c>
      <c r="S473" s="83">
        <v>38000</v>
      </c>
      <c r="T473" s="83">
        <v>38000</v>
      </c>
      <c r="U473" s="83">
        <v>38000</v>
      </c>
      <c r="V473" s="83">
        <f>38000+20000</f>
        <v>58000</v>
      </c>
      <c r="W473" s="83">
        <v>0</v>
      </c>
      <c r="X473" s="83">
        <v>0</v>
      </c>
      <c r="Y473" s="202">
        <v>0</v>
      </c>
      <c r="Z473" s="446">
        <v>0</v>
      </c>
      <c r="AA473" s="446">
        <v>0</v>
      </c>
      <c r="AB473" s="446">
        <v>0</v>
      </c>
    </row>
    <row r="474" spans="1:35" hidden="1">
      <c r="A474" s="145">
        <v>45665</v>
      </c>
      <c r="B474" s="376">
        <v>45697</v>
      </c>
      <c r="C474" s="27">
        <v>250103</v>
      </c>
      <c r="D474" s="20" t="str">
        <f t="shared" ref="D474:D479" si="239">IF(C474="","",_xlfn.XLOOKUP(C474,社員№,派遣先,"",0,-1))</f>
        <v>高雄工業 岡山</v>
      </c>
      <c r="E474" s="20" t="str">
        <f t="shared" ref="E474:E479" si="240">IF(C474="","",_xlfn.XLOOKUP(C474,社員№,氏名,"",0,-1))</f>
        <v>CAO KHAI DI</v>
      </c>
      <c r="F474" s="20" t="str">
        <f t="shared" ref="F474:F479" si="241">IF(C474="","",_xlfn.XLOOKUP(C474,社員№,カナ,"",0,-1))</f>
        <v>カオ　カイ　ジー</v>
      </c>
      <c r="G474" s="11"/>
      <c r="H474" s="11"/>
      <c r="I474" s="11"/>
      <c r="J474" s="65">
        <v>15700</v>
      </c>
      <c r="L474" s="12"/>
      <c r="M474" s="83"/>
      <c r="N474" s="83"/>
      <c r="O474" s="83"/>
      <c r="P474" s="83"/>
      <c r="Q474" s="83"/>
      <c r="R474" s="83"/>
      <c r="S474" s="83"/>
      <c r="T474" s="83"/>
      <c r="U474" s="83"/>
      <c r="V474" s="83"/>
      <c r="W474" s="83">
        <v>12155</v>
      </c>
      <c r="X474" s="83">
        <v>0</v>
      </c>
      <c r="Y474" s="202">
        <v>0</v>
      </c>
      <c r="Z474" s="446">
        <v>0</v>
      </c>
      <c r="AA474" s="446">
        <v>0</v>
      </c>
      <c r="AB474" s="446">
        <v>0</v>
      </c>
    </row>
    <row r="475" spans="1:35" hidden="1">
      <c r="A475" s="145">
        <v>45665</v>
      </c>
      <c r="B475" s="376">
        <v>45697</v>
      </c>
      <c r="C475" s="27">
        <v>250104</v>
      </c>
      <c r="D475" s="20" t="str">
        <f t="shared" si="239"/>
        <v>高雄工業 岡山</v>
      </c>
      <c r="E475" s="20" t="str">
        <f t="shared" si="240"/>
        <v>TRAN QUOC CHIEN</v>
      </c>
      <c r="F475" s="20" t="str">
        <f t="shared" si="241"/>
        <v>チャン　クオック　チエン</v>
      </c>
      <c r="G475" s="11"/>
      <c r="H475" s="11"/>
      <c r="I475" s="11"/>
      <c r="J475" s="65">
        <v>15700</v>
      </c>
      <c r="L475" s="12"/>
      <c r="M475" s="83"/>
      <c r="N475" s="83"/>
      <c r="O475" s="83"/>
      <c r="P475" s="83"/>
      <c r="Q475" s="83"/>
      <c r="R475" s="83"/>
      <c r="S475" s="83"/>
      <c r="T475" s="83"/>
      <c r="U475" s="83"/>
      <c r="V475" s="83"/>
      <c r="W475" s="83">
        <v>12155</v>
      </c>
      <c r="X475" s="83">
        <v>0</v>
      </c>
      <c r="Y475" s="202">
        <v>0</v>
      </c>
      <c r="Z475" s="446">
        <v>0</v>
      </c>
      <c r="AA475" s="446">
        <v>0</v>
      </c>
      <c r="AB475" s="446">
        <v>0</v>
      </c>
    </row>
    <row r="476" spans="1:35" hidden="1">
      <c r="A476" s="145">
        <v>45665</v>
      </c>
      <c r="B476" s="376"/>
      <c r="C476" s="27">
        <v>250105</v>
      </c>
      <c r="D476" s="20" t="str">
        <f t="shared" si="239"/>
        <v>高雄工業 岡山</v>
      </c>
      <c r="E476" s="20" t="str">
        <f t="shared" si="240"/>
        <v>BUI TIEN DAT</v>
      </c>
      <c r="F476" s="20" t="str">
        <f t="shared" si="241"/>
        <v>ブイ　テイエン　ダット</v>
      </c>
      <c r="G476" s="11"/>
      <c r="H476" s="11"/>
      <c r="I476" s="11"/>
      <c r="J476" s="65">
        <v>15700</v>
      </c>
      <c r="L476" s="12"/>
      <c r="M476" s="83"/>
      <c r="N476" s="83"/>
      <c r="O476" s="83"/>
      <c r="P476" s="83"/>
      <c r="Q476" s="83"/>
      <c r="R476" s="83"/>
      <c r="S476" s="83"/>
      <c r="T476" s="83"/>
      <c r="U476" s="83"/>
      <c r="V476" s="83"/>
      <c r="W476" s="83">
        <v>12155</v>
      </c>
      <c r="X476" s="83">
        <v>0</v>
      </c>
      <c r="Y476" s="202">
        <v>0</v>
      </c>
      <c r="Z476" s="446">
        <v>0</v>
      </c>
      <c r="AA476" s="446">
        <v>0</v>
      </c>
      <c r="AB476" s="446">
        <v>0</v>
      </c>
    </row>
    <row r="477" spans="1:35" hidden="1">
      <c r="A477" s="145">
        <v>45703</v>
      </c>
      <c r="B477" s="376">
        <v>45716</v>
      </c>
      <c r="C477" s="27">
        <v>250225</v>
      </c>
      <c r="D477" s="20" t="str">
        <f t="shared" si="239"/>
        <v>高雄工業 岡山</v>
      </c>
      <c r="E477" s="20" t="str">
        <f t="shared" si="240"/>
        <v>DAO NGOC DUY</v>
      </c>
      <c r="F477" s="20" t="str">
        <f t="shared" si="241"/>
        <v>ダオ　ゴック　ズイ</v>
      </c>
      <c r="G477" s="11"/>
      <c r="H477" s="11"/>
      <c r="I477" s="11">
        <v>26000</v>
      </c>
      <c r="J477" s="65"/>
      <c r="L477" s="12"/>
      <c r="M477" s="83"/>
      <c r="N477" s="83"/>
      <c r="O477" s="83"/>
      <c r="P477" s="83"/>
      <c r="Q477" s="83"/>
      <c r="R477" s="83"/>
      <c r="S477" s="83"/>
      <c r="T477" s="83"/>
      <c r="U477" s="83"/>
      <c r="V477" s="83"/>
      <c r="W477" s="83"/>
      <c r="X477" s="229">
        <v>13000</v>
      </c>
      <c r="Y477" s="202">
        <v>13000</v>
      </c>
      <c r="Z477" s="446">
        <v>0</v>
      </c>
      <c r="AA477" s="446">
        <v>0</v>
      </c>
      <c r="AB477" s="446">
        <v>0</v>
      </c>
    </row>
    <row r="478" spans="1:35">
      <c r="A478" s="150">
        <v>45717</v>
      </c>
      <c r="B478" s="384">
        <v>46008</v>
      </c>
      <c r="C478" s="273">
        <v>220406</v>
      </c>
      <c r="D478" s="20" t="str">
        <f t="shared" si="239"/>
        <v>高雄工業 岡山</v>
      </c>
      <c r="E478" s="20" t="str">
        <f t="shared" si="240"/>
        <v>IPAL FEBRI NARTA</v>
      </c>
      <c r="F478" s="20" t="str">
        <f t="shared" si="241"/>
        <v>イパール　フェブリ　ナルタ</v>
      </c>
      <c r="G478" s="11"/>
      <c r="H478" s="11"/>
      <c r="I478" s="11"/>
      <c r="J478" s="65">
        <v>42000</v>
      </c>
      <c r="L478" s="12"/>
      <c r="M478" s="83"/>
      <c r="N478" s="83"/>
      <c r="O478" s="83"/>
      <c r="P478" s="83"/>
      <c r="Q478" s="83"/>
      <c r="R478" s="83"/>
      <c r="S478" s="83"/>
      <c r="T478" s="83"/>
      <c r="U478" s="83"/>
      <c r="V478" s="83"/>
      <c r="W478" s="83"/>
      <c r="X478" s="83"/>
      <c r="Y478" s="202">
        <v>42000</v>
      </c>
      <c r="Z478" s="446">
        <v>42000</v>
      </c>
      <c r="AA478" s="446">
        <v>42000</v>
      </c>
      <c r="AB478" s="446">
        <v>42000</v>
      </c>
      <c r="AC478" s="446">
        <v>42000</v>
      </c>
      <c r="AD478" s="446">
        <v>42000</v>
      </c>
      <c r="AE478" s="444">
        <v>42000</v>
      </c>
      <c r="AF478" s="444">
        <v>42000</v>
      </c>
      <c r="AG478" s="444">
        <v>42000</v>
      </c>
      <c r="AH478" s="508">
        <v>62000</v>
      </c>
    </row>
    <row r="479" spans="1:35">
      <c r="A479" s="145">
        <v>46013</v>
      </c>
      <c r="B479" s="376"/>
      <c r="C479" s="27">
        <v>231221</v>
      </c>
      <c r="D479" s="20" t="str">
        <f t="shared" si="239"/>
        <v>高雄工業 岡山</v>
      </c>
      <c r="E479" s="20" t="str">
        <f t="shared" si="240"/>
        <v>ADHITYA LUNDIKA</v>
      </c>
      <c r="F479" s="20" t="str">
        <f t="shared" si="241"/>
        <v>アディティア　ルンディカ</v>
      </c>
      <c r="G479" s="11"/>
      <c r="H479" s="11"/>
      <c r="I479" s="11"/>
      <c r="J479" s="65"/>
      <c r="O479" s="81"/>
      <c r="P479" s="81"/>
      <c r="Q479" s="81"/>
      <c r="R479" s="81"/>
      <c r="S479" s="81"/>
      <c r="T479" s="81"/>
      <c r="U479" s="81"/>
      <c r="V479" s="81"/>
      <c r="W479" s="81"/>
      <c r="X479" s="81"/>
      <c r="Y479" s="413"/>
      <c r="Z479" s="441"/>
      <c r="AA479" s="441"/>
      <c r="AB479" s="441"/>
      <c r="AC479" s="448"/>
      <c r="AD479" s="1"/>
      <c r="AE479" s="1"/>
      <c r="AF479" s="27"/>
      <c r="AG479" s="1"/>
      <c r="AH479" s="508">
        <v>35228</v>
      </c>
      <c r="AI479" s="448">
        <v>42000</v>
      </c>
    </row>
    <row r="480" spans="1:35">
      <c r="A480" s="147"/>
      <c r="F480" s="160"/>
      <c r="G480" s="10"/>
      <c r="H480" s="10"/>
      <c r="I480" s="10"/>
      <c r="J480" s="74"/>
      <c r="K480" s="10"/>
      <c r="L480" s="10"/>
      <c r="M480" s="88"/>
      <c r="N480" s="88"/>
      <c r="O480" s="88"/>
      <c r="P480" s="88"/>
      <c r="Q480" s="88"/>
      <c r="R480" s="88"/>
      <c r="S480" s="88"/>
      <c r="T480" s="88"/>
      <c r="U480" s="88"/>
      <c r="V480" s="88"/>
      <c r="W480" s="88"/>
      <c r="X480" s="88"/>
      <c r="Y480" s="410"/>
      <c r="Z480" s="438"/>
      <c r="AA480" s="438"/>
      <c r="AB480" s="438"/>
      <c r="AF480" s="538"/>
      <c r="AG480" s="544"/>
      <c r="AH480" s="550"/>
    </row>
    <row r="481" spans="1:35">
      <c r="A481" s="147"/>
      <c r="C481" s="29"/>
      <c r="D481" s="29"/>
      <c r="E481" s="29" t="s">
        <v>2460</v>
      </c>
      <c r="F481" s="176"/>
      <c r="G481" s="210">
        <v>42000</v>
      </c>
      <c r="H481" s="210">
        <v>47000</v>
      </c>
      <c r="I481" s="210" t="s">
        <v>581</v>
      </c>
      <c r="J481" s="74"/>
      <c r="K481" s="10"/>
      <c r="L481" s="10"/>
      <c r="M481" s="88"/>
      <c r="N481" s="88"/>
      <c r="O481" s="88"/>
      <c r="P481" s="88"/>
      <c r="Q481" s="88"/>
      <c r="R481" s="88"/>
      <c r="S481" s="88"/>
      <c r="T481" s="88"/>
      <c r="U481" s="88"/>
      <c r="V481" s="88"/>
      <c r="W481" s="88"/>
      <c r="X481" s="88"/>
      <c r="Y481" s="410"/>
      <c r="Z481" s="438"/>
      <c r="AA481" s="438"/>
      <c r="AB481" s="438"/>
    </row>
    <row r="482" spans="1:35">
      <c r="A482" s="148" t="s">
        <v>1</v>
      </c>
      <c r="B482" s="377" t="s">
        <v>529</v>
      </c>
      <c r="C482" s="27" t="s">
        <v>2</v>
      </c>
      <c r="D482" s="27" t="s">
        <v>2532</v>
      </c>
      <c r="E482" s="27" t="s">
        <v>2433</v>
      </c>
      <c r="F482" s="165"/>
      <c r="G482" s="22" t="s">
        <v>629</v>
      </c>
      <c r="H482" s="22"/>
      <c r="I482" s="22" t="s">
        <v>3</v>
      </c>
      <c r="J482" s="90"/>
      <c r="K482" s="91"/>
      <c r="L482" s="91"/>
      <c r="M482" s="92"/>
      <c r="N482" s="92"/>
      <c r="O482" s="92"/>
      <c r="P482" s="92"/>
      <c r="Q482" s="92"/>
      <c r="R482" s="92"/>
      <c r="S482" s="92"/>
      <c r="T482" s="92"/>
      <c r="U482" s="92"/>
      <c r="V482" s="92"/>
      <c r="W482" s="92"/>
      <c r="X482" s="92"/>
      <c r="Y482" s="411"/>
      <c r="Z482" s="439"/>
      <c r="AA482" s="439"/>
      <c r="AB482" s="439"/>
    </row>
    <row r="483" spans="1:35">
      <c r="A483" s="145">
        <v>45718</v>
      </c>
      <c r="B483" s="376"/>
      <c r="C483" s="27">
        <v>220714</v>
      </c>
      <c r="D483" s="20" t="str">
        <f t="shared" si="212"/>
        <v>高雄工業 岡山</v>
      </c>
      <c r="E483" s="20" t="str">
        <f t="shared" si="213"/>
        <v>MOCHAMAD NIZAR AWALUDIN</v>
      </c>
      <c r="F483" s="20" t="str">
        <f t="shared" si="214"/>
        <v>モチャマド　ニザル　アワルディン</v>
      </c>
      <c r="G483" s="11"/>
      <c r="H483" s="11"/>
      <c r="I483" s="11">
        <v>42000</v>
      </c>
      <c r="J483" s="65"/>
      <c r="Y483" s="408">
        <v>42000</v>
      </c>
      <c r="Z483" s="437">
        <v>42000</v>
      </c>
      <c r="AA483" s="437">
        <v>42000</v>
      </c>
      <c r="AB483" s="437">
        <v>42000</v>
      </c>
      <c r="AC483" s="437">
        <v>42000</v>
      </c>
      <c r="AD483" s="437">
        <v>42000</v>
      </c>
      <c r="AE483" s="437">
        <v>42000</v>
      </c>
      <c r="AF483" s="437">
        <v>42000</v>
      </c>
      <c r="AG483" s="437">
        <v>42000</v>
      </c>
      <c r="AH483" s="437">
        <v>42000</v>
      </c>
      <c r="AI483" s="437">
        <v>42000</v>
      </c>
    </row>
    <row r="484" spans="1:35">
      <c r="C484" s="124"/>
      <c r="D484" s="21"/>
      <c r="E484" s="21"/>
      <c r="F484" s="177"/>
      <c r="G484" s="10"/>
      <c r="H484" s="10"/>
      <c r="I484" s="10"/>
      <c r="J484" s="74"/>
      <c r="K484" s="10"/>
      <c r="L484" s="10"/>
      <c r="M484" s="88"/>
      <c r="N484" s="88"/>
      <c r="O484" s="88"/>
      <c r="P484" s="88"/>
      <c r="Q484" s="88"/>
      <c r="R484" s="88"/>
      <c r="S484" s="88"/>
      <c r="T484" s="88"/>
      <c r="U484" s="88"/>
      <c r="V484" s="88"/>
      <c r="W484" s="88"/>
      <c r="X484" s="88"/>
      <c r="Y484" s="410"/>
      <c r="Z484" s="438"/>
      <c r="AA484" s="438"/>
      <c r="AB484" s="438"/>
    </row>
    <row r="485" spans="1:35">
      <c r="A485" s="147"/>
      <c r="C485" s="29"/>
      <c r="D485" s="29"/>
      <c r="E485" s="29" t="s">
        <v>2462</v>
      </c>
      <c r="F485" s="176"/>
      <c r="G485" s="210">
        <v>42000</v>
      </c>
      <c r="H485" s="210">
        <v>42000</v>
      </c>
      <c r="I485" s="210" t="s">
        <v>589</v>
      </c>
      <c r="J485" s="74"/>
      <c r="K485" s="10"/>
      <c r="L485" s="10"/>
      <c r="M485" s="88"/>
      <c r="N485" s="88"/>
      <c r="O485" s="88"/>
      <c r="P485" s="88"/>
      <c r="Q485" s="88"/>
      <c r="R485" s="88"/>
      <c r="S485" s="88"/>
      <c r="T485" s="88"/>
      <c r="U485" s="88"/>
      <c r="V485" s="88"/>
      <c r="W485" s="88"/>
      <c r="X485" s="88"/>
      <c r="Y485" s="410"/>
      <c r="Z485" s="438"/>
      <c r="AA485" s="438"/>
      <c r="AB485" s="438"/>
    </row>
    <row r="486" spans="1:35">
      <c r="A486" s="145" t="s">
        <v>1</v>
      </c>
      <c r="B486" s="376" t="s">
        <v>529</v>
      </c>
      <c r="C486" s="27" t="s">
        <v>2</v>
      </c>
      <c r="D486" s="27" t="s">
        <v>2532</v>
      </c>
      <c r="E486" s="27" t="s">
        <v>2433</v>
      </c>
      <c r="F486" s="165"/>
      <c r="G486" s="22" t="s">
        <v>629</v>
      </c>
      <c r="H486" s="22"/>
      <c r="I486" s="22" t="s">
        <v>3</v>
      </c>
      <c r="J486" s="107"/>
      <c r="K486" s="91"/>
      <c r="L486" s="91"/>
      <c r="M486" s="92"/>
      <c r="N486" s="92"/>
      <c r="O486" s="92"/>
      <c r="P486" s="92"/>
      <c r="Q486" s="92"/>
      <c r="R486" s="92"/>
      <c r="S486" s="92"/>
      <c r="T486" s="92"/>
      <c r="U486" s="92"/>
      <c r="V486" s="92"/>
      <c r="W486" s="92"/>
      <c r="X486" s="92"/>
      <c r="Y486" s="411"/>
      <c r="Z486" s="439"/>
      <c r="AA486" s="439"/>
      <c r="AB486" s="439"/>
    </row>
    <row r="487" spans="1:35">
      <c r="A487" s="145">
        <v>45087</v>
      </c>
      <c r="B487" s="376"/>
      <c r="C487" s="27">
        <v>220711</v>
      </c>
      <c r="D487" s="20" t="str">
        <f t="shared" si="212"/>
        <v>高雄工業 岡山</v>
      </c>
      <c r="E487" s="20" t="str">
        <f t="shared" si="213"/>
        <v>SUALDIN</v>
      </c>
      <c r="F487" s="20" t="str">
        <f t="shared" si="214"/>
        <v>スアルディン</v>
      </c>
      <c r="G487" s="11"/>
      <c r="H487" s="11"/>
      <c r="I487" s="11">
        <v>42000</v>
      </c>
      <c r="J487" s="73" t="s">
        <v>121</v>
      </c>
      <c r="K487" s="105">
        <v>42000</v>
      </c>
      <c r="L487" s="105">
        <v>42000</v>
      </c>
      <c r="M487" s="106">
        <v>42000</v>
      </c>
      <c r="N487" s="106">
        <v>42000</v>
      </c>
      <c r="O487" s="135">
        <v>42000</v>
      </c>
      <c r="P487" s="135">
        <v>42000</v>
      </c>
      <c r="Q487" s="135">
        <v>42000</v>
      </c>
      <c r="R487" s="135">
        <v>42000</v>
      </c>
      <c r="S487" s="135">
        <v>42000</v>
      </c>
      <c r="T487" s="135">
        <v>42000</v>
      </c>
      <c r="U487" s="135">
        <v>42000</v>
      </c>
      <c r="V487" s="135">
        <v>42000</v>
      </c>
      <c r="W487" s="135">
        <v>42000</v>
      </c>
      <c r="X487" s="135">
        <v>42000</v>
      </c>
      <c r="Y487" s="420">
        <v>42000</v>
      </c>
      <c r="Z487" s="450">
        <v>42000</v>
      </c>
      <c r="AA487" s="450">
        <v>42000</v>
      </c>
      <c r="AB487" s="450">
        <v>42000</v>
      </c>
      <c r="AC487" s="441">
        <v>42000</v>
      </c>
      <c r="AD487" s="441">
        <v>42000</v>
      </c>
      <c r="AE487" s="437">
        <v>42000</v>
      </c>
      <c r="AF487" s="437">
        <v>42000</v>
      </c>
      <c r="AG487" s="437">
        <v>42000</v>
      </c>
      <c r="AH487" s="437">
        <v>42000</v>
      </c>
      <c r="AI487" s="437">
        <v>42000</v>
      </c>
    </row>
    <row r="488" spans="1:35">
      <c r="A488" s="147"/>
      <c r="F488" s="160"/>
      <c r="G488" s="10"/>
      <c r="H488" s="10"/>
      <c r="I488" s="10"/>
      <c r="J488" s="97"/>
      <c r="K488" s="98"/>
      <c r="L488" s="98"/>
      <c r="M488" s="99"/>
      <c r="N488" s="99"/>
      <c r="O488" s="99"/>
      <c r="P488" s="99"/>
      <c r="Q488" s="99"/>
      <c r="R488" s="99"/>
      <c r="S488" s="99"/>
      <c r="T488" s="99"/>
      <c r="U488" s="99"/>
      <c r="V488" s="99"/>
      <c r="W488" s="99"/>
      <c r="X488" s="99"/>
      <c r="Y488" s="416"/>
      <c r="Z488" s="445"/>
      <c r="AA488" s="445"/>
      <c r="AB488" s="445"/>
    </row>
    <row r="489" spans="1:35">
      <c r="A489" s="147"/>
      <c r="C489" s="29"/>
      <c r="D489" s="29"/>
      <c r="E489" s="29" t="s">
        <v>2463</v>
      </c>
      <c r="F489" s="176"/>
      <c r="G489" s="210">
        <v>30000</v>
      </c>
      <c r="H489" s="210">
        <v>32000</v>
      </c>
      <c r="I489" s="210" t="s">
        <v>582</v>
      </c>
      <c r="J489" s="74"/>
      <c r="K489" s="10"/>
      <c r="L489" s="10"/>
      <c r="M489" s="88"/>
      <c r="N489" s="88"/>
      <c r="O489" s="88"/>
      <c r="P489" s="88"/>
      <c r="Q489" s="88"/>
      <c r="R489" s="88"/>
      <c r="S489" s="88"/>
      <c r="T489" s="88"/>
      <c r="U489" s="88"/>
      <c r="V489" s="88"/>
      <c r="W489" s="88"/>
      <c r="X489" s="88"/>
      <c r="Y489" s="410"/>
      <c r="Z489" s="438"/>
      <c r="AA489" s="438"/>
      <c r="AB489" s="438"/>
    </row>
    <row r="490" spans="1:35">
      <c r="A490" s="145" t="s">
        <v>1</v>
      </c>
      <c r="B490" s="376" t="s">
        <v>529</v>
      </c>
      <c r="C490" s="27" t="s">
        <v>2</v>
      </c>
      <c r="D490" s="27" t="s">
        <v>2532</v>
      </c>
      <c r="E490" s="27" t="s">
        <v>2433</v>
      </c>
      <c r="F490" s="165"/>
      <c r="G490" s="22" t="s">
        <v>629</v>
      </c>
      <c r="H490" s="11"/>
      <c r="I490" s="22" t="s">
        <v>3</v>
      </c>
      <c r="J490" s="107"/>
      <c r="K490" s="91"/>
      <c r="L490" s="91"/>
      <c r="M490" s="92"/>
      <c r="N490" s="92"/>
      <c r="O490" s="92"/>
      <c r="P490" s="92"/>
      <c r="Q490" s="92"/>
      <c r="R490" s="92"/>
      <c r="S490" s="92"/>
      <c r="T490" s="92"/>
      <c r="U490" s="92"/>
      <c r="V490" s="92"/>
      <c r="W490" s="92"/>
      <c r="X490" s="92"/>
      <c r="Y490" s="411"/>
      <c r="Z490" s="439"/>
      <c r="AA490" s="439"/>
      <c r="AB490" s="439"/>
    </row>
    <row r="491" spans="1:35">
      <c r="A491" s="148">
        <v>45532</v>
      </c>
      <c r="B491" s="377">
        <v>46053</v>
      </c>
      <c r="C491" s="27">
        <v>210117</v>
      </c>
      <c r="D491" s="20" t="str">
        <f t="shared" si="212"/>
        <v>高雄工業 岡山</v>
      </c>
      <c r="E491" s="20" t="str">
        <f t="shared" si="213"/>
        <v>NGUYEN TUAN ANH</v>
      </c>
      <c r="F491" s="20" t="str">
        <f t="shared" si="214"/>
        <v>グエン　トゥアン　アイン</v>
      </c>
      <c r="G491" s="11"/>
      <c r="H491" s="11"/>
      <c r="I491" s="11">
        <v>32000</v>
      </c>
      <c r="J491" s="65"/>
      <c r="O491" s="81"/>
      <c r="P491" s="81"/>
      <c r="Q491" s="81"/>
      <c r="R491" s="81">
        <f>24387+4129</f>
        <v>28516</v>
      </c>
      <c r="S491" s="81">
        <v>32000</v>
      </c>
      <c r="T491" s="81">
        <v>32000</v>
      </c>
      <c r="U491" s="81">
        <v>32000</v>
      </c>
      <c r="V491" s="81">
        <v>32000</v>
      </c>
      <c r="W491" s="81">
        <v>32000</v>
      </c>
      <c r="X491" s="81">
        <v>32000</v>
      </c>
      <c r="Y491" s="413">
        <v>32000</v>
      </c>
      <c r="Z491" s="441">
        <v>32000</v>
      </c>
      <c r="AA491" s="441">
        <v>32000</v>
      </c>
      <c r="AB491" s="441">
        <v>32000</v>
      </c>
      <c r="AC491" s="441">
        <v>32000</v>
      </c>
      <c r="AD491" s="441">
        <v>32000</v>
      </c>
      <c r="AE491" s="437">
        <v>32000</v>
      </c>
      <c r="AF491" s="437">
        <v>32000</v>
      </c>
      <c r="AG491" s="437">
        <v>32000</v>
      </c>
      <c r="AH491" s="437">
        <v>32000</v>
      </c>
      <c r="AI491" s="448">
        <v>52000</v>
      </c>
    </row>
    <row r="492" spans="1:35">
      <c r="F492" s="160"/>
      <c r="G492" s="10"/>
      <c r="H492" s="10"/>
      <c r="I492" s="10"/>
      <c r="J492" s="74"/>
      <c r="K492" s="10"/>
      <c r="L492" s="10"/>
      <c r="M492" s="88"/>
      <c r="N492" s="88"/>
      <c r="O492" s="88"/>
      <c r="P492" s="88"/>
      <c r="Q492" s="88"/>
      <c r="R492" s="88"/>
      <c r="S492" s="88"/>
      <c r="T492" s="88"/>
      <c r="U492" s="88"/>
      <c r="V492" s="88"/>
      <c r="W492" s="88"/>
      <c r="X492" s="88"/>
      <c r="Y492" s="410"/>
      <c r="Z492" s="438"/>
      <c r="AA492" s="438"/>
      <c r="AB492" s="438"/>
    </row>
    <row r="493" spans="1:35">
      <c r="A493" s="147"/>
      <c r="C493" s="29"/>
      <c r="D493" s="29"/>
      <c r="E493" s="29" t="s">
        <v>981</v>
      </c>
      <c r="F493" s="176"/>
      <c r="G493" s="210">
        <v>30000</v>
      </c>
      <c r="H493" s="210">
        <v>32000</v>
      </c>
      <c r="I493" s="210" t="s">
        <v>582</v>
      </c>
      <c r="J493" s="74"/>
      <c r="K493" s="10"/>
      <c r="L493" s="10"/>
      <c r="M493" s="88"/>
      <c r="N493" s="88"/>
      <c r="O493" s="88"/>
      <c r="P493" s="88"/>
      <c r="Q493" s="88"/>
      <c r="R493" s="88"/>
      <c r="S493" s="88"/>
      <c r="T493" s="88"/>
      <c r="U493" s="88"/>
      <c r="V493" s="88"/>
      <c r="W493" s="88"/>
      <c r="X493" s="88"/>
      <c r="Y493" s="410"/>
      <c r="Z493" s="438"/>
      <c r="AA493" s="438"/>
      <c r="AB493" s="438"/>
    </row>
    <row r="494" spans="1:35">
      <c r="A494" s="148" t="s">
        <v>1</v>
      </c>
      <c r="B494" s="377" t="s">
        <v>529</v>
      </c>
      <c r="C494" s="27" t="s">
        <v>2</v>
      </c>
      <c r="D494" s="27" t="s">
        <v>2532</v>
      </c>
      <c r="E494" s="27" t="s">
        <v>2433</v>
      </c>
      <c r="F494" s="165"/>
      <c r="G494" s="22" t="s">
        <v>629</v>
      </c>
      <c r="H494" s="22"/>
      <c r="I494" s="22" t="s">
        <v>3</v>
      </c>
      <c r="J494" s="90"/>
      <c r="K494" s="91"/>
      <c r="L494" s="91"/>
      <c r="M494" s="92"/>
      <c r="N494" s="92"/>
      <c r="O494" s="92"/>
      <c r="P494" s="92"/>
      <c r="Q494" s="92"/>
      <c r="R494" s="92"/>
      <c r="S494" s="92"/>
      <c r="T494" s="92"/>
      <c r="U494" s="92"/>
      <c r="V494" s="92"/>
      <c r="W494" s="92"/>
      <c r="X494" s="92"/>
      <c r="Y494" s="411"/>
      <c r="Z494" s="439"/>
      <c r="AA494" s="439"/>
      <c r="AB494" s="439"/>
    </row>
    <row r="495" spans="1:35" ht="17.25" hidden="1" customHeight="1">
      <c r="A495" s="145">
        <v>44774</v>
      </c>
      <c r="B495" s="376">
        <v>45663</v>
      </c>
      <c r="C495" s="27">
        <v>220715</v>
      </c>
      <c r="D495" s="20" t="str">
        <f t="shared" si="212"/>
        <v>高雄工業 岡山</v>
      </c>
      <c r="E495" s="20" t="str">
        <f t="shared" si="213"/>
        <v>MUHAMMAD SHAHAR MUSHFI</v>
      </c>
      <c r="F495" s="20" t="str">
        <f t="shared" si="214"/>
        <v>ムハンマド　シャハル　ムシュフィ</v>
      </c>
      <c r="G495" s="11"/>
      <c r="H495" s="11"/>
      <c r="I495" s="11">
        <v>38000</v>
      </c>
      <c r="J495" s="65"/>
      <c r="K495" s="11">
        <v>38000</v>
      </c>
      <c r="L495" s="11">
        <v>38000</v>
      </c>
      <c r="M495" s="81">
        <v>38000</v>
      </c>
      <c r="N495" s="81">
        <v>38000</v>
      </c>
      <c r="O495" s="81">
        <v>38000</v>
      </c>
      <c r="P495" s="81">
        <v>38000</v>
      </c>
      <c r="Q495" s="81">
        <v>38000</v>
      </c>
      <c r="R495" s="81">
        <v>38000</v>
      </c>
      <c r="S495" s="81">
        <v>38000</v>
      </c>
      <c r="T495" s="81">
        <v>38000</v>
      </c>
      <c r="U495" s="81">
        <v>38000</v>
      </c>
      <c r="V495" s="81">
        <v>38000</v>
      </c>
      <c r="W495" s="81">
        <f>38000+20000</f>
        <v>58000</v>
      </c>
      <c r="X495" s="81">
        <v>0</v>
      </c>
      <c r="Y495" s="413">
        <v>0</v>
      </c>
      <c r="Z495" s="441">
        <v>0</v>
      </c>
      <c r="AA495" s="441">
        <v>0</v>
      </c>
      <c r="AB495" s="441">
        <v>0</v>
      </c>
    </row>
    <row r="496" spans="1:35" ht="17.25" customHeight="1">
      <c r="A496" s="145">
        <v>45667</v>
      </c>
      <c r="B496" s="376"/>
      <c r="C496" s="555" t="s">
        <v>2856</v>
      </c>
      <c r="D496" s="20" t="str">
        <f t="shared" ref="D496" si="242">IF(C496="","",_xlfn.XLOOKUP(C496,社員№,派遣先,"",0,-1))</f>
        <v>切粉回収</v>
      </c>
      <c r="E496" s="20" t="str">
        <f t="shared" ref="E496" si="243">IF(C496="","",_xlfn.XLOOKUP(C496,社員№,氏名,"",0,-1))</f>
        <v>金城　ジョルジ</v>
      </c>
      <c r="F496" s="20" t="str">
        <f t="shared" ref="F496" si="244">IF(C496="","",_xlfn.XLOOKUP(C496,社員№,カナ,"",0,-1))</f>
        <v>カナシロ　ジョルジ</v>
      </c>
      <c r="G496" s="11"/>
      <c r="H496" s="11"/>
      <c r="I496" s="11">
        <v>32000</v>
      </c>
      <c r="J496" s="65"/>
      <c r="O496" s="81"/>
      <c r="P496" s="81"/>
      <c r="Q496" s="81"/>
      <c r="R496" s="81"/>
      <c r="S496" s="81"/>
      <c r="T496" s="81"/>
      <c r="U496" s="81"/>
      <c r="V496" s="81"/>
      <c r="W496" s="81">
        <v>22710</v>
      </c>
      <c r="X496" s="81">
        <v>32000</v>
      </c>
      <c r="Y496" s="413">
        <v>32000</v>
      </c>
      <c r="Z496" s="441">
        <v>32000</v>
      </c>
      <c r="AA496" s="441">
        <v>32000</v>
      </c>
      <c r="AB496" s="441">
        <v>32000</v>
      </c>
      <c r="AC496" s="441">
        <v>32000</v>
      </c>
      <c r="AD496" s="441">
        <v>32000</v>
      </c>
      <c r="AE496" s="437">
        <v>32000</v>
      </c>
      <c r="AF496" s="437">
        <v>32000</v>
      </c>
      <c r="AG496" s="437">
        <v>32000</v>
      </c>
      <c r="AH496" s="437">
        <v>32000</v>
      </c>
      <c r="AI496" s="437">
        <v>32000</v>
      </c>
    </row>
    <row r="497" spans="1:35" ht="17.25" customHeight="1">
      <c r="A497" s="147"/>
      <c r="F497" s="160"/>
      <c r="G497" s="10"/>
      <c r="H497" s="10"/>
      <c r="I497" s="10"/>
      <c r="J497" s="74"/>
      <c r="K497" s="10"/>
      <c r="L497" s="10"/>
      <c r="M497" s="88"/>
      <c r="N497" s="88"/>
      <c r="O497" s="88"/>
      <c r="P497" s="88"/>
      <c r="Q497" s="88"/>
      <c r="R497" s="88"/>
      <c r="S497" s="88"/>
      <c r="T497" s="88"/>
      <c r="U497" s="88"/>
      <c r="V497" s="88"/>
      <c r="W497" s="88"/>
      <c r="X497" s="88"/>
      <c r="Y497" s="410"/>
      <c r="Z497" s="438"/>
      <c r="AA497" s="438"/>
      <c r="AB497" s="438"/>
    </row>
    <row r="498" spans="1:35" ht="17.25" customHeight="1">
      <c r="A498" s="515" t="s">
        <v>2658</v>
      </c>
      <c r="C498" s="29"/>
      <c r="D498" s="29"/>
      <c r="E498" s="29" t="s">
        <v>357</v>
      </c>
      <c r="F498" s="176"/>
      <c r="G498" s="210">
        <v>30000</v>
      </c>
      <c r="H498" s="210">
        <v>35000</v>
      </c>
      <c r="I498" s="210" t="s">
        <v>582</v>
      </c>
      <c r="J498" s="74"/>
      <c r="K498" s="10"/>
      <c r="L498" s="10"/>
      <c r="M498" s="88"/>
      <c r="N498" s="88"/>
      <c r="O498" s="88"/>
      <c r="P498" s="88"/>
      <c r="Q498" s="88"/>
      <c r="R498" s="88"/>
      <c r="S498" s="88"/>
      <c r="T498" s="88"/>
      <c r="U498" s="88"/>
      <c r="V498" s="88"/>
      <c r="W498" s="88"/>
      <c r="X498" s="88"/>
      <c r="Y498" s="410"/>
      <c r="Z498" s="438"/>
      <c r="AA498" s="438"/>
      <c r="AB498" s="438"/>
    </row>
    <row r="499" spans="1:35" ht="17.25" customHeight="1">
      <c r="A499" s="145" t="s">
        <v>1</v>
      </c>
      <c r="B499" s="376" t="s">
        <v>529</v>
      </c>
      <c r="C499" s="27" t="s">
        <v>2</v>
      </c>
      <c r="D499" s="27" t="s">
        <v>2532</v>
      </c>
      <c r="E499" s="27" t="s">
        <v>2433</v>
      </c>
      <c r="F499" s="165"/>
      <c r="G499" s="22" t="s">
        <v>629</v>
      </c>
      <c r="H499" s="22"/>
      <c r="I499" s="22" t="s">
        <v>3</v>
      </c>
      <c r="J499" s="90"/>
      <c r="K499" s="91"/>
      <c r="L499" s="91"/>
      <c r="M499" s="92"/>
      <c r="N499" s="92"/>
      <c r="O499" s="92"/>
      <c r="P499" s="92"/>
      <c r="Q499" s="92"/>
      <c r="R499" s="92"/>
      <c r="S499" s="92"/>
      <c r="T499" s="92"/>
      <c r="U499" s="92"/>
      <c r="V499" s="92"/>
      <c r="W499" s="92"/>
      <c r="X499" s="92"/>
      <c r="Y499" s="411"/>
      <c r="Z499" s="439"/>
      <c r="AA499" s="439"/>
      <c r="AB499" s="439"/>
    </row>
    <row r="500" spans="1:35" ht="17.25" customHeight="1">
      <c r="A500" s="145">
        <v>45165</v>
      </c>
      <c r="B500" s="376">
        <v>45986</v>
      </c>
      <c r="C500" s="555" t="s">
        <v>2908</v>
      </c>
      <c r="D500" s="20" t="str">
        <f t="shared" ref="D500:D551" si="245">IF(C500="","",_xlfn.XLOOKUP(C500,社員№,派遣先,"",0,-1))</f>
        <v>切粉回収</v>
      </c>
      <c r="E500" s="20" t="str">
        <f t="shared" ref="E500:E551" si="246">IF(C500="","",_xlfn.XLOOKUP(C500,社員№,氏名,"",0,-1))</f>
        <v>LE VAN HIEU</v>
      </c>
      <c r="F500" s="20" t="str">
        <f t="shared" ref="F500:F551" si="247">IF(C500="","",_xlfn.XLOOKUP(C500,社員№,カナ,"",0,-1))</f>
        <v>レー　ヴァン　ヒエウ</v>
      </c>
      <c r="G500" s="11"/>
      <c r="H500" s="11"/>
      <c r="I500" s="11">
        <v>17500</v>
      </c>
      <c r="J500" s="67"/>
      <c r="K500" s="78">
        <v>17500</v>
      </c>
      <c r="L500" s="78">
        <v>17500</v>
      </c>
      <c r="M500" s="87">
        <v>17500</v>
      </c>
      <c r="N500" s="87">
        <v>17500</v>
      </c>
      <c r="O500" s="132">
        <v>17500</v>
      </c>
      <c r="P500" s="132">
        <v>17500</v>
      </c>
      <c r="Q500" s="132">
        <v>17500</v>
      </c>
      <c r="R500" s="132">
        <v>35000</v>
      </c>
      <c r="S500" s="132">
        <v>35000</v>
      </c>
      <c r="T500" s="132">
        <v>35000</v>
      </c>
      <c r="U500" s="132">
        <v>35000</v>
      </c>
      <c r="V500" s="132">
        <v>35000</v>
      </c>
      <c r="W500" s="132">
        <v>35000</v>
      </c>
      <c r="X500" s="132">
        <v>35000</v>
      </c>
      <c r="Y500" s="412">
        <v>35000</v>
      </c>
      <c r="Z500" s="440">
        <v>35000</v>
      </c>
      <c r="AA500" s="440">
        <v>35000</v>
      </c>
      <c r="AB500" s="440">
        <v>35000</v>
      </c>
      <c r="AC500" s="441">
        <v>35000</v>
      </c>
      <c r="AD500" s="441">
        <v>35000</v>
      </c>
      <c r="AE500" s="437">
        <v>35000</v>
      </c>
      <c r="AF500" s="437">
        <v>35000</v>
      </c>
      <c r="AG500" s="522">
        <v>55000</v>
      </c>
      <c r="AH500" s="508">
        <v>0</v>
      </c>
    </row>
    <row r="501" spans="1:35">
      <c r="A501" s="145">
        <v>45165</v>
      </c>
      <c r="B501" s="376">
        <v>45986</v>
      </c>
      <c r="C501" s="27">
        <v>220702</v>
      </c>
      <c r="D501" s="20" t="str">
        <f t="shared" ref="D501" si="248">IF(C501="","",_xlfn.XLOOKUP(C501,社員№,派遣先,"",0,-1))</f>
        <v>高雄工業 岡山</v>
      </c>
      <c r="E501" s="20" t="str">
        <f t="shared" ref="E501" si="249">IF(C501="","",_xlfn.XLOOKUP(C501,社員№,氏名,"",0,-1))</f>
        <v>BUI THI HONG LOAN</v>
      </c>
      <c r="F501" s="20" t="str">
        <f t="shared" ref="F501" si="250">IF(C501="","",_xlfn.XLOOKUP(C501,社員№,カナ,"",0,-1))</f>
        <v>ブイ　ティ　ホン　ロアン</v>
      </c>
      <c r="G501" s="11"/>
      <c r="H501" s="11"/>
      <c r="I501" s="11">
        <v>17500</v>
      </c>
      <c r="J501" s="71"/>
      <c r="K501" s="3">
        <v>17500</v>
      </c>
      <c r="L501" s="3">
        <v>17500</v>
      </c>
      <c r="M501" s="95">
        <v>17500</v>
      </c>
      <c r="N501" s="95">
        <v>17500</v>
      </c>
      <c r="O501" s="136">
        <v>17500</v>
      </c>
      <c r="P501" s="136">
        <v>17500</v>
      </c>
      <c r="Q501" s="136">
        <v>17500</v>
      </c>
      <c r="R501" s="136">
        <v>0</v>
      </c>
      <c r="S501" s="136">
        <v>0</v>
      </c>
      <c r="T501" s="136">
        <v>0</v>
      </c>
      <c r="U501" s="136">
        <v>0</v>
      </c>
      <c r="V501" s="136">
        <v>0</v>
      </c>
      <c r="W501" s="136">
        <v>0</v>
      </c>
      <c r="X501" s="136">
        <v>0</v>
      </c>
      <c r="Y501" s="421">
        <v>0</v>
      </c>
      <c r="Z501" s="451">
        <v>0</v>
      </c>
      <c r="AA501" s="451">
        <v>0</v>
      </c>
      <c r="AB501" s="451">
        <v>0</v>
      </c>
    </row>
    <row r="502" spans="1:35">
      <c r="A502" s="147"/>
      <c r="F502" s="160"/>
      <c r="G502" s="10"/>
      <c r="H502" s="10"/>
      <c r="I502" s="10"/>
      <c r="J502" s="97"/>
      <c r="K502" s="98"/>
      <c r="L502" s="98"/>
      <c r="M502" s="99"/>
      <c r="N502" s="99"/>
      <c r="O502" s="99"/>
      <c r="P502" s="99"/>
      <c r="Q502" s="99"/>
      <c r="R502" s="99"/>
      <c r="S502" s="99"/>
      <c r="T502" s="99"/>
      <c r="U502" s="99"/>
      <c r="V502" s="99"/>
      <c r="W502" s="99"/>
      <c r="X502" s="99"/>
      <c r="Y502" s="416"/>
      <c r="Z502" s="445"/>
      <c r="AA502" s="445"/>
      <c r="AB502" s="445"/>
    </row>
    <row r="503" spans="1:35">
      <c r="A503" s="515"/>
      <c r="C503" s="29"/>
      <c r="D503" s="29"/>
      <c r="E503" s="29" t="s">
        <v>625</v>
      </c>
      <c r="F503" s="176"/>
      <c r="G503" s="210">
        <v>47000</v>
      </c>
      <c r="H503" s="210">
        <v>51900</v>
      </c>
      <c r="I503" s="210" t="s">
        <v>626</v>
      </c>
      <c r="J503" s="74"/>
      <c r="K503" s="10"/>
      <c r="L503" s="10"/>
      <c r="M503" s="88"/>
      <c r="N503" s="88"/>
      <c r="O503" s="88"/>
      <c r="P503" s="88"/>
      <c r="Q503" s="88"/>
      <c r="R503" s="88"/>
      <c r="S503" s="88"/>
      <c r="T503" s="88"/>
      <c r="U503" s="88"/>
      <c r="V503" s="88"/>
      <c r="W503" s="88"/>
      <c r="X503" s="88"/>
      <c r="Y503" s="410"/>
      <c r="Z503" s="438"/>
      <c r="AA503" s="438"/>
      <c r="AB503" s="438"/>
    </row>
    <row r="504" spans="1:35">
      <c r="A504" s="228" t="s">
        <v>1</v>
      </c>
      <c r="B504" s="375" t="s">
        <v>529</v>
      </c>
      <c r="C504" s="43" t="s">
        <v>2</v>
      </c>
      <c r="D504" s="43" t="s">
        <v>2532</v>
      </c>
      <c r="E504" s="43" t="s">
        <v>2433</v>
      </c>
      <c r="F504" s="186"/>
      <c r="G504" s="111" t="s">
        <v>629</v>
      </c>
      <c r="H504" s="111"/>
      <c r="I504" s="111" t="s">
        <v>3</v>
      </c>
      <c r="J504" s="74"/>
      <c r="K504" s="10"/>
      <c r="L504" s="10"/>
      <c r="M504" s="88"/>
      <c r="N504" s="88"/>
      <c r="O504" s="88"/>
      <c r="P504" s="88"/>
      <c r="Q504" s="88"/>
      <c r="R504" s="88"/>
      <c r="S504" s="88"/>
      <c r="T504" s="88"/>
      <c r="U504" s="88"/>
      <c r="V504" s="88"/>
      <c r="W504" s="88"/>
      <c r="X504" s="88"/>
      <c r="Y504" s="410"/>
      <c r="Z504" s="438"/>
      <c r="AA504" s="438"/>
      <c r="AB504" s="438"/>
    </row>
    <row r="505" spans="1:35" hidden="1">
      <c r="A505" s="145">
        <v>45595</v>
      </c>
      <c r="B505" s="376">
        <v>46022</v>
      </c>
      <c r="C505" s="27">
        <v>241102</v>
      </c>
      <c r="D505" s="20" t="str">
        <f t="shared" si="245"/>
        <v>高雄工業 岡山</v>
      </c>
      <c r="E505" s="20" t="str">
        <f t="shared" si="246"/>
        <v>TRAN HUY HOANG</v>
      </c>
      <c r="F505" s="20" t="str">
        <f t="shared" si="247"/>
        <v>チャン　フィ　ホアン</v>
      </c>
      <c r="G505" s="11"/>
      <c r="H505" s="11"/>
      <c r="I505" s="11">
        <v>17300</v>
      </c>
      <c r="J505" s="65" t="s">
        <v>912</v>
      </c>
      <c r="O505" s="81"/>
      <c r="P505" s="81"/>
      <c r="Q505" s="81"/>
      <c r="R505" s="81"/>
      <c r="S505" s="81"/>
      <c r="T505" s="118">
        <v>1116</v>
      </c>
      <c r="U505" s="82">
        <f>1116+17300</f>
        <v>18416</v>
      </c>
      <c r="V505" s="82">
        <v>17300</v>
      </c>
      <c r="W505" s="82">
        <v>0</v>
      </c>
      <c r="X505" s="82">
        <v>0</v>
      </c>
      <c r="Y505" s="202">
        <v>0</v>
      </c>
      <c r="Z505" s="446">
        <v>0</v>
      </c>
      <c r="AA505" s="446">
        <v>0</v>
      </c>
      <c r="AB505" s="446">
        <v>0</v>
      </c>
    </row>
    <row r="506" spans="1:35" hidden="1">
      <c r="A506" s="145">
        <v>45595</v>
      </c>
      <c r="B506" s="376">
        <v>45626</v>
      </c>
      <c r="C506" s="27">
        <v>241104</v>
      </c>
      <c r="D506" s="20" t="str">
        <f t="shared" ref="D506:D508" si="251">IF(C506="","",_xlfn.XLOOKUP(C506,社員№,派遣先,"",0,-1))</f>
        <v>高雄工業 岡山</v>
      </c>
      <c r="E506" s="20" t="str">
        <f t="shared" ref="E506:E508" si="252">IF(C506="","",_xlfn.XLOOKUP(C506,社員№,氏名,"",0,-1))</f>
        <v>HOANG TUAN ANH</v>
      </c>
      <c r="F506" s="20" t="str">
        <f t="shared" ref="F506:F508" si="253">IF(C506="","",_xlfn.XLOOKUP(C506,社員№,カナ,"",0,-1))</f>
        <v>ホアン　トゥアン　アイン</v>
      </c>
      <c r="G506" s="11"/>
      <c r="H506" s="11"/>
      <c r="I506" s="11">
        <v>17300</v>
      </c>
      <c r="J506" s="65"/>
      <c r="O506" s="81"/>
      <c r="P506" s="81"/>
      <c r="Q506" s="81"/>
      <c r="R506" s="81"/>
      <c r="S506" s="81"/>
      <c r="T506" s="118">
        <v>1116</v>
      </c>
      <c r="U506" s="82">
        <f t="shared" ref="U506:U507" si="254">1116+17300</f>
        <v>18416</v>
      </c>
      <c r="V506" s="82">
        <v>0</v>
      </c>
      <c r="W506" s="82">
        <v>0</v>
      </c>
      <c r="X506" s="82">
        <v>0</v>
      </c>
      <c r="Y506" s="202">
        <v>0</v>
      </c>
      <c r="Z506" s="446">
        <v>0</v>
      </c>
      <c r="AA506" s="446">
        <v>0</v>
      </c>
      <c r="AB506" s="446">
        <v>0</v>
      </c>
    </row>
    <row r="507" spans="1:35">
      <c r="A507" s="145">
        <v>45595</v>
      </c>
      <c r="B507" s="376"/>
      <c r="C507" s="27">
        <v>250301</v>
      </c>
      <c r="D507" s="20" t="str">
        <f t="shared" si="251"/>
        <v>高雄工業 岡山</v>
      </c>
      <c r="E507" s="20" t="str">
        <f t="shared" si="252"/>
        <v>HOANG VAN CHUONG</v>
      </c>
      <c r="F507" s="20" t="str">
        <f t="shared" si="253"/>
        <v>ホアン　ヴァン　チュオン</v>
      </c>
      <c r="G507" s="11"/>
      <c r="H507" s="11"/>
      <c r="I507" s="11">
        <v>26000</v>
      </c>
      <c r="J507" s="65"/>
      <c r="O507" s="81"/>
      <c r="P507" s="81"/>
      <c r="Q507" s="81"/>
      <c r="R507" s="81"/>
      <c r="S507" s="81"/>
      <c r="T507" s="118">
        <v>1116</v>
      </c>
      <c r="U507" s="82">
        <f t="shared" si="254"/>
        <v>18416</v>
      </c>
      <c r="V507" s="82">
        <v>17300</v>
      </c>
      <c r="W507" s="82">
        <v>26000</v>
      </c>
      <c r="X507" s="82">
        <v>26000</v>
      </c>
      <c r="Y507" s="202">
        <v>26000</v>
      </c>
      <c r="Z507" s="446">
        <v>26000</v>
      </c>
      <c r="AA507" s="446">
        <v>26000</v>
      </c>
      <c r="AB507" s="446">
        <v>26000</v>
      </c>
      <c r="AC507" s="446">
        <v>26000</v>
      </c>
      <c r="AD507" s="446">
        <v>26000</v>
      </c>
      <c r="AE507" s="444">
        <v>26000</v>
      </c>
      <c r="AF507" s="444">
        <v>26000</v>
      </c>
      <c r="AG507" s="444">
        <v>26000</v>
      </c>
      <c r="AH507" s="444">
        <v>26000</v>
      </c>
      <c r="AI507" s="444">
        <v>26000</v>
      </c>
    </row>
    <row r="508" spans="1:35">
      <c r="A508" s="145">
        <v>45628</v>
      </c>
      <c r="B508" s="376"/>
      <c r="C508" s="27">
        <v>241206</v>
      </c>
      <c r="D508" s="20" t="str">
        <f t="shared" si="251"/>
        <v>高雄工業 岡山</v>
      </c>
      <c r="E508" s="20" t="str">
        <f t="shared" si="252"/>
        <v>BUI MINH PHAP</v>
      </c>
      <c r="F508" s="20" t="str">
        <f t="shared" si="253"/>
        <v>ブイ　ミン　ファップ</v>
      </c>
      <c r="G508" s="11"/>
      <c r="H508" s="11"/>
      <c r="I508" s="11">
        <v>26000</v>
      </c>
      <c r="J508" s="65"/>
      <c r="O508" s="81"/>
      <c r="P508" s="81"/>
      <c r="Q508" s="81"/>
      <c r="R508" s="81"/>
      <c r="S508" s="81"/>
      <c r="T508" s="82"/>
      <c r="U508" s="82"/>
      <c r="V508" s="82">
        <v>16742</v>
      </c>
      <c r="W508" s="82">
        <v>26000</v>
      </c>
      <c r="X508" s="82">
        <v>26000</v>
      </c>
      <c r="Y508" s="202">
        <v>26000</v>
      </c>
      <c r="Z508" s="446">
        <v>26000</v>
      </c>
      <c r="AA508" s="446">
        <v>26000</v>
      </c>
      <c r="AB508" s="446">
        <v>26000</v>
      </c>
      <c r="AC508" s="446">
        <v>26000</v>
      </c>
      <c r="AD508" s="446">
        <v>26000</v>
      </c>
      <c r="AE508" s="444">
        <v>26000</v>
      </c>
      <c r="AF508" s="444">
        <v>26000</v>
      </c>
      <c r="AG508" s="444">
        <v>26000</v>
      </c>
      <c r="AH508" s="444">
        <v>26000</v>
      </c>
      <c r="AI508" s="444">
        <v>26000</v>
      </c>
    </row>
    <row r="509" spans="1:35">
      <c r="F509" s="160"/>
      <c r="G509" s="10"/>
      <c r="H509" s="10"/>
      <c r="I509" s="10"/>
      <c r="J509" s="74"/>
      <c r="K509" s="10"/>
      <c r="L509" s="10"/>
      <c r="M509" s="88"/>
      <c r="N509" s="88"/>
      <c r="O509" s="88"/>
      <c r="P509" s="88"/>
      <c r="Q509" s="88"/>
      <c r="R509" s="88"/>
      <c r="S509" s="88"/>
      <c r="T509" s="88"/>
      <c r="U509" s="88"/>
      <c r="V509" s="88"/>
      <c r="W509" s="88"/>
      <c r="X509" s="88"/>
      <c r="Y509" s="410"/>
      <c r="Z509" s="438"/>
      <c r="AA509" s="438"/>
      <c r="AB509" s="438"/>
    </row>
    <row r="510" spans="1:35">
      <c r="A510" s="515" t="s">
        <v>2581</v>
      </c>
      <c r="C510" s="29"/>
      <c r="D510" s="29"/>
      <c r="E510" s="29" t="s">
        <v>982</v>
      </c>
      <c r="F510" s="176"/>
      <c r="G510" s="210">
        <v>37000</v>
      </c>
      <c r="H510" s="210">
        <v>38000</v>
      </c>
      <c r="I510" s="210" t="s">
        <v>582</v>
      </c>
      <c r="J510" s="399" t="s">
        <v>980</v>
      </c>
      <c r="K510" s="10"/>
      <c r="L510" s="10"/>
      <c r="M510" s="88"/>
      <c r="N510" s="88"/>
      <c r="O510" s="88"/>
      <c r="P510" s="88"/>
      <c r="Q510" s="88"/>
      <c r="R510" s="88"/>
      <c r="S510" s="88"/>
      <c r="T510" s="88"/>
      <c r="U510" s="88"/>
      <c r="V510" s="88"/>
      <c r="W510" s="88"/>
      <c r="X510" s="88"/>
      <c r="Y510" s="410"/>
      <c r="Z510" s="438"/>
      <c r="AA510" s="438"/>
      <c r="AB510" s="438"/>
    </row>
    <row r="511" spans="1:35">
      <c r="A511" s="148" t="s">
        <v>1</v>
      </c>
      <c r="B511" s="377" t="s">
        <v>529</v>
      </c>
      <c r="C511" s="27" t="s">
        <v>2</v>
      </c>
      <c r="D511" s="27" t="s">
        <v>2532</v>
      </c>
      <c r="E511" s="27" t="s">
        <v>2433</v>
      </c>
      <c r="F511" s="165"/>
      <c r="G511" s="22" t="s">
        <v>629</v>
      </c>
      <c r="H511" s="22"/>
      <c r="I511" s="22" t="s">
        <v>3</v>
      </c>
      <c r="J511" s="90"/>
      <c r="K511" s="91"/>
      <c r="L511" s="91"/>
      <c r="M511" s="92"/>
      <c r="N511" s="92"/>
      <c r="O511" s="92"/>
      <c r="P511" s="92"/>
      <c r="Q511" s="92"/>
      <c r="R511" s="92"/>
      <c r="S511" s="92"/>
      <c r="T511" s="92"/>
      <c r="U511" s="92"/>
      <c r="V511" s="92"/>
      <c r="W511" s="92"/>
      <c r="X511" s="92"/>
      <c r="Y511" s="411"/>
      <c r="Z511" s="439"/>
      <c r="AA511" s="439"/>
      <c r="AB511" s="438"/>
    </row>
    <row r="512" spans="1:35">
      <c r="A512" s="148">
        <v>44687</v>
      </c>
      <c r="B512" s="404">
        <v>45688</v>
      </c>
      <c r="C512" s="27">
        <v>220502</v>
      </c>
      <c r="D512" s="20" t="str">
        <f t="shared" si="245"/>
        <v>高雄工業 岡山</v>
      </c>
      <c r="E512" s="20" t="str">
        <f t="shared" si="246"/>
        <v>THACH VAN DAI</v>
      </c>
      <c r="F512" s="20" t="str">
        <f t="shared" si="247"/>
        <v>タック　ヴァン　ダイ</v>
      </c>
      <c r="G512" s="11"/>
      <c r="H512" s="11"/>
      <c r="I512" s="11">
        <v>38000</v>
      </c>
      <c r="J512" s="73"/>
      <c r="K512" s="105">
        <v>38000</v>
      </c>
      <c r="L512" s="105">
        <v>38000</v>
      </c>
      <c r="M512" s="106">
        <v>38000</v>
      </c>
      <c r="N512" s="106">
        <v>38000</v>
      </c>
      <c r="O512" s="135">
        <v>38000</v>
      </c>
      <c r="P512" s="135">
        <v>38000</v>
      </c>
      <c r="Q512" s="135">
        <v>38000</v>
      </c>
      <c r="R512" s="135">
        <v>38000</v>
      </c>
      <c r="S512" s="135">
        <v>38000</v>
      </c>
      <c r="T512" s="135">
        <v>38000</v>
      </c>
      <c r="U512" s="135">
        <v>38000</v>
      </c>
      <c r="V512" s="135">
        <v>38000</v>
      </c>
      <c r="W512" s="135">
        <v>38000</v>
      </c>
      <c r="X512" s="135">
        <v>38000</v>
      </c>
      <c r="Y512" s="422">
        <v>-18000</v>
      </c>
      <c r="Z512" s="452">
        <v>0</v>
      </c>
      <c r="AA512" s="431">
        <v>0</v>
      </c>
      <c r="AB512" s="414">
        <v>0</v>
      </c>
      <c r="AC512" s="414">
        <v>0</v>
      </c>
      <c r="AD512" s="414">
        <v>0</v>
      </c>
    </row>
    <row r="513" spans="1:35">
      <c r="A513" s="147"/>
      <c r="F513" s="160"/>
      <c r="G513" s="10"/>
      <c r="H513" s="10"/>
      <c r="I513" s="10"/>
      <c r="J513" s="97"/>
      <c r="K513" s="98"/>
      <c r="L513" s="98"/>
      <c r="M513" s="99"/>
      <c r="N513" s="99"/>
      <c r="O513" s="99"/>
      <c r="P513" s="99"/>
      <c r="Q513" s="99"/>
      <c r="R513" s="99"/>
      <c r="S513" s="99"/>
      <c r="T513" s="99"/>
      <c r="U513" s="99"/>
      <c r="V513" s="99"/>
      <c r="W513" s="99"/>
      <c r="X513" s="99"/>
      <c r="Y513" s="416"/>
      <c r="Z513" s="445"/>
      <c r="AA513" s="445"/>
      <c r="AB513" s="438"/>
    </row>
    <row r="514" spans="1:35">
      <c r="A514" s="147"/>
      <c r="C514" s="29"/>
      <c r="D514" s="29"/>
      <c r="E514" s="29" t="s">
        <v>2464</v>
      </c>
      <c r="F514" s="176"/>
      <c r="G514" s="210">
        <v>47000</v>
      </c>
      <c r="H514" s="210">
        <v>47000</v>
      </c>
      <c r="I514" s="210" t="s">
        <v>583</v>
      </c>
      <c r="J514" s="74"/>
      <c r="K514" s="10"/>
      <c r="L514" s="10"/>
      <c r="M514" s="88"/>
      <c r="N514" s="88"/>
      <c r="O514" s="88"/>
      <c r="P514" s="88"/>
      <c r="Q514" s="88"/>
      <c r="R514" s="88"/>
      <c r="S514" s="88"/>
      <c r="T514" s="88"/>
      <c r="U514" s="88"/>
      <c r="V514" s="88"/>
      <c r="W514" s="88"/>
      <c r="X514" s="88"/>
      <c r="Y514" s="410"/>
      <c r="Z514" s="438"/>
      <c r="AA514" s="438"/>
      <c r="AB514" s="438"/>
    </row>
    <row r="515" spans="1:35">
      <c r="A515" s="145" t="s">
        <v>1</v>
      </c>
      <c r="B515" s="376" t="s">
        <v>529</v>
      </c>
      <c r="C515" s="27" t="s">
        <v>2</v>
      </c>
      <c r="D515" s="27" t="s">
        <v>2532</v>
      </c>
      <c r="E515" s="27" t="s">
        <v>2433</v>
      </c>
      <c r="F515" s="165"/>
      <c r="G515" s="22" t="s">
        <v>629</v>
      </c>
      <c r="H515" s="22"/>
      <c r="I515" s="22" t="s">
        <v>3</v>
      </c>
      <c r="J515" s="90"/>
      <c r="K515" s="91"/>
      <c r="L515" s="91"/>
      <c r="M515" s="92"/>
      <c r="N515" s="92"/>
      <c r="O515" s="92"/>
      <c r="P515" s="92"/>
      <c r="Q515" s="92"/>
      <c r="R515" s="92"/>
      <c r="S515" s="92"/>
      <c r="T515" s="92"/>
      <c r="U515" s="92"/>
      <c r="V515" s="92"/>
      <c r="W515" s="92"/>
      <c r="X515" s="92"/>
      <c r="Y515" s="411"/>
      <c r="Z515" s="439"/>
      <c r="AA515" s="439"/>
      <c r="AB515" s="439"/>
    </row>
    <row r="516" spans="1:35" hidden="1">
      <c r="A516" s="150">
        <v>45268</v>
      </c>
      <c r="B516" s="384">
        <v>45716</v>
      </c>
      <c r="C516" s="20">
        <v>231218</v>
      </c>
      <c r="D516" s="20" t="str">
        <f t="shared" si="245"/>
        <v>高雄工業 岡山</v>
      </c>
      <c r="E516" s="20" t="str">
        <f t="shared" si="246"/>
        <v>LE DINH TUU</v>
      </c>
      <c r="F516" s="20" t="str">
        <f t="shared" si="247"/>
        <v>レ　ディン トゥー</v>
      </c>
      <c r="G516" s="11"/>
      <c r="H516" s="11"/>
      <c r="I516" s="11">
        <v>26000</v>
      </c>
      <c r="J516" s="65"/>
      <c r="K516" s="11">
        <v>26000</v>
      </c>
      <c r="L516" s="11">
        <v>26000</v>
      </c>
      <c r="M516" s="81">
        <v>26000</v>
      </c>
      <c r="N516" s="81">
        <v>26000</v>
      </c>
      <c r="O516" s="81">
        <v>26000</v>
      </c>
      <c r="P516" s="81">
        <v>26000</v>
      </c>
      <c r="Q516" s="81">
        <v>26000</v>
      </c>
      <c r="R516" s="81">
        <v>26000</v>
      </c>
      <c r="S516" s="81">
        <v>26000</v>
      </c>
      <c r="T516" s="81">
        <v>26000</v>
      </c>
      <c r="U516" s="81">
        <v>26000</v>
      </c>
      <c r="V516" s="81">
        <v>26000</v>
      </c>
      <c r="W516" s="81">
        <v>26000</v>
      </c>
      <c r="X516" s="81">
        <v>26000</v>
      </c>
      <c r="Y516" s="202">
        <v>20000</v>
      </c>
      <c r="Z516" s="446">
        <v>0</v>
      </c>
      <c r="AA516" s="446">
        <v>0</v>
      </c>
      <c r="AB516" s="446">
        <v>0</v>
      </c>
      <c r="AC516" s="475"/>
    </row>
    <row r="517" spans="1:35">
      <c r="A517" s="145">
        <v>45717</v>
      </c>
      <c r="B517" s="376"/>
      <c r="C517" s="27">
        <v>250212</v>
      </c>
      <c r="D517" s="20" t="str">
        <f t="shared" ref="D517:D518" si="255">IF(C517="","",_xlfn.XLOOKUP(C517,社員№,派遣先,"",0,-1))</f>
        <v>高雄工業 岡山</v>
      </c>
      <c r="E517" s="20" t="str">
        <f t="shared" ref="E517:E518" si="256">IF(C517="","",_xlfn.XLOOKUP(C517,社員№,氏名,"",0,-1))</f>
        <v>NGUYEN DUC LOC</v>
      </c>
      <c r="F517" s="20" t="str">
        <f t="shared" ref="F517:F518" si="257">IF(C517="","",_xlfn.XLOOKUP(C517,社員№,カナ,"",0,-1))</f>
        <v>グエン　ドゥック　ロック</v>
      </c>
      <c r="G517" s="11"/>
      <c r="H517" s="11"/>
      <c r="I517" s="11">
        <v>26000</v>
      </c>
      <c r="J517" s="65"/>
      <c r="O517" s="81"/>
      <c r="P517" s="81"/>
      <c r="Q517" s="81"/>
      <c r="R517" s="81"/>
      <c r="S517" s="81"/>
      <c r="T517" s="81"/>
      <c r="U517" s="81"/>
      <c r="V517" s="81"/>
      <c r="W517" s="81"/>
      <c r="X517" s="81"/>
      <c r="Y517" s="413">
        <v>26000</v>
      </c>
      <c r="Z517" s="441">
        <v>26000</v>
      </c>
      <c r="AA517" s="441">
        <v>26000</v>
      </c>
      <c r="AB517" s="441">
        <v>26000</v>
      </c>
      <c r="AC517" s="441">
        <v>26000</v>
      </c>
      <c r="AD517" s="441">
        <v>26000</v>
      </c>
      <c r="AE517" s="437">
        <v>26000</v>
      </c>
      <c r="AF517" s="437">
        <v>26000</v>
      </c>
      <c r="AG517" s="437">
        <v>26000</v>
      </c>
      <c r="AH517" s="437">
        <v>26000</v>
      </c>
      <c r="AI517" s="437">
        <v>26000</v>
      </c>
    </row>
    <row r="518" spans="1:35">
      <c r="A518" s="145">
        <v>45717</v>
      </c>
      <c r="B518" s="376"/>
      <c r="C518" s="20">
        <v>250211</v>
      </c>
      <c r="D518" s="20" t="str">
        <f t="shared" si="255"/>
        <v>高雄工業 岡山</v>
      </c>
      <c r="E518" s="20" t="str">
        <f t="shared" si="256"/>
        <v>LE THANH SANG</v>
      </c>
      <c r="F518" s="20" t="str">
        <f t="shared" si="257"/>
        <v>レ　タン　サン</v>
      </c>
      <c r="G518" s="11"/>
      <c r="H518" s="11"/>
      <c r="I518" s="11">
        <v>26000</v>
      </c>
      <c r="J518" s="65"/>
      <c r="O518" s="81"/>
      <c r="P518" s="81"/>
      <c r="Q518" s="81"/>
      <c r="R518" s="81"/>
      <c r="S518" s="81"/>
      <c r="T518" s="81"/>
      <c r="U518" s="81"/>
      <c r="V518" s="81"/>
      <c r="W518" s="81"/>
      <c r="X518" s="81"/>
      <c r="Y518" s="413">
        <v>26000</v>
      </c>
      <c r="Z518" s="441">
        <v>26000</v>
      </c>
      <c r="AA518" s="441">
        <v>26000</v>
      </c>
      <c r="AB518" s="441">
        <v>26000</v>
      </c>
      <c r="AC518" s="441">
        <v>26000</v>
      </c>
      <c r="AD518" s="441">
        <v>26000</v>
      </c>
      <c r="AE518" s="437">
        <v>26000</v>
      </c>
      <c r="AF518" s="437">
        <v>26000</v>
      </c>
      <c r="AG518" s="437">
        <v>26000</v>
      </c>
      <c r="AH518" s="437">
        <v>26000</v>
      </c>
      <c r="AI518" s="437">
        <v>26000</v>
      </c>
    </row>
    <row r="519" spans="1:35">
      <c r="C519" s="47"/>
      <c r="F519" s="160"/>
      <c r="G519" s="10"/>
      <c r="H519" s="10"/>
      <c r="I519" s="10"/>
      <c r="J519" s="74"/>
      <c r="K519" s="10"/>
      <c r="L519" s="10"/>
      <c r="M519" s="88"/>
      <c r="N519" s="88"/>
      <c r="O519" s="88"/>
      <c r="P519" s="88"/>
      <c r="Q519" s="88"/>
      <c r="R519" s="88"/>
      <c r="S519" s="88"/>
      <c r="T519" s="88"/>
      <c r="U519" s="88"/>
      <c r="V519" s="88"/>
      <c r="W519" s="88"/>
      <c r="X519" s="88"/>
      <c r="Y519" s="410"/>
      <c r="Z519" s="438"/>
      <c r="AA519" s="438"/>
      <c r="AB519" s="438"/>
    </row>
    <row r="520" spans="1:35">
      <c r="A520" s="147"/>
      <c r="C520" s="29"/>
      <c r="D520" s="29"/>
      <c r="E520" s="29" t="s">
        <v>2465</v>
      </c>
      <c r="F520" s="176"/>
      <c r="G520" s="210">
        <v>47000</v>
      </c>
      <c r="H520" s="210">
        <v>47000</v>
      </c>
      <c r="I520" s="210" t="s">
        <v>583</v>
      </c>
      <c r="J520" s="74"/>
      <c r="K520" s="10"/>
      <c r="L520" s="10"/>
      <c r="M520" s="88"/>
      <c r="N520" s="88"/>
      <c r="O520" s="88"/>
      <c r="P520" s="88"/>
      <c r="Q520" s="88"/>
      <c r="R520" s="88"/>
      <c r="S520" s="88"/>
      <c r="T520" s="88"/>
      <c r="U520" s="88"/>
      <c r="V520" s="88"/>
      <c r="W520" s="88"/>
      <c r="X520" s="88"/>
      <c r="Y520" s="410"/>
      <c r="Z520" s="438"/>
      <c r="AA520" s="438"/>
      <c r="AB520" s="438"/>
    </row>
    <row r="521" spans="1:35">
      <c r="A521" s="145" t="s">
        <v>1</v>
      </c>
      <c r="B521" s="376" t="s">
        <v>529</v>
      </c>
      <c r="C521" s="27" t="s">
        <v>2</v>
      </c>
      <c r="D521" s="27" t="s">
        <v>2532</v>
      </c>
      <c r="E521" s="27" t="s">
        <v>2433</v>
      </c>
      <c r="F521" s="165"/>
      <c r="G521" s="22" t="s">
        <v>629</v>
      </c>
      <c r="H521" s="22"/>
      <c r="I521" s="22" t="s">
        <v>3</v>
      </c>
      <c r="J521" s="90"/>
      <c r="K521" s="91"/>
      <c r="L521" s="91"/>
      <c r="M521" s="92"/>
      <c r="N521" s="92"/>
      <c r="O521" s="92"/>
      <c r="P521" s="92"/>
      <c r="Q521" s="92"/>
      <c r="R521" s="92"/>
      <c r="S521" s="92"/>
      <c r="T521" s="92"/>
      <c r="U521" s="92"/>
      <c r="V521" s="92"/>
      <c r="W521" s="92"/>
      <c r="X521" s="92"/>
      <c r="Y521" s="411"/>
      <c r="Z521" s="439"/>
      <c r="AA521" s="439"/>
      <c r="AB521" s="439"/>
    </row>
    <row r="522" spans="1:35">
      <c r="A522" s="145">
        <v>44409</v>
      </c>
      <c r="B522" s="376">
        <v>45961</v>
      </c>
      <c r="C522" s="27">
        <v>220806</v>
      </c>
      <c r="D522" s="20" t="str">
        <f t="shared" si="245"/>
        <v>高雄工業 岡山</v>
      </c>
      <c r="E522" s="20" t="str">
        <f t="shared" si="246"/>
        <v>NGUYEN THE DANG</v>
      </c>
      <c r="F522" s="20" t="str">
        <f t="shared" si="247"/>
        <v>グエン　テー　ダン</v>
      </c>
      <c r="G522" s="11"/>
      <c r="H522" s="11"/>
      <c r="I522" s="11">
        <v>23500</v>
      </c>
      <c r="J522" s="67"/>
      <c r="K522" s="78">
        <v>14403</v>
      </c>
      <c r="L522" s="78">
        <v>23500</v>
      </c>
      <c r="M522" s="87">
        <v>23500</v>
      </c>
      <c r="N522" s="87">
        <v>23500</v>
      </c>
      <c r="O522" s="132">
        <v>23500</v>
      </c>
      <c r="P522" s="132">
        <v>23500</v>
      </c>
      <c r="Q522" s="132">
        <v>23500</v>
      </c>
      <c r="R522" s="132">
        <v>23500</v>
      </c>
      <c r="S522" s="132">
        <v>23500</v>
      </c>
      <c r="T522" s="132">
        <v>23500</v>
      </c>
      <c r="U522" s="132">
        <v>23500</v>
      </c>
      <c r="V522" s="132">
        <v>23500</v>
      </c>
      <c r="W522" s="132">
        <v>23500</v>
      </c>
      <c r="X522" s="132">
        <v>23500</v>
      </c>
      <c r="Y522" s="412">
        <v>23500</v>
      </c>
      <c r="Z522" s="440">
        <v>23500</v>
      </c>
      <c r="AA522" s="440">
        <v>23500</v>
      </c>
      <c r="AB522" s="440">
        <v>23500</v>
      </c>
      <c r="AC522" s="441">
        <v>23500</v>
      </c>
      <c r="AD522" s="441">
        <v>23500</v>
      </c>
      <c r="AE522" s="437">
        <v>23500</v>
      </c>
      <c r="AF522" s="437">
        <v>43500</v>
      </c>
      <c r="AG522" s="522">
        <v>0</v>
      </c>
    </row>
    <row r="523" spans="1:35">
      <c r="A523" s="145">
        <v>45257</v>
      </c>
      <c r="B523" s="376"/>
      <c r="C523" s="20">
        <v>231214</v>
      </c>
      <c r="D523" s="20" t="str">
        <f t="shared" ref="D523:D524" si="258">IF(C523="","",_xlfn.XLOOKUP(C523,社員№,派遣先,"",0,-1))</f>
        <v>高雄工業 岡山</v>
      </c>
      <c r="E523" s="20" t="str">
        <f t="shared" ref="E523:E524" si="259">IF(C523="","",_xlfn.XLOOKUP(C523,社員№,氏名,"",0,-1))</f>
        <v>PHAM MINH LUC</v>
      </c>
      <c r="F523" s="20" t="str">
        <f t="shared" ref="F523:F524" si="260">IF(C523="","",_xlfn.XLOOKUP(C523,社員№,カナ,"",0,-1))</f>
        <v>ファム　ミン　ルック</v>
      </c>
      <c r="G523" s="11"/>
      <c r="H523" s="11"/>
      <c r="I523" s="11">
        <v>23500</v>
      </c>
      <c r="J523" s="65"/>
      <c r="K523" s="11">
        <v>23500</v>
      </c>
      <c r="L523" s="11">
        <v>23500</v>
      </c>
      <c r="M523" s="81">
        <v>23500</v>
      </c>
      <c r="N523" s="81">
        <v>23500</v>
      </c>
      <c r="O523" s="81">
        <v>23500</v>
      </c>
      <c r="P523" s="81">
        <v>23500</v>
      </c>
      <c r="Q523" s="81">
        <v>23500</v>
      </c>
      <c r="R523" s="81">
        <v>23500</v>
      </c>
      <c r="S523" s="81">
        <v>23500</v>
      </c>
      <c r="T523" s="81">
        <v>23500</v>
      </c>
      <c r="U523" s="81">
        <v>23500</v>
      </c>
      <c r="V523" s="81">
        <v>23500</v>
      </c>
      <c r="W523" s="81">
        <v>23500</v>
      </c>
      <c r="X523" s="81">
        <v>23500</v>
      </c>
      <c r="Y523" s="413">
        <v>23500</v>
      </c>
      <c r="Z523" s="441">
        <v>23500</v>
      </c>
      <c r="AA523" s="441">
        <v>23500</v>
      </c>
      <c r="AB523" s="441">
        <v>23500</v>
      </c>
      <c r="AC523" s="441">
        <v>23500</v>
      </c>
      <c r="AD523" s="441">
        <v>23500</v>
      </c>
      <c r="AE523" s="441">
        <v>23500</v>
      </c>
      <c r="AF523" s="441">
        <v>23500</v>
      </c>
      <c r="AG523" s="437">
        <v>23500</v>
      </c>
      <c r="AH523" s="437">
        <v>23500</v>
      </c>
      <c r="AI523" s="437">
        <v>23500</v>
      </c>
    </row>
    <row r="524" spans="1:35">
      <c r="A524" s="145">
        <v>45966</v>
      </c>
      <c r="B524" s="376"/>
      <c r="C524" s="20">
        <v>251108</v>
      </c>
      <c r="D524" s="20" t="str">
        <f t="shared" si="258"/>
        <v>高雄工業 岡山</v>
      </c>
      <c r="E524" s="20" t="str">
        <f t="shared" si="259"/>
        <v>NGUYEN VAN VUONG</v>
      </c>
      <c r="F524" s="20" t="str">
        <f t="shared" si="260"/>
        <v>グエン　ヴァン　ヴォン</v>
      </c>
      <c r="G524" s="11"/>
      <c r="H524" s="11"/>
      <c r="I524" s="11"/>
      <c r="J524" s="65"/>
      <c r="O524" s="81"/>
      <c r="P524" s="81"/>
      <c r="Q524" s="81"/>
      <c r="R524" s="81"/>
      <c r="S524" s="81"/>
      <c r="T524" s="81"/>
      <c r="U524" s="81"/>
      <c r="V524" s="81"/>
      <c r="W524" s="81"/>
      <c r="X524" s="81"/>
      <c r="Y524" s="413"/>
      <c r="Z524" s="441"/>
      <c r="AA524" s="441"/>
      <c r="AB524" s="441"/>
      <c r="AC524" s="441"/>
      <c r="AD524" s="441"/>
      <c r="AE524" s="441"/>
      <c r="AF524" s="441"/>
      <c r="AG524" s="437">
        <v>20370</v>
      </c>
      <c r="AH524" s="437">
        <v>23500</v>
      </c>
      <c r="AI524" s="437">
        <v>23500</v>
      </c>
    </row>
    <row r="525" spans="1:35">
      <c r="A525" s="147"/>
      <c r="F525" s="160"/>
      <c r="G525" s="10"/>
      <c r="H525" s="10"/>
      <c r="I525" s="10"/>
      <c r="J525" s="74"/>
      <c r="K525" s="10"/>
      <c r="L525" s="10"/>
      <c r="M525" s="88"/>
      <c r="N525" s="88"/>
      <c r="O525" s="88"/>
      <c r="P525" s="88"/>
      <c r="Q525" s="88"/>
      <c r="R525" s="88"/>
      <c r="S525" s="88"/>
      <c r="T525" s="88"/>
      <c r="U525" s="88"/>
      <c r="V525" s="88"/>
      <c r="W525" s="88"/>
      <c r="X525" s="88"/>
      <c r="Y525" s="410"/>
      <c r="Z525" s="438"/>
      <c r="AA525" s="438"/>
      <c r="AB525" s="438"/>
      <c r="AF525" s="538"/>
      <c r="AG525" s="544"/>
    </row>
    <row r="526" spans="1:35">
      <c r="A526" s="147"/>
      <c r="C526" s="29"/>
      <c r="D526" s="29"/>
      <c r="E526" s="29" t="s">
        <v>2466</v>
      </c>
      <c r="F526" s="176"/>
      <c r="G526" s="210">
        <v>47000</v>
      </c>
      <c r="H526" s="210">
        <v>47000</v>
      </c>
      <c r="I526" s="210" t="s">
        <v>583</v>
      </c>
      <c r="J526" s="90"/>
      <c r="K526" s="91"/>
      <c r="L526" s="91"/>
      <c r="M526" s="92"/>
      <c r="N526" s="92"/>
      <c r="O526" s="92"/>
      <c r="P526" s="92"/>
      <c r="Q526" s="92"/>
      <c r="R526" s="92"/>
      <c r="S526" s="92"/>
      <c r="T526" s="92"/>
      <c r="U526" s="92"/>
      <c r="V526" s="92"/>
      <c r="W526" s="92"/>
      <c r="X526" s="92"/>
      <c r="Y526" s="411"/>
      <c r="Z526" s="439"/>
      <c r="AA526" s="439"/>
      <c r="AB526" s="439"/>
    </row>
    <row r="527" spans="1:35">
      <c r="A527" s="148" t="s">
        <v>1</v>
      </c>
      <c r="B527" s="377" t="s">
        <v>529</v>
      </c>
      <c r="C527" s="27" t="s">
        <v>2</v>
      </c>
      <c r="D527" s="27" t="s">
        <v>2532</v>
      </c>
      <c r="E527" s="27" t="s">
        <v>2433</v>
      </c>
      <c r="F527" s="165"/>
      <c r="G527" s="11" t="s">
        <v>629</v>
      </c>
      <c r="H527" s="11"/>
      <c r="I527" s="11" t="s">
        <v>3</v>
      </c>
      <c r="J527" s="67" t="s">
        <v>143</v>
      </c>
      <c r="K527" s="78"/>
      <c r="L527" s="78"/>
      <c r="M527" s="87"/>
      <c r="N527" s="87"/>
      <c r="O527" s="132"/>
      <c r="P527" s="132"/>
      <c r="Q527" s="132"/>
      <c r="R527" s="132"/>
      <c r="S527" s="132"/>
      <c r="T527" s="132"/>
      <c r="U527" s="132"/>
      <c r="V527" s="132"/>
      <c r="W527" s="132"/>
      <c r="X527" s="132"/>
      <c r="Y527" s="412"/>
      <c r="Z527" s="440"/>
      <c r="AA527" s="440"/>
      <c r="AB527" s="440"/>
    </row>
    <row r="528" spans="1:35">
      <c r="A528" s="145">
        <v>45724</v>
      </c>
      <c r="B528" s="376"/>
      <c r="C528" s="27">
        <v>220606</v>
      </c>
      <c r="D528" s="20" t="str">
        <f t="shared" si="245"/>
        <v>高雄工業 岡山</v>
      </c>
      <c r="E528" s="20" t="str">
        <f t="shared" si="246"/>
        <v>WIDIARTO IFTIAR</v>
      </c>
      <c r="F528" s="20" t="str">
        <f t="shared" si="247"/>
        <v>ウィディアルト　イフティアル</v>
      </c>
      <c r="G528" s="11"/>
      <c r="H528" s="11"/>
      <c r="I528" s="11">
        <v>47000</v>
      </c>
      <c r="J528" s="65"/>
      <c r="O528" s="81"/>
      <c r="P528" s="81"/>
      <c r="Q528" s="81"/>
      <c r="R528" s="81"/>
      <c r="S528" s="81"/>
      <c r="T528" s="81"/>
      <c r="U528" s="81"/>
      <c r="V528" s="81"/>
      <c r="W528" s="81"/>
      <c r="X528" s="81"/>
      <c r="Y528" s="413">
        <f>9548+34871</f>
        <v>44419</v>
      </c>
      <c r="Z528" s="441">
        <v>47000</v>
      </c>
      <c r="AA528" s="441">
        <v>47000</v>
      </c>
      <c r="AB528" s="441">
        <v>47000</v>
      </c>
      <c r="AC528" s="441">
        <v>47000</v>
      </c>
      <c r="AD528" s="441">
        <v>47000</v>
      </c>
      <c r="AE528" s="437">
        <v>47000</v>
      </c>
      <c r="AF528" s="437">
        <v>47000</v>
      </c>
      <c r="AG528" s="437">
        <v>47000</v>
      </c>
      <c r="AH528" s="437">
        <v>47000</v>
      </c>
      <c r="AI528" s="437">
        <v>47000</v>
      </c>
    </row>
    <row r="529" spans="1:35">
      <c r="A529" s="147"/>
      <c r="F529" s="160"/>
      <c r="G529" s="10"/>
      <c r="H529" s="10"/>
      <c r="I529" s="10"/>
      <c r="J529" s="74"/>
      <c r="K529" s="10"/>
      <c r="L529" s="10"/>
      <c r="M529" s="88"/>
      <c r="N529" s="88"/>
      <c r="O529" s="88"/>
      <c r="P529" s="88"/>
      <c r="Q529" s="88"/>
      <c r="R529" s="88"/>
      <c r="S529" s="88"/>
      <c r="T529" s="88"/>
      <c r="U529" s="88"/>
      <c r="V529" s="88"/>
      <c r="W529" s="88"/>
      <c r="X529" s="88"/>
      <c r="Y529" s="410"/>
      <c r="Z529" s="438"/>
      <c r="AA529" s="438"/>
      <c r="AB529" s="438"/>
    </row>
    <row r="530" spans="1:35">
      <c r="C530" s="26"/>
      <c r="D530" s="26"/>
      <c r="E530" s="26" t="s">
        <v>2467</v>
      </c>
      <c r="F530" s="178"/>
      <c r="G530" s="210">
        <v>47000</v>
      </c>
      <c r="H530" s="210">
        <v>52000</v>
      </c>
      <c r="I530" s="210" t="s">
        <v>583</v>
      </c>
      <c r="J530" s="90"/>
      <c r="K530" s="91"/>
      <c r="L530" s="91"/>
      <c r="M530" s="92"/>
      <c r="N530" s="92"/>
      <c r="O530" s="92"/>
      <c r="P530" s="92"/>
      <c r="Q530" s="92"/>
      <c r="R530" s="92"/>
      <c r="S530" s="92"/>
      <c r="T530" s="92"/>
      <c r="U530" s="92"/>
      <c r="V530" s="92"/>
      <c r="W530" s="92"/>
      <c r="X530" s="92"/>
      <c r="Y530" s="411"/>
      <c r="Z530" s="439"/>
      <c r="AA530" s="439"/>
      <c r="AB530" s="439"/>
    </row>
    <row r="531" spans="1:35">
      <c r="A531" s="145" t="s">
        <v>1</v>
      </c>
      <c r="B531" s="376" t="s">
        <v>529</v>
      </c>
      <c r="C531" s="27" t="s">
        <v>2</v>
      </c>
      <c r="D531" s="27" t="s">
        <v>2532</v>
      </c>
      <c r="E531" s="27" t="s">
        <v>2433</v>
      </c>
      <c r="F531" s="165"/>
      <c r="G531" s="11"/>
      <c r="H531" s="11"/>
      <c r="I531" s="11" t="s">
        <v>3</v>
      </c>
      <c r="J531" s="67" t="s">
        <v>154</v>
      </c>
      <c r="K531" s="78"/>
      <c r="L531" s="78"/>
      <c r="M531" s="87"/>
      <c r="N531" s="87"/>
      <c r="O531" s="132"/>
      <c r="P531" s="132"/>
      <c r="Q531" s="132"/>
      <c r="R531" s="132"/>
      <c r="S531" s="132"/>
      <c r="T531" s="132"/>
      <c r="U531" s="132"/>
      <c r="V531" s="132"/>
      <c r="W531" s="132"/>
      <c r="X531" s="132"/>
      <c r="Y531" s="412"/>
      <c r="Z531" s="440"/>
      <c r="AA531" s="440"/>
      <c r="AB531" s="440"/>
    </row>
    <row r="532" spans="1:35" hidden="1">
      <c r="A532" s="145">
        <v>44979</v>
      </c>
      <c r="B532" s="376">
        <v>45596</v>
      </c>
      <c r="C532" s="27">
        <v>230304</v>
      </c>
      <c r="D532" s="20" t="str">
        <f t="shared" si="245"/>
        <v>高雄工業 岡山</v>
      </c>
      <c r="E532" s="20" t="str">
        <f t="shared" si="246"/>
        <v>NGUYEN NGOC SON</v>
      </c>
      <c r="F532" s="20" t="str">
        <f t="shared" si="247"/>
        <v>グエン　ゴック　ソン</v>
      </c>
      <c r="G532" s="11"/>
      <c r="H532" s="11"/>
      <c r="I532" s="11">
        <v>26000</v>
      </c>
      <c r="J532" s="65">
        <v>17400</v>
      </c>
      <c r="K532" s="11">
        <v>26000</v>
      </c>
      <c r="L532" s="11">
        <v>26000</v>
      </c>
      <c r="M532" s="81">
        <v>26000</v>
      </c>
      <c r="N532" s="81">
        <v>26000</v>
      </c>
      <c r="O532" s="81">
        <v>26000</v>
      </c>
      <c r="P532" s="81">
        <v>26000</v>
      </c>
      <c r="Q532" s="81">
        <v>26000</v>
      </c>
      <c r="R532" s="81">
        <v>26000</v>
      </c>
      <c r="S532" s="81">
        <v>26000</v>
      </c>
      <c r="T532" s="81">
        <f>26000+20000</f>
        <v>46000</v>
      </c>
      <c r="U532" s="81">
        <v>0</v>
      </c>
      <c r="V532" s="81">
        <v>0</v>
      </c>
      <c r="W532" s="81">
        <v>0</v>
      </c>
      <c r="X532" s="81">
        <v>0</v>
      </c>
      <c r="Y532" s="413">
        <v>0</v>
      </c>
      <c r="Z532" s="441">
        <v>0</v>
      </c>
      <c r="AA532" s="441">
        <v>0</v>
      </c>
      <c r="AB532" s="441">
        <v>0</v>
      </c>
    </row>
    <row r="533" spans="1:35" hidden="1">
      <c r="A533" s="145">
        <v>44979</v>
      </c>
      <c r="B533" s="376">
        <v>45657</v>
      </c>
      <c r="C533" s="27">
        <v>230306</v>
      </c>
      <c r="D533" s="20" t="str">
        <f t="shared" ref="D533:D535" si="261">IF(C533="","",_xlfn.XLOOKUP(C533,社員№,派遣先,"",0,-1))</f>
        <v>高雄工業 岡山</v>
      </c>
      <c r="E533" s="20" t="str">
        <f t="shared" ref="E533:E535" si="262">IF(C533="","",_xlfn.XLOOKUP(C533,社員№,氏名,"",0,-1))</f>
        <v>VU HONG KHANH</v>
      </c>
      <c r="F533" s="20" t="str">
        <f t="shared" ref="F533:F535" si="263">IF(C533="","",_xlfn.XLOOKUP(C533,社員№,カナ,"",0,-1))</f>
        <v>ヴー　ホン　カイン</v>
      </c>
      <c r="G533" s="11"/>
      <c r="H533" s="11"/>
      <c r="I533" s="11">
        <v>26000</v>
      </c>
      <c r="J533" s="65">
        <v>17400</v>
      </c>
      <c r="K533" s="11">
        <v>26000</v>
      </c>
      <c r="L533" s="11">
        <v>26000</v>
      </c>
      <c r="M533" s="81">
        <v>26000</v>
      </c>
      <c r="N533" s="81">
        <v>26000</v>
      </c>
      <c r="O533" s="81">
        <v>26000</v>
      </c>
      <c r="P533" s="81">
        <v>26000</v>
      </c>
      <c r="Q533" s="81">
        <v>26000</v>
      </c>
      <c r="R533" s="81">
        <v>26000</v>
      </c>
      <c r="S533" s="81">
        <v>26000</v>
      </c>
      <c r="T533" s="81">
        <v>26000</v>
      </c>
      <c r="U533" s="81">
        <v>26000</v>
      </c>
      <c r="V533" s="81">
        <f>26000+20000</f>
        <v>46000</v>
      </c>
      <c r="W533" s="81">
        <v>0</v>
      </c>
      <c r="X533" s="81">
        <v>0</v>
      </c>
      <c r="Y533" s="413">
        <v>0</v>
      </c>
      <c r="Z533" s="441">
        <v>0</v>
      </c>
      <c r="AA533" s="441">
        <v>0</v>
      </c>
      <c r="AB533" s="441">
        <v>0</v>
      </c>
    </row>
    <row r="534" spans="1:35">
      <c r="A534" s="145">
        <v>45627</v>
      </c>
      <c r="B534" s="376"/>
      <c r="C534" s="27">
        <v>241104</v>
      </c>
      <c r="D534" s="20" t="str">
        <f t="shared" si="261"/>
        <v>高雄工業 岡山</v>
      </c>
      <c r="E534" s="20" t="str">
        <f t="shared" si="262"/>
        <v>HOANG TUAN ANH</v>
      </c>
      <c r="F534" s="20" t="str">
        <f t="shared" si="263"/>
        <v>ホアン　トゥアン　アイン</v>
      </c>
      <c r="G534" s="11"/>
      <c r="H534" s="11"/>
      <c r="I534" s="11">
        <v>26000</v>
      </c>
      <c r="J534" s="65"/>
      <c r="O534" s="81"/>
      <c r="P534" s="81"/>
      <c r="Q534" s="81"/>
      <c r="R534" s="81"/>
      <c r="S534" s="81"/>
      <c r="T534" s="81"/>
      <c r="U534" s="81"/>
      <c r="V534" s="81">
        <v>26000</v>
      </c>
      <c r="W534" s="81">
        <v>26000</v>
      </c>
      <c r="X534" s="81">
        <v>26000</v>
      </c>
      <c r="Y534" s="413">
        <v>26000</v>
      </c>
      <c r="Z534" s="441">
        <v>26000</v>
      </c>
      <c r="AA534" s="441">
        <v>26000</v>
      </c>
      <c r="AB534" s="441">
        <v>26000</v>
      </c>
      <c r="AC534" s="441">
        <v>26000</v>
      </c>
      <c r="AD534" s="441">
        <v>26000</v>
      </c>
      <c r="AE534" s="437">
        <v>26000</v>
      </c>
      <c r="AF534" s="437">
        <v>26000</v>
      </c>
      <c r="AG534" s="437">
        <v>26000</v>
      </c>
      <c r="AH534" s="437">
        <v>26000</v>
      </c>
      <c r="AI534" s="437">
        <v>26000</v>
      </c>
    </row>
    <row r="535" spans="1:35">
      <c r="A535" s="145">
        <v>45658</v>
      </c>
      <c r="B535" s="376"/>
      <c r="C535" s="27">
        <v>241102</v>
      </c>
      <c r="D535" s="20" t="str">
        <f t="shared" si="261"/>
        <v>高雄工業 岡山</v>
      </c>
      <c r="E535" s="20" t="str">
        <f t="shared" si="262"/>
        <v>TRAN HUY HOANG</v>
      </c>
      <c r="F535" s="20" t="str">
        <f t="shared" si="263"/>
        <v>チャン　フィ　ホアン</v>
      </c>
      <c r="G535" s="11"/>
      <c r="H535" s="11"/>
      <c r="I535" s="11"/>
      <c r="J535" s="65"/>
      <c r="O535" s="81"/>
      <c r="P535" s="81"/>
      <c r="Q535" s="81"/>
      <c r="R535" s="81"/>
      <c r="S535" s="81"/>
      <c r="T535" s="81"/>
      <c r="U535" s="81"/>
      <c r="V535" s="81"/>
      <c r="W535" s="81">
        <v>26000</v>
      </c>
      <c r="X535" s="81">
        <v>26000</v>
      </c>
      <c r="Y535" s="413">
        <v>26000</v>
      </c>
      <c r="Z535" s="441">
        <v>26000</v>
      </c>
      <c r="AA535" s="441">
        <v>26000</v>
      </c>
      <c r="AB535" s="441">
        <v>26000</v>
      </c>
      <c r="AC535" s="441">
        <v>26000</v>
      </c>
      <c r="AD535" s="441">
        <v>26000</v>
      </c>
      <c r="AE535" s="437">
        <v>26000</v>
      </c>
      <c r="AF535" s="437">
        <v>26000</v>
      </c>
      <c r="AG535" s="437">
        <v>26000</v>
      </c>
      <c r="AH535" s="437">
        <v>26000</v>
      </c>
      <c r="AI535" s="437">
        <v>26000</v>
      </c>
    </row>
    <row r="536" spans="1:35">
      <c r="C536" s="389"/>
      <c r="D536" s="389"/>
      <c r="E536" s="389"/>
      <c r="F536" s="390"/>
      <c r="G536" s="10"/>
      <c r="H536" s="10"/>
      <c r="I536" s="10"/>
      <c r="J536" s="74"/>
      <c r="K536" s="10"/>
      <c r="L536" s="10"/>
      <c r="M536" s="88"/>
      <c r="N536" s="88"/>
      <c r="O536" s="88"/>
      <c r="P536" s="88"/>
      <c r="Q536" s="88"/>
      <c r="R536" s="88"/>
      <c r="S536" s="88"/>
      <c r="T536" s="88"/>
      <c r="U536" s="88"/>
      <c r="V536" s="88"/>
      <c r="W536" s="88"/>
      <c r="X536" s="88"/>
      <c r="Y536" s="410"/>
      <c r="Z536" s="438"/>
      <c r="AA536" s="438"/>
      <c r="AB536" s="438"/>
    </row>
    <row r="537" spans="1:35">
      <c r="A537" s="147"/>
      <c r="C537" s="54"/>
      <c r="D537" s="54"/>
      <c r="E537" s="54" t="s">
        <v>2468</v>
      </c>
      <c r="F537" s="179"/>
      <c r="G537" s="210">
        <v>47000</v>
      </c>
      <c r="H537" s="210">
        <v>52000</v>
      </c>
      <c r="I537" s="210" t="s">
        <v>583</v>
      </c>
      <c r="J537" s="74"/>
      <c r="K537" s="10"/>
      <c r="L537" s="10"/>
      <c r="M537" s="88"/>
      <c r="N537" s="88"/>
      <c r="O537" s="88"/>
      <c r="P537" s="88"/>
      <c r="Q537" s="88"/>
      <c r="R537" s="88"/>
      <c r="S537" s="88"/>
      <c r="T537" s="88"/>
      <c r="U537" s="88"/>
      <c r="V537" s="88"/>
      <c r="W537" s="88"/>
      <c r="X537" s="88"/>
      <c r="Y537" s="410"/>
      <c r="Z537" s="438"/>
      <c r="AA537" s="438"/>
      <c r="AB537" s="438"/>
    </row>
    <row r="538" spans="1:35">
      <c r="A538" s="148" t="s">
        <v>1</v>
      </c>
      <c r="B538" s="377" t="s">
        <v>529</v>
      </c>
      <c r="C538" s="27" t="s">
        <v>2</v>
      </c>
      <c r="D538" s="27" t="s">
        <v>2532</v>
      </c>
      <c r="E538" s="27" t="s">
        <v>2433</v>
      </c>
      <c r="F538" s="165"/>
      <c r="G538" s="22"/>
      <c r="H538" s="22"/>
      <c r="I538" s="22" t="s">
        <v>3</v>
      </c>
      <c r="J538" s="90"/>
      <c r="K538" s="91"/>
      <c r="L538" s="91"/>
      <c r="M538" s="92"/>
      <c r="N538" s="92"/>
      <c r="O538" s="92"/>
      <c r="P538" s="92"/>
      <c r="Q538" s="92"/>
      <c r="R538" s="92"/>
      <c r="S538" s="92"/>
      <c r="T538" s="92"/>
      <c r="U538" s="92"/>
      <c r="V538" s="92"/>
      <c r="W538" s="92"/>
      <c r="X538" s="92"/>
      <c r="Y538" s="411"/>
      <c r="Z538" s="439"/>
      <c r="AA538" s="439"/>
      <c r="AB538" s="438"/>
    </row>
    <row r="539" spans="1:35">
      <c r="A539" s="145">
        <v>45143</v>
      </c>
      <c r="B539" s="376">
        <v>45991</v>
      </c>
      <c r="C539" s="27">
        <v>230321</v>
      </c>
      <c r="D539" s="20" t="str">
        <f t="shared" si="245"/>
        <v>高雄工業 岡山</v>
      </c>
      <c r="E539" s="20" t="str">
        <f t="shared" si="246"/>
        <v>TRAN THANH HUNG</v>
      </c>
      <c r="F539" s="20" t="str">
        <f t="shared" si="247"/>
        <v>チャン　タイン　フン</v>
      </c>
      <c r="G539" s="11"/>
      <c r="H539" s="11"/>
      <c r="I539" s="11">
        <v>26000</v>
      </c>
      <c r="J539" s="67"/>
      <c r="K539" s="78">
        <v>26000</v>
      </c>
      <c r="L539" s="78">
        <v>26000</v>
      </c>
      <c r="M539" s="87">
        <v>26000</v>
      </c>
      <c r="N539" s="87">
        <v>26000</v>
      </c>
      <c r="O539" s="132">
        <v>26000</v>
      </c>
      <c r="P539" s="132">
        <v>26000</v>
      </c>
      <c r="Q539" s="132">
        <v>26000</v>
      </c>
      <c r="R539" s="132">
        <v>26000</v>
      </c>
      <c r="S539" s="132">
        <v>26000</v>
      </c>
      <c r="T539" s="132">
        <v>26000</v>
      </c>
      <c r="U539" s="132">
        <v>26000</v>
      </c>
      <c r="V539" s="132">
        <v>26000</v>
      </c>
      <c r="W539" s="132">
        <v>26000</v>
      </c>
      <c r="X539" s="132">
        <v>26000</v>
      </c>
      <c r="Y539" s="412">
        <v>26000</v>
      </c>
      <c r="Z539" s="440">
        <v>26000</v>
      </c>
      <c r="AA539" s="440">
        <v>26000</v>
      </c>
      <c r="AB539" s="441">
        <v>26000</v>
      </c>
      <c r="AC539" s="441">
        <v>26000</v>
      </c>
      <c r="AD539" s="441">
        <v>26000</v>
      </c>
      <c r="AE539" s="437">
        <v>26000</v>
      </c>
      <c r="AF539" s="437">
        <v>26000</v>
      </c>
      <c r="AG539" s="522">
        <v>26000</v>
      </c>
    </row>
    <row r="540" spans="1:35">
      <c r="A540" s="145">
        <v>45143</v>
      </c>
      <c r="B540" s="376"/>
      <c r="C540" s="27">
        <v>230322</v>
      </c>
      <c r="D540" s="20" t="str">
        <f t="shared" ref="D540:D541" si="264">IF(C540="","",_xlfn.XLOOKUP(C540,社員№,派遣先,"",0,-1))</f>
        <v>高雄工業 岡山</v>
      </c>
      <c r="E540" s="20" t="str">
        <f t="shared" ref="E540:E541" si="265">IF(C540="","",_xlfn.XLOOKUP(C540,社員№,氏名,"",0,-1))</f>
        <v>VO THANH PHONG</v>
      </c>
      <c r="F540" s="20" t="str">
        <f t="shared" ref="F540:F541" si="266">IF(C540="","",_xlfn.XLOOKUP(C540,社員№,カナ,"",0,-1))</f>
        <v>ヴォー　タイン　フォン</v>
      </c>
      <c r="G540" s="11"/>
      <c r="H540" s="11"/>
      <c r="I540" s="11">
        <v>26000</v>
      </c>
      <c r="J540" s="65"/>
      <c r="K540" s="11">
        <v>26000</v>
      </c>
      <c r="L540" s="11">
        <v>26000</v>
      </c>
      <c r="M540" s="81">
        <v>26000</v>
      </c>
      <c r="N540" s="81">
        <v>26000</v>
      </c>
      <c r="O540" s="81">
        <v>26000</v>
      </c>
      <c r="P540" s="81">
        <v>26000</v>
      </c>
      <c r="Q540" s="81">
        <v>26000</v>
      </c>
      <c r="R540" s="81">
        <v>26000</v>
      </c>
      <c r="S540" s="81">
        <v>26000</v>
      </c>
      <c r="T540" s="81">
        <v>26000</v>
      </c>
      <c r="U540" s="81">
        <v>26000</v>
      </c>
      <c r="V540" s="81">
        <v>26000</v>
      </c>
      <c r="W540" s="81">
        <v>26000</v>
      </c>
      <c r="X540" s="81">
        <v>26000</v>
      </c>
      <c r="Y540" s="413">
        <v>26000</v>
      </c>
      <c r="Z540" s="441">
        <v>26000</v>
      </c>
      <c r="AA540" s="441">
        <v>26000</v>
      </c>
      <c r="AB540" s="441">
        <v>26000</v>
      </c>
      <c r="AC540" s="441">
        <v>26000</v>
      </c>
      <c r="AD540" s="441">
        <v>26000</v>
      </c>
      <c r="AE540" s="441">
        <v>26000</v>
      </c>
      <c r="AF540" s="441">
        <v>26000</v>
      </c>
      <c r="AG540" s="437">
        <v>26000</v>
      </c>
      <c r="AH540" s="508">
        <v>26000</v>
      </c>
      <c r="AI540" s="508">
        <v>26000</v>
      </c>
    </row>
    <row r="541" spans="1:35">
      <c r="A541" s="145">
        <v>45992</v>
      </c>
      <c r="B541" s="376"/>
      <c r="C541" s="27">
        <v>240905</v>
      </c>
      <c r="D541" s="20" t="str">
        <f t="shared" si="264"/>
        <v>高雄工業 岡山</v>
      </c>
      <c r="E541" s="20" t="str">
        <f t="shared" si="265"/>
        <v>TRAN VIET HOANG</v>
      </c>
      <c r="F541" s="20" t="str">
        <f t="shared" si="266"/>
        <v>チャン　ヴィエット　ホアン</v>
      </c>
      <c r="G541" s="11"/>
      <c r="H541" s="11"/>
      <c r="I541" s="11"/>
      <c r="J541" s="65"/>
      <c r="O541" s="81"/>
      <c r="P541" s="81"/>
      <c r="Q541" s="81"/>
      <c r="R541" s="81"/>
      <c r="S541" s="81"/>
      <c r="T541" s="81"/>
      <c r="U541" s="81"/>
      <c r="V541" s="81"/>
      <c r="W541" s="81"/>
      <c r="X541" s="81"/>
      <c r="Y541" s="413"/>
      <c r="Z541" s="441"/>
      <c r="AA541" s="441"/>
      <c r="AB541" s="441"/>
      <c r="AC541" s="448"/>
      <c r="AD541" s="1"/>
      <c r="AE541" s="1"/>
      <c r="AF541" s="27"/>
      <c r="AG541" s="518">
        <v>0</v>
      </c>
      <c r="AH541" s="508">
        <v>26000</v>
      </c>
      <c r="AI541" s="508">
        <v>26000</v>
      </c>
    </row>
    <row r="542" spans="1:35">
      <c r="F542" s="160"/>
      <c r="G542" s="10"/>
      <c r="H542" s="10"/>
      <c r="I542" s="10"/>
      <c r="J542" s="74"/>
      <c r="K542" s="10"/>
      <c r="L542" s="10"/>
      <c r="M542" s="88"/>
      <c r="N542" s="88"/>
      <c r="O542" s="88"/>
      <c r="P542" s="88"/>
      <c r="Q542" s="88"/>
      <c r="R542" s="88"/>
      <c r="S542" s="88"/>
      <c r="T542" s="88"/>
      <c r="U542" s="88"/>
      <c r="V542" s="88"/>
      <c r="W542" s="88"/>
      <c r="X542" s="88"/>
      <c r="Y542" s="410"/>
      <c r="Z542" s="438"/>
      <c r="AA542" s="438"/>
      <c r="AB542" s="438"/>
      <c r="AF542" s="538"/>
      <c r="AG542" s="544"/>
    </row>
    <row r="543" spans="1:35">
      <c r="C543" s="29"/>
      <c r="D543" s="29"/>
      <c r="E543" s="29" t="s">
        <v>471</v>
      </c>
      <c r="F543" s="176"/>
      <c r="G543" s="210">
        <v>30000</v>
      </c>
      <c r="H543" s="210">
        <v>35000</v>
      </c>
      <c r="I543" s="210" t="s">
        <v>582</v>
      </c>
      <c r="J543" s="74"/>
      <c r="K543" s="10"/>
      <c r="L543" s="10"/>
      <c r="M543" s="88"/>
      <c r="N543" s="88"/>
      <c r="O543" s="88"/>
      <c r="P543" s="88"/>
      <c r="Q543" s="88"/>
      <c r="R543" s="88"/>
      <c r="S543" s="88"/>
      <c r="T543" s="88"/>
      <c r="U543" s="88"/>
      <c r="V543" s="88"/>
      <c r="W543" s="88"/>
      <c r="X543" s="88"/>
      <c r="Y543" s="410"/>
      <c r="Z543" s="438"/>
      <c r="AA543" s="438"/>
      <c r="AB543" s="438"/>
    </row>
    <row r="544" spans="1:35">
      <c r="A544" s="145" t="s">
        <v>1</v>
      </c>
      <c r="B544" s="376" t="s">
        <v>529</v>
      </c>
      <c r="C544" s="27" t="s">
        <v>2</v>
      </c>
      <c r="D544" s="27" t="s">
        <v>2532</v>
      </c>
      <c r="E544" s="27" t="s">
        <v>2433</v>
      </c>
      <c r="F544" s="165"/>
      <c r="G544" s="22"/>
      <c r="H544" s="22"/>
      <c r="I544" s="22" t="s">
        <v>3</v>
      </c>
      <c r="J544" s="90"/>
      <c r="K544" s="91"/>
      <c r="L544" s="91"/>
      <c r="M544" s="92"/>
      <c r="N544" s="92"/>
      <c r="O544" s="92"/>
      <c r="P544" s="92"/>
      <c r="Q544" s="92"/>
      <c r="R544" s="92"/>
      <c r="S544" s="92"/>
      <c r="T544" s="92"/>
      <c r="U544" s="92"/>
      <c r="V544" s="92"/>
      <c r="W544" s="92"/>
      <c r="X544" s="92"/>
      <c r="Y544" s="411"/>
      <c r="Z544" s="439"/>
      <c r="AA544" s="439"/>
      <c r="AB544" s="439"/>
    </row>
    <row r="545" spans="1:35">
      <c r="A545" s="145">
        <v>45285</v>
      </c>
      <c r="B545" s="376">
        <v>45991</v>
      </c>
      <c r="C545" s="27">
        <v>241220</v>
      </c>
      <c r="D545" s="20" t="str">
        <f t="shared" si="245"/>
        <v>高雄工業 岡山</v>
      </c>
      <c r="E545" s="20" t="str">
        <f t="shared" si="246"/>
        <v>NGUYEN DUC HUY</v>
      </c>
      <c r="F545" s="20" t="str">
        <f t="shared" si="247"/>
        <v>グエン　ドゥック　フィ</v>
      </c>
      <c r="G545" s="11"/>
      <c r="H545" s="11"/>
      <c r="I545" s="11">
        <v>17500</v>
      </c>
      <c r="J545" s="67"/>
      <c r="K545" s="78">
        <v>17500</v>
      </c>
      <c r="L545" s="78">
        <v>17500</v>
      </c>
      <c r="M545" s="87">
        <v>17500</v>
      </c>
      <c r="N545" s="87">
        <v>17500</v>
      </c>
      <c r="O545" s="132">
        <v>17500</v>
      </c>
      <c r="P545" s="132">
        <v>17500</v>
      </c>
      <c r="Q545" s="132">
        <v>17500</v>
      </c>
      <c r="R545" s="132">
        <v>17500</v>
      </c>
      <c r="S545" s="132">
        <v>17500</v>
      </c>
      <c r="T545" s="132">
        <v>17500</v>
      </c>
      <c r="U545" s="132">
        <v>17500</v>
      </c>
      <c r="V545" s="132">
        <v>17500</v>
      </c>
      <c r="W545" s="132">
        <v>17500</v>
      </c>
      <c r="X545" s="132">
        <v>17500</v>
      </c>
      <c r="Y545" s="412">
        <v>17500</v>
      </c>
      <c r="Z545" s="440">
        <v>17500</v>
      </c>
      <c r="AA545" s="440">
        <v>17500</v>
      </c>
      <c r="AB545" s="440">
        <v>17500</v>
      </c>
      <c r="AC545" s="441">
        <v>17500</v>
      </c>
      <c r="AD545" s="441">
        <v>17500</v>
      </c>
      <c r="AE545" s="437">
        <v>17500</v>
      </c>
      <c r="AF545" s="437">
        <v>17500</v>
      </c>
      <c r="AG545" s="536">
        <v>37500</v>
      </c>
      <c r="AH545" s="508">
        <v>0</v>
      </c>
    </row>
    <row r="546" spans="1:35">
      <c r="A546" s="228">
        <v>45285</v>
      </c>
      <c r="B546" s="375">
        <v>228612</v>
      </c>
      <c r="C546" s="556" t="s">
        <v>2854</v>
      </c>
      <c r="D546" s="20" t="str">
        <f t="shared" ref="D546:D547" si="267">IF(C546="","",_xlfn.XLOOKUP(C546,社員№,派遣先,"",0,-1))</f>
        <v>梱包</v>
      </c>
      <c r="E546" s="20" t="str">
        <f t="shared" ref="E546:E547" si="268">IF(C546="","",_xlfn.XLOOKUP(C546,社員№,氏名,"",0,-1))</f>
        <v>NGUYEN THI HUYNH NHU</v>
      </c>
      <c r="F546" s="20" t="str">
        <f t="shared" ref="F546:F547" si="269">IF(C546="","",_xlfn.XLOOKUP(C546,社員№,カナ,"",0,-1))</f>
        <v>グエン　ティ　フイン　ニウ</v>
      </c>
      <c r="G546" s="3"/>
      <c r="H546" s="3"/>
      <c r="I546" s="3">
        <v>17500</v>
      </c>
      <c r="J546" s="73"/>
      <c r="K546" s="3">
        <v>17500</v>
      </c>
      <c r="L546" s="3">
        <v>17500</v>
      </c>
      <c r="M546" s="95">
        <v>17500</v>
      </c>
      <c r="N546" s="95">
        <v>17500</v>
      </c>
      <c r="O546" s="136">
        <v>17500</v>
      </c>
      <c r="P546" s="136">
        <v>17500</v>
      </c>
      <c r="Q546" s="136">
        <v>17500</v>
      </c>
      <c r="R546" s="136">
        <v>17500</v>
      </c>
      <c r="S546" s="136">
        <v>17500</v>
      </c>
      <c r="T546" s="136">
        <v>17500</v>
      </c>
      <c r="U546" s="136">
        <v>17500</v>
      </c>
      <c r="V546" s="136">
        <v>17500</v>
      </c>
      <c r="W546" s="136">
        <v>17500</v>
      </c>
      <c r="X546" s="136">
        <v>17500</v>
      </c>
      <c r="Y546" s="421">
        <v>17500</v>
      </c>
      <c r="Z546" s="451">
        <v>17500</v>
      </c>
      <c r="AA546" s="451">
        <v>17500</v>
      </c>
      <c r="AB546" s="451">
        <v>17500</v>
      </c>
      <c r="AC546" s="450">
        <v>17500</v>
      </c>
      <c r="AD546" s="463">
        <v>17500</v>
      </c>
      <c r="AE546" s="451">
        <v>17500</v>
      </c>
      <c r="AF546" s="451">
        <v>17500</v>
      </c>
      <c r="AG546" s="536">
        <v>37500</v>
      </c>
      <c r="AH546" s="508">
        <v>0</v>
      </c>
    </row>
    <row r="547" spans="1:35">
      <c r="A547" s="145">
        <v>45992</v>
      </c>
      <c r="B547" s="376"/>
      <c r="C547" s="27">
        <v>230321</v>
      </c>
      <c r="D547" s="20" t="str">
        <f t="shared" si="267"/>
        <v>高雄工業 岡山</v>
      </c>
      <c r="E547" s="20" t="str">
        <f t="shared" si="268"/>
        <v>TRAN THANH HUNG</v>
      </c>
      <c r="F547" s="20" t="str">
        <f t="shared" si="269"/>
        <v>チャン　タイン　フン</v>
      </c>
      <c r="G547" s="11"/>
      <c r="H547" s="11">
        <v>32000</v>
      </c>
      <c r="I547" s="11"/>
      <c r="J547" s="65"/>
      <c r="O547" s="81"/>
      <c r="P547" s="81"/>
      <c r="Q547" s="81"/>
      <c r="R547" s="81"/>
      <c r="S547" s="81"/>
      <c r="T547" s="81"/>
      <c r="U547" s="81"/>
      <c r="V547" s="81"/>
      <c r="W547" s="81"/>
      <c r="X547" s="81"/>
      <c r="Y547" s="413"/>
      <c r="Z547" s="441"/>
      <c r="AA547" s="441"/>
      <c r="AB547" s="441"/>
      <c r="AC547" s="448"/>
      <c r="AD547" s="1"/>
      <c r="AE547" s="1"/>
      <c r="AF547" s="27"/>
      <c r="AG547" s="518">
        <v>0</v>
      </c>
      <c r="AH547" s="508">
        <v>32000</v>
      </c>
      <c r="AI547" s="508">
        <v>32000</v>
      </c>
    </row>
    <row r="548" spans="1:35">
      <c r="F548" s="160"/>
      <c r="G548" s="10"/>
      <c r="H548" s="10"/>
      <c r="I548" s="10"/>
      <c r="J548" s="74"/>
      <c r="K548" s="10"/>
      <c r="L548" s="10"/>
      <c r="M548" s="88"/>
      <c r="N548" s="88"/>
      <c r="O548" s="88"/>
      <c r="P548" s="88"/>
      <c r="Q548" s="88"/>
      <c r="R548" s="88"/>
      <c r="S548" s="88"/>
      <c r="T548" s="88"/>
      <c r="U548" s="88"/>
      <c r="V548" s="88"/>
      <c r="W548" s="88"/>
      <c r="X548" s="88"/>
      <c r="Y548" s="410"/>
      <c r="Z548" s="438"/>
      <c r="AA548" s="438"/>
      <c r="AB548" s="438"/>
      <c r="AF548" s="538"/>
    </row>
    <row r="549" spans="1:35">
      <c r="C549" s="29"/>
      <c r="D549" s="29"/>
      <c r="E549" s="29" t="s">
        <v>470</v>
      </c>
      <c r="F549" s="176"/>
      <c r="G549" s="210">
        <v>30000</v>
      </c>
      <c r="H549" s="210">
        <v>32000</v>
      </c>
      <c r="I549" s="210" t="s">
        <v>582</v>
      </c>
      <c r="J549" s="74"/>
      <c r="K549" s="10"/>
      <c r="L549" s="10"/>
      <c r="M549" s="88"/>
      <c r="N549" s="88"/>
      <c r="O549" s="88"/>
      <c r="P549" s="88"/>
      <c r="Q549" s="88"/>
      <c r="R549" s="88"/>
      <c r="S549" s="88"/>
      <c r="T549" s="88"/>
      <c r="U549" s="88"/>
      <c r="V549" s="88"/>
      <c r="W549" s="88"/>
      <c r="X549" s="88"/>
      <c r="Y549" s="410"/>
      <c r="Z549" s="438"/>
      <c r="AA549" s="438"/>
      <c r="AB549" s="438"/>
    </row>
    <row r="550" spans="1:35">
      <c r="A550" s="145" t="s">
        <v>1</v>
      </c>
      <c r="B550" s="376" t="s">
        <v>529</v>
      </c>
      <c r="C550" s="27" t="s">
        <v>2</v>
      </c>
      <c r="D550" s="27" t="s">
        <v>2532</v>
      </c>
      <c r="E550" s="27" t="s">
        <v>2433</v>
      </c>
      <c r="F550" s="165"/>
      <c r="G550" s="22"/>
      <c r="H550" s="22"/>
      <c r="I550" s="22" t="s">
        <v>3</v>
      </c>
      <c r="J550" s="90"/>
      <c r="K550" s="91"/>
      <c r="L550" s="91"/>
      <c r="M550" s="92"/>
      <c r="N550" s="92"/>
      <c r="O550" s="92"/>
      <c r="P550" s="92"/>
      <c r="Q550" s="92"/>
      <c r="R550" s="92"/>
      <c r="S550" s="92"/>
      <c r="T550" s="92"/>
      <c r="U550" s="92"/>
      <c r="V550" s="92"/>
      <c r="W550" s="92"/>
      <c r="X550" s="92"/>
      <c r="Y550" s="411"/>
      <c r="Z550" s="439"/>
      <c r="AA550" s="439"/>
      <c r="AB550" s="439"/>
    </row>
    <row r="551" spans="1:35">
      <c r="A551" s="145">
        <v>45283</v>
      </c>
      <c r="B551" s="376">
        <v>45969</v>
      </c>
      <c r="C551" s="27">
        <v>220712</v>
      </c>
      <c r="D551" s="20" t="str">
        <f t="shared" si="245"/>
        <v>高雄工業 岡山</v>
      </c>
      <c r="E551" s="20" t="str">
        <f t="shared" si="246"/>
        <v>LA LANI</v>
      </c>
      <c r="F551" s="20" t="str">
        <f t="shared" si="247"/>
        <v>ラ　ラニ</v>
      </c>
      <c r="G551" s="11"/>
      <c r="H551" s="11"/>
      <c r="I551" s="11">
        <v>32000</v>
      </c>
      <c r="J551" s="73"/>
      <c r="K551" s="105">
        <v>32000</v>
      </c>
      <c r="L551" s="105">
        <v>32000</v>
      </c>
      <c r="M551" s="106">
        <v>32000</v>
      </c>
      <c r="N551" s="106">
        <v>32000</v>
      </c>
      <c r="O551" s="135">
        <v>32000</v>
      </c>
      <c r="P551" s="135">
        <v>32000</v>
      </c>
      <c r="Q551" s="135">
        <v>32000</v>
      </c>
      <c r="R551" s="135">
        <v>32000</v>
      </c>
      <c r="S551" s="135">
        <v>32000</v>
      </c>
      <c r="T551" s="135">
        <v>32000</v>
      </c>
      <c r="U551" s="135">
        <v>32000</v>
      </c>
      <c r="V551" s="135">
        <v>32000</v>
      </c>
      <c r="W551" s="135">
        <v>32000</v>
      </c>
      <c r="X551" s="135">
        <v>32000</v>
      </c>
      <c r="Y551" s="420">
        <v>32000</v>
      </c>
      <c r="Z551" s="450">
        <v>32000</v>
      </c>
      <c r="AA551" s="450">
        <v>32000</v>
      </c>
      <c r="AB551" s="450">
        <v>32000</v>
      </c>
      <c r="AC551" s="441">
        <v>32000</v>
      </c>
      <c r="AD551" s="441">
        <v>32000</v>
      </c>
      <c r="AE551" s="437">
        <v>32000</v>
      </c>
      <c r="AF551" s="437">
        <v>32000</v>
      </c>
      <c r="AG551" s="522">
        <v>52000</v>
      </c>
      <c r="AH551" s="508">
        <v>0</v>
      </c>
    </row>
    <row r="552" spans="1:35">
      <c r="A552" s="145">
        <v>45980</v>
      </c>
      <c r="B552" s="376"/>
      <c r="C552" s="555" t="s">
        <v>2853</v>
      </c>
      <c r="D552" s="20" t="str">
        <f t="shared" ref="D552" si="270">IF(C552="","",_xlfn.XLOOKUP(C552,社員№,派遣先,"",0,-1))</f>
        <v>梱包</v>
      </c>
      <c r="E552" s="20" t="str">
        <f t="shared" ref="E552" si="271">IF(C552="","",_xlfn.XLOOKUP(C552,社員№,氏名,"",0,-1))</f>
        <v>BUI MINH TUAN</v>
      </c>
      <c r="F552" s="20" t="str">
        <f t="shared" ref="F552" si="272">IF(C552="","",_xlfn.XLOOKUP(C552,社員№,カナ,"",0,-1))</f>
        <v>ブイ　ミン　トゥアン</v>
      </c>
      <c r="G552" s="11"/>
      <c r="H552" s="11"/>
      <c r="I552" s="11"/>
      <c r="J552" s="65"/>
      <c r="O552" s="81"/>
      <c r="P552" s="81"/>
      <c r="Q552" s="81"/>
      <c r="R552" s="81"/>
      <c r="S552" s="81"/>
      <c r="T552" s="81"/>
      <c r="U552" s="81"/>
      <c r="V552" s="81"/>
      <c r="W552" s="81"/>
      <c r="X552" s="81"/>
      <c r="Y552" s="413"/>
      <c r="Z552" s="441"/>
      <c r="AA552" s="441"/>
      <c r="AB552" s="441"/>
      <c r="AC552" s="448"/>
      <c r="AD552" s="1"/>
      <c r="AE552" s="1"/>
      <c r="AF552" s="27"/>
      <c r="AG552" s="522">
        <v>29000</v>
      </c>
      <c r="AH552" s="508">
        <v>32000</v>
      </c>
      <c r="AI552" s="508">
        <v>32000</v>
      </c>
    </row>
    <row r="553" spans="1:35">
      <c r="F553" s="160"/>
      <c r="G553" s="10"/>
      <c r="H553" s="10"/>
      <c r="I553" s="10"/>
      <c r="J553" s="74"/>
      <c r="K553" s="10"/>
      <c r="L553" s="10"/>
      <c r="M553" s="88"/>
      <c r="N553" s="88"/>
      <c r="O553" s="88"/>
      <c r="P553" s="88"/>
      <c r="Q553" s="88"/>
      <c r="R553" s="88"/>
      <c r="S553" s="88"/>
      <c r="T553" s="88"/>
      <c r="U553" s="88"/>
      <c r="V553" s="88"/>
      <c r="W553" s="88"/>
      <c r="X553" s="88"/>
      <c r="Y553" s="410"/>
      <c r="Z553" s="438"/>
      <c r="AA553" s="438"/>
      <c r="AB553" s="438"/>
      <c r="AF553" s="538"/>
      <c r="AG553" s="544"/>
    </row>
    <row r="554" spans="1:35">
      <c r="C554" s="29"/>
      <c r="D554" s="29"/>
      <c r="E554" s="29" t="s">
        <v>2469</v>
      </c>
      <c r="F554" s="176"/>
      <c r="G554" s="210">
        <v>30000</v>
      </c>
      <c r="H554" s="210">
        <v>32000</v>
      </c>
      <c r="I554" s="210" t="s">
        <v>582</v>
      </c>
      <c r="J554" s="74"/>
      <c r="K554" s="10"/>
      <c r="L554" s="10"/>
      <c r="M554" s="88"/>
      <c r="N554" s="88"/>
      <c r="O554" s="88"/>
      <c r="P554" s="88"/>
      <c r="Q554" s="88"/>
      <c r="R554" s="88"/>
      <c r="S554" s="88"/>
      <c r="T554" s="88"/>
      <c r="U554" s="88"/>
      <c r="V554" s="88"/>
      <c r="W554" s="88"/>
      <c r="X554" s="88"/>
      <c r="Y554" s="410"/>
      <c r="Z554" s="438"/>
      <c r="AA554" s="438"/>
      <c r="AB554" s="438"/>
    </row>
    <row r="555" spans="1:35">
      <c r="A555" s="145" t="s">
        <v>1</v>
      </c>
      <c r="B555" s="376" t="s">
        <v>529</v>
      </c>
      <c r="C555" s="27" t="s">
        <v>2</v>
      </c>
      <c r="D555" s="27" t="s">
        <v>2532</v>
      </c>
      <c r="E555" s="27" t="s">
        <v>2433</v>
      </c>
      <c r="F555" s="165"/>
      <c r="G555" s="22"/>
      <c r="H555" s="22"/>
      <c r="I555" s="22" t="s">
        <v>3</v>
      </c>
      <c r="J555" s="90"/>
      <c r="K555" s="91"/>
      <c r="L555" s="91"/>
      <c r="M555" s="92"/>
      <c r="N555" s="92"/>
      <c r="O555" s="92"/>
      <c r="P555" s="92"/>
      <c r="Q555" s="92"/>
      <c r="R555" s="92"/>
      <c r="S555" s="92"/>
      <c r="T555" s="92"/>
      <c r="U555" s="92"/>
      <c r="V555" s="92"/>
      <c r="W555" s="92"/>
      <c r="X555" s="92"/>
      <c r="Y555" s="411"/>
      <c r="Z555" s="439"/>
      <c r="AA555" s="439"/>
      <c r="AB555" s="439"/>
    </row>
    <row r="556" spans="1:35">
      <c r="A556" s="145">
        <v>45717</v>
      </c>
      <c r="B556" s="376"/>
      <c r="C556" s="27">
        <v>230325</v>
      </c>
      <c r="D556" s="20" t="str">
        <f t="shared" ref="D556:D622" si="273">IF(C556="","",_xlfn.XLOOKUP(C556,社員№,派遣先,"",0,-1))</f>
        <v>高雄工業 岡山</v>
      </c>
      <c r="E556" s="20" t="str">
        <f t="shared" ref="E556:E622" si="274">IF(C556="","",_xlfn.XLOOKUP(C556,社員№,氏名,"",0,-1))</f>
        <v>NGUYEN NGOC QUANG</v>
      </c>
      <c r="F556" s="20" t="str">
        <f t="shared" ref="F556:F622" si="275">IF(C556="","",_xlfn.XLOOKUP(C556,社員№,カナ,"",0,-1))</f>
        <v>グエン　ゴック　クアン</v>
      </c>
      <c r="G556" s="4"/>
      <c r="H556" s="4"/>
      <c r="I556" s="11">
        <v>32000</v>
      </c>
      <c r="J556" s="65"/>
      <c r="O556" s="81"/>
      <c r="P556" s="81"/>
      <c r="Q556" s="81"/>
      <c r="R556" s="81"/>
      <c r="S556" s="81"/>
      <c r="T556" s="81"/>
      <c r="U556" s="81"/>
      <c r="V556" s="81"/>
      <c r="W556" s="81"/>
      <c r="X556" s="81"/>
      <c r="Y556" s="413">
        <v>32000</v>
      </c>
      <c r="Z556" s="441">
        <v>32000</v>
      </c>
      <c r="AA556" s="441">
        <v>32000</v>
      </c>
      <c r="AB556" s="441">
        <v>32000</v>
      </c>
      <c r="AC556" s="441">
        <v>32000</v>
      </c>
      <c r="AD556" s="441">
        <v>32000</v>
      </c>
      <c r="AE556" s="437">
        <v>32000</v>
      </c>
      <c r="AF556" s="437">
        <v>32000</v>
      </c>
      <c r="AG556" s="437">
        <v>32000</v>
      </c>
      <c r="AH556" s="437">
        <v>32000</v>
      </c>
      <c r="AI556" s="437">
        <v>32000</v>
      </c>
    </row>
    <row r="557" spans="1:35">
      <c r="F557" s="160"/>
      <c r="G557" s="10"/>
      <c r="H557" s="10"/>
      <c r="I557" s="10"/>
      <c r="J557" s="74"/>
      <c r="K557" s="10"/>
      <c r="L557" s="10"/>
      <c r="M557" s="88"/>
      <c r="N557" s="88"/>
      <c r="O557" s="88"/>
      <c r="P557" s="88"/>
      <c r="Q557" s="88"/>
      <c r="R557" s="88"/>
      <c r="S557" s="88"/>
      <c r="T557" s="88"/>
      <c r="U557" s="88"/>
      <c r="V557" s="88"/>
      <c r="W557" s="88"/>
      <c r="X557" s="88"/>
      <c r="Y557" s="410"/>
      <c r="Z557" s="438"/>
      <c r="AA557" s="438"/>
      <c r="AB557" s="438"/>
    </row>
    <row r="558" spans="1:35">
      <c r="C558" s="29"/>
      <c r="D558" s="29"/>
      <c r="E558" s="29" t="s">
        <v>2470</v>
      </c>
      <c r="F558" s="176"/>
      <c r="G558" s="210">
        <v>30000</v>
      </c>
      <c r="H558" s="210">
        <v>32000</v>
      </c>
      <c r="I558" s="210" t="s">
        <v>582</v>
      </c>
      <c r="J558" s="74"/>
      <c r="K558" s="10"/>
      <c r="L558" s="10"/>
      <c r="M558" s="88"/>
      <c r="N558" s="88"/>
      <c r="O558" s="88"/>
      <c r="P558" s="88"/>
      <c r="Q558" s="88"/>
      <c r="R558" s="88"/>
      <c r="S558" s="88"/>
      <c r="T558" s="88"/>
      <c r="U558" s="88"/>
      <c r="V558" s="88"/>
      <c r="W558" s="88"/>
      <c r="X558" s="88"/>
      <c r="Y558" s="410"/>
      <c r="Z558" s="438"/>
      <c r="AA558" s="438"/>
      <c r="AB558" s="438"/>
    </row>
    <row r="559" spans="1:35">
      <c r="A559" s="145" t="s">
        <v>1</v>
      </c>
      <c r="B559" s="376" t="s">
        <v>529</v>
      </c>
      <c r="C559" s="27" t="s">
        <v>2</v>
      </c>
      <c r="D559" s="27" t="s">
        <v>2532</v>
      </c>
      <c r="E559" s="27" t="s">
        <v>2433</v>
      </c>
      <c r="F559" s="165"/>
      <c r="G559" s="22"/>
      <c r="H559" s="22"/>
      <c r="I559" s="22" t="s">
        <v>3</v>
      </c>
      <c r="J559" s="90"/>
      <c r="K559" s="91"/>
      <c r="L559" s="91"/>
      <c r="M559" s="92"/>
      <c r="N559" s="92"/>
      <c r="O559" s="92"/>
      <c r="P559" s="92"/>
      <c r="Q559" s="92"/>
      <c r="R559" s="92"/>
      <c r="S559" s="92"/>
      <c r="T559" s="92"/>
      <c r="U559" s="92"/>
      <c r="V559" s="92"/>
      <c r="W559" s="92"/>
      <c r="X559" s="92"/>
      <c r="Y559" s="411"/>
      <c r="Z559" s="439"/>
      <c r="AA559" s="439"/>
      <c r="AB559" s="439"/>
    </row>
    <row r="560" spans="1:35">
      <c r="A560" s="145">
        <v>45717</v>
      </c>
      <c r="B560" s="376">
        <v>46022</v>
      </c>
      <c r="C560" s="27">
        <v>220317</v>
      </c>
      <c r="D560" s="20" t="str">
        <f t="shared" si="273"/>
        <v>高雄工業 岡山</v>
      </c>
      <c r="E560" s="20" t="str">
        <f t="shared" si="274"/>
        <v>NGUYEN DINH THANH</v>
      </c>
      <c r="F560" s="20" t="str">
        <f t="shared" si="275"/>
        <v>グエン　ディン　タン</v>
      </c>
      <c r="G560" s="11"/>
      <c r="H560" s="11"/>
      <c r="I560" s="11">
        <v>32000</v>
      </c>
      <c r="J560" s="65"/>
      <c r="K560" s="78"/>
      <c r="L560" s="78"/>
      <c r="M560" s="87"/>
      <c r="N560" s="87"/>
      <c r="O560" s="132"/>
      <c r="P560" s="132"/>
      <c r="Q560" s="132"/>
      <c r="R560" s="132"/>
      <c r="S560" s="132"/>
      <c r="T560" s="132"/>
      <c r="U560" s="132"/>
      <c r="V560" s="132"/>
      <c r="W560" s="132"/>
      <c r="X560" s="132"/>
      <c r="Y560" s="412">
        <v>32000</v>
      </c>
      <c r="Z560" s="440">
        <v>32000</v>
      </c>
      <c r="AA560" s="440">
        <v>32000</v>
      </c>
      <c r="AB560" s="440">
        <v>32000</v>
      </c>
      <c r="AC560" s="441">
        <v>32000</v>
      </c>
      <c r="AD560" s="441">
        <v>32000</v>
      </c>
      <c r="AE560" s="437">
        <v>32000</v>
      </c>
      <c r="AF560" s="437">
        <v>32000</v>
      </c>
      <c r="AG560" s="437">
        <v>32000</v>
      </c>
      <c r="AH560" s="437">
        <v>32000</v>
      </c>
      <c r="AI560" s="448">
        <v>20000</v>
      </c>
    </row>
    <row r="561" spans="1:35">
      <c r="F561" s="160"/>
      <c r="G561" s="10"/>
      <c r="H561" s="10"/>
      <c r="I561" s="10"/>
      <c r="J561" s="74"/>
      <c r="K561" s="10"/>
      <c r="L561" s="10"/>
      <c r="M561" s="88"/>
      <c r="N561" s="88"/>
      <c r="O561" s="88"/>
      <c r="P561" s="88"/>
      <c r="Q561" s="88"/>
      <c r="R561" s="88"/>
      <c r="S561" s="88"/>
      <c r="T561" s="88"/>
      <c r="U561" s="88"/>
      <c r="V561" s="88"/>
      <c r="W561" s="88"/>
      <c r="X561" s="88"/>
      <c r="Y561" s="410"/>
      <c r="Z561" s="438"/>
      <c r="AA561" s="438"/>
      <c r="AB561" s="438"/>
    </row>
    <row r="562" spans="1:35">
      <c r="C562" s="29"/>
      <c r="D562" s="29"/>
      <c r="E562" s="29" t="s">
        <v>2471</v>
      </c>
      <c r="F562" s="176"/>
      <c r="G562" s="210">
        <v>30000</v>
      </c>
      <c r="H562" s="210">
        <v>30000</v>
      </c>
      <c r="I562" s="210" t="s">
        <v>582</v>
      </c>
      <c r="J562" s="74"/>
      <c r="K562" s="10"/>
      <c r="L562" s="10"/>
      <c r="M562" s="88"/>
      <c r="N562" s="88"/>
      <c r="O562" s="88"/>
      <c r="P562" s="88"/>
      <c r="Q562" s="88"/>
      <c r="R562" s="88"/>
      <c r="S562" s="88"/>
      <c r="T562" s="88"/>
      <c r="U562" s="88"/>
      <c r="V562" s="88"/>
      <c r="W562" s="88"/>
      <c r="X562" s="88"/>
      <c r="Y562" s="410"/>
      <c r="Z562" s="438"/>
      <c r="AA562" s="438"/>
      <c r="AB562" s="438"/>
    </row>
    <row r="563" spans="1:35">
      <c r="A563" s="145" t="s">
        <v>1</v>
      </c>
      <c r="B563" s="376" t="s">
        <v>529</v>
      </c>
      <c r="C563" s="27" t="s">
        <v>2</v>
      </c>
      <c r="D563" s="27" t="s">
        <v>2532</v>
      </c>
      <c r="E563" s="27" t="s">
        <v>2433</v>
      </c>
      <c r="F563" s="165"/>
      <c r="G563" s="22"/>
      <c r="H563" s="22"/>
      <c r="I563" s="22" t="s">
        <v>3</v>
      </c>
      <c r="J563" s="90"/>
      <c r="K563" s="91"/>
      <c r="L563" s="91"/>
      <c r="M563" s="92"/>
      <c r="N563" s="92"/>
      <c r="O563" s="92"/>
      <c r="P563" s="92"/>
      <c r="Q563" s="92"/>
      <c r="R563" s="92"/>
      <c r="S563" s="92"/>
      <c r="T563" s="92"/>
      <c r="U563" s="92"/>
      <c r="V563" s="92"/>
      <c r="W563" s="92"/>
      <c r="X563" s="92"/>
      <c r="Y563" s="411"/>
      <c r="Z563" s="439"/>
      <c r="AA563" s="439"/>
      <c r="AB563" s="439"/>
    </row>
    <row r="564" spans="1:35">
      <c r="A564" s="145">
        <v>45143</v>
      </c>
      <c r="B564" s="376"/>
      <c r="C564" s="27">
        <v>210501</v>
      </c>
      <c r="D564" s="20" t="str">
        <f t="shared" si="273"/>
        <v>高雄工業 岡山</v>
      </c>
      <c r="E564" s="20" t="str">
        <f t="shared" si="274"/>
        <v>TRAN NGOC HA</v>
      </c>
      <c r="F564" s="20" t="str">
        <f t="shared" si="275"/>
        <v>チャン　ゴック　ハ</v>
      </c>
      <c r="G564" s="11"/>
      <c r="H564" s="11"/>
      <c r="I564" s="11">
        <v>30000</v>
      </c>
      <c r="J564" s="73"/>
      <c r="K564" s="105">
        <v>30000</v>
      </c>
      <c r="L564" s="105">
        <v>30000</v>
      </c>
      <c r="M564" s="106">
        <v>30000</v>
      </c>
      <c r="N564" s="106">
        <v>30000</v>
      </c>
      <c r="O564" s="135">
        <v>30000</v>
      </c>
      <c r="P564" s="135">
        <v>30000</v>
      </c>
      <c r="Q564" s="135">
        <v>30000</v>
      </c>
      <c r="R564" s="135">
        <v>30000</v>
      </c>
      <c r="S564" s="135">
        <v>30000</v>
      </c>
      <c r="T564" s="135">
        <v>30000</v>
      </c>
      <c r="U564" s="135">
        <v>30000</v>
      </c>
      <c r="V564" s="135">
        <v>30000</v>
      </c>
      <c r="W564" s="135">
        <v>30000</v>
      </c>
      <c r="X564" s="135">
        <v>30000</v>
      </c>
      <c r="Y564" s="420">
        <v>30000</v>
      </c>
      <c r="Z564" s="450">
        <v>30000</v>
      </c>
      <c r="AA564" s="450">
        <v>30000</v>
      </c>
      <c r="AB564" s="450">
        <v>30000</v>
      </c>
      <c r="AC564" s="441">
        <v>30000</v>
      </c>
      <c r="AD564" s="441">
        <v>30000</v>
      </c>
      <c r="AE564" s="437">
        <v>30000</v>
      </c>
      <c r="AF564" s="437">
        <v>30000</v>
      </c>
      <c r="AG564" s="437">
        <v>30000</v>
      </c>
      <c r="AH564" s="437">
        <v>30000</v>
      </c>
      <c r="AI564" s="437">
        <v>30000</v>
      </c>
    </row>
    <row r="565" spans="1:35">
      <c r="F565" s="160"/>
      <c r="G565" s="10"/>
      <c r="H565" s="10"/>
      <c r="I565" s="10"/>
      <c r="J565" s="97"/>
      <c r="K565" s="98"/>
      <c r="L565" s="98"/>
      <c r="M565" s="99"/>
      <c r="N565" s="99"/>
      <c r="O565" s="99"/>
      <c r="P565" s="99"/>
      <c r="Q565" s="99"/>
      <c r="R565" s="99"/>
      <c r="S565" s="99"/>
      <c r="T565" s="99"/>
      <c r="U565" s="99"/>
      <c r="V565" s="99"/>
      <c r="W565" s="99"/>
      <c r="X565" s="99"/>
      <c r="Y565" s="416"/>
      <c r="Z565" s="445"/>
      <c r="AA565" s="445"/>
      <c r="AB565" s="445"/>
    </row>
    <row r="566" spans="1:35">
      <c r="A566" s="147"/>
      <c r="C566" s="29"/>
      <c r="D566" s="29"/>
      <c r="E566" s="29" t="s">
        <v>2472</v>
      </c>
      <c r="F566" s="176"/>
      <c r="G566" s="210">
        <v>47000</v>
      </c>
      <c r="H566" s="210">
        <v>52000</v>
      </c>
      <c r="I566" s="210" t="s">
        <v>584</v>
      </c>
      <c r="J566" s="74"/>
      <c r="K566" s="10"/>
      <c r="L566" s="10"/>
      <c r="M566" s="88"/>
      <c r="N566" s="88"/>
      <c r="O566" s="88"/>
      <c r="P566" s="88"/>
      <c r="Q566" s="88"/>
      <c r="R566" s="88"/>
      <c r="S566" s="88"/>
      <c r="T566" s="88"/>
      <c r="U566" s="88"/>
      <c r="V566" s="88"/>
      <c r="W566" s="88"/>
      <c r="X566" s="88"/>
      <c r="Y566" s="410"/>
      <c r="Z566" s="438"/>
      <c r="AA566" s="438"/>
      <c r="AB566" s="438"/>
    </row>
    <row r="567" spans="1:35">
      <c r="A567" s="148" t="s">
        <v>1</v>
      </c>
      <c r="B567" s="377" t="s">
        <v>529</v>
      </c>
      <c r="C567" s="27" t="s">
        <v>2</v>
      </c>
      <c r="D567" s="27" t="s">
        <v>2532</v>
      </c>
      <c r="E567" s="27" t="s">
        <v>2433</v>
      </c>
      <c r="F567" s="165"/>
      <c r="G567" s="22" t="s">
        <v>629</v>
      </c>
      <c r="H567" s="22"/>
      <c r="I567" s="22" t="s">
        <v>3</v>
      </c>
      <c r="J567" s="90"/>
      <c r="K567" s="91"/>
      <c r="L567" s="91"/>
      <c r="M567" s="92"/>
      <c r="N567" s="92"/>
      <c r="O567" s="92"/>
      <c r="P567" s="92"/>
      <c r="Q567" s="92"/>
      <c r="R567" s="92"/>
      <c r="S567" s="92"/>
      <c r="T567" s="92"/>
      <c r="U567" s="92"/>
      <c r="V567" s="92"/>
      <c r="W567" s="92"/>
      <c r="X567" s="92"/>
      <c r="Y567" s="411"/>
      <c r="Z567" s="439"/>
      <c r="AA567" s="439"/>
      <c r="AB567" s="439"/>
    </row>
    <row r="568" spans="1:35">
      <c r="A568" s="376">
        <v>45697</v>
      </c>
      <c r="B568" s="376"/>
      <c r="C568" s="27">
        <v>250103</v>
      </c>
      <c r="D568" s="20" t="str">
        <f t="shared" si="273"/>
        <v>高雄工業 岡山</v>
      </c>
      <c r="E568" s="20" t="str">
        <f t="shared" si="274"/>
        <v>CAO KHAI DI</v>
      </c>
      <c r="F568" s="20" t="str">
        <f t="shared" si="275"/>
        <v>カオ　カイ　ジー</v>
      </c>
      <c r="G568" s="11"/>
      <c r="H568" s="11"/>
      <c r="I568" s="11">
        <v>26000</v>
      </c>
      <c r="J568" s="67"/>
      <c r="K568" s="78"/>
      <c r="L568" s="78"/>
      <c r="M568" s="87"/>
      <c r="N568" s="87"/>
      <c r="O568" s="132"/>
      <c r="P568" s="132"/>
      <c r="Q568" s="132"/>
      <c r="R568" s="132"/>
      <c r="S568" s="132"/>
      <c r="T568" s="132"/>
      <c r="U568" s="134"/>
      <c r="V568" s="134"/>
      <c r="W568" s="134"/>
      <c r="X568" s="134">
        <f>5046+17643</f>
        <v>22689</v>
      </c>
      <c r="Y568" s="417">
        <v>26000</v>
      </c>
      <c r="Z568" s="447">
        <v>26000</v>
      </c>
      <c r="AA568" s="447">
        <v>26000</v>
      </c>
      <c r="AB568" s="447">
        <v>26000</v>
      </c>
      <c r="AC568" s="446">
        <v>26000</v>
      </c>
      <c r="AD568" s="446">
        <v>26000</v>
      </c>
      <c r="AE568" s="444">
        <v>26000</v>
      </c>
      <c r="AF568" s="444">
        <v>26000</v>
      </c>
      <c r="AG568" s="444">
        <v>26000</v>
      </c>
      <c r="AH568" s="444">
        <v>26000</v>
      </c>
      <c r="AI568" s="444">
        <v>26000</v>
      </c>
    </row>
    <row r="569" spans="1:35">
      <c r="A569" s="376">
        <v>45697</v>
      </c>
      <c r="B569" s="376"/>
      <c r="C569" s="27">
        <v>250104</v>
      </c>
      <c r="D569" s="20" t="str">
        <f t="shared" ref="D569" si="276">IF(C569="","",_xlfn.XLOOKUP(C569,社員№,派遣先,"",0,-1))</f>
        <v>高雄工業 岡山</v>
      </c>
      <c r="E569" s="20" t="str">
        <f t="shared" ref="E569" si="277">IF(C569="","",_xlfn.XLOOKUP(C569,社員№,氏名,"",0,-1))</f>
        <v>TRAN QUOC CHIEN</v>
      </c>
      <c r="F569" s="20" t="str">
        <f t="shared" ref="F569" si="278">IF(C569="","",_xlfn.XLOOKUP(C569,社員№,カナ,"",0,-1))</f>
        <v>チャン　クオック　チエン</v>
      </c>
      <c r="G569" s="11"/>
      <c r="H569" s="11"/>
      <c r="I569" s="11">
        <v>26000</v>
      </c>
      <c r="J569" s="71"/>
      <c r="K569" s="3"/>
      <c r="L569" s="3"/>
      <c r="M569" s="95"/>
      <c r="N569" s="95"/>
      <c r="O569" s="136"/>
      <c r="P569" s="136"/>
      <c r="Q569" s="136"/>
      <c r="R569" s="136"/>
      <c r="S569" s="136"/>
      <c r="T569" s="136"/>
      <c r="U569" s="385"/>
      <c r="V569" s="385"/>
      <c r="W569" s="385"/>
      <c r="X569" s="134">
        <f>5046+17643</f>
        <v>22689</v>
      </c>
      <c r="Y569" s="417">
        <v>26000</v>
      </c>
      <c r="Z569" s="447">
        <v>26000</v>
      </c>
      <c r="AA569" s="447">
        <v>26000</v>
      </c>
      <c r="AB569" s="447">
        <v>26000</v>
      </c>
      <c r="AC569" s="446">
        <v>26000</v>
      </c>
      <c r="AD569" s="446">
        <v>26000</v>
      </c>
      <c r="AE569" s="444">
        <v>26000</v>
      </c>
      <c r="AF569" s="444">
        <v>26000</v>
      </c>
      <c r="AG569" s="444">
        <v>26000</v>
      </c>
      <c r="AH569" s="444">
        <v>26000</v>
      </c>
      <c r="AI569" s="444">
        <v>26000</v>
      </c>
    </row>
    <row r="570" spans="1:35">
      <c r="A570" s="374"/>
      <c r="D570" s="47"/>
      <c r="E570" s="47"/>
      <c r="F570" s="47"/>
      <c r="G570" s="10"/>
      <c r="H570" s="10"/>
      <c r="I570" s="10"/>
      <c r="J570" s="74"/>
      <c r="K570" s="10"/>
      <c r="L570" s="10"/>
      <c r="M570" s="88"/>
      <c r="N570" s="88"/>
      <c r="O570" s="88"/>
      <c r="P570" s="88"/>
      <c r="Q570" s="88"/>
      <c r="R570" s="88"/>
      <c r="S570" s="88"/>
      <c r="T570" s="88"/>
      <c r="U570" s="140"/>
      <c r="V570" s="140"/>
      <c r="W570" s="140"/>
      <c r="X570" s="140"/>
      <c r="Y570" s="419"/>
      <c r="Z570" s="449"/>
      <c r="AA570" s="449"/>
      <c r="AB570" s="449"/>
      <c r="AC570" s="449"/>
      <c r="AD570" s="449"/>
    </row>
    <row r="571" spans="1:35">
      <c r="A571" s="374"/>
      <c r="C571" s="501"/>
      <c r="D571" s="502"/>
      <c r="E571" s="503" t="s">
        <v>2576</v>
      </c>
      <c r="F571" s="502"/>
      <c r="G571" s="11">
        <v>47000</v>
      </c>
      <c r="H571" s="11">
        <v>52000</v>
      </c>
      <c r="I571" s="11" t="s">
        <v>583</v>
      </c>
      <c r="J571" s="65"/>
      <c r="O571" s="81"/>
      <c r="P571" s="81"/>
      <c r="Q571" s="81"/>
      <c r="R571" s="81"/>
      <c r="S571" s="81"/>
      <c r="T571" s="81"/>
      <c r="U571" s="82"/>
      <c r="V571" s="82"/>
      <c r="W571" s="82"/>
      <c r="X571" s="82"/>
      <c r="Y571" s="202"/>
      <c r="Z571" s="446"/>
      <c r="AA571" s="446"/>
      <c r="AB571" s="446"/>
      <c r="AC571" s="446"/>
      <c r="AD571" s="446"/>
    </row>
    <row r="572" spans="1:35">
      <c r="A572" s="376" t="s">
        <v>1</v>
      </c>
      <c r="B572" s="376" t="s">
        <v>529</v>
      </c>
      <c r="C572" s="27" t="s">
        <v>2</v>
      </c>
      <c r="D572" s="20" t="s">
        <v>2547</v>
      </c>
      <c r="E572" s="20" t="s">
        <v>2548</v>
      </c>
      <c r="F572" s="504"/>
      <c r="G572" s="11" t="s">
        <v>629</v>
      </c>
      <c r="H572" s="11"/>
      <c r="I572" s="11" t="s">
        <v>3</v>
      </c>
      <c r="J572" s="65"/>
      <c r="O572" s="81"/>
      <c r="P572" s="81"/>
      <c r="Q572" s="81"/>
      <c r="R572" s="81"/>
      <c r="S572" s="81"/>
      <c r="T572" s="81"/>
      <c r="U572" s="82"/>
      <c r="V572" s="82"/>
      <c r="W572" s="82"/>
      <c r="X572" s="82"/>
      <c r="Y572" s="202"/>
      <c r="Z572" s="446"/>
      <c r="AA572" s="446"/>
      <c r="AB572" s="446"/>
      <c r="AC572" s="446"/>
      <c r="AD572" s="446"/>
    </row>
    <row r="573" spans="1:35">
      <c r="A573" s="376">
        <v>45614</v>
      </c>
      <c r="B573" s="376"/>
      <c r="C573" s="27">
        <v>241106</v>
      </c>
      <c r="D573" s="20" t="str">
        <f t="shared" ref="D573" si="279">IF(C573="","",_xlfn.XLOOKUP(C573,社員№,派遣先,"",0,-1))</f>
        <v>高雄工業 岡山</v>
      </c>
      <c r="E573" s="20" t="str">
        <f t="shared" ref="E573" si="280">IF(C573="","",_xlfn.XLOOKUP(C573,社員№,氏名,"",0,-1))</f>
        <v>HOANG TIEN LONG</v>
      </c>
      <c r="F573" s="20" t="str">
        <f t="shared" ref="F573" si="281">IF(C573="","",_xlfn.XLOOKUP(C573,社員№,カナ,"",0,-1))</f>
        <v>ホアン　ティエン　ロン</v>
      </c>
      <c r="G573" s="11"/>
      <c r="H573" s="11"/>
      <c r="I573" s="11">
        <v>26000</v>
      </c>
      <c r="J573" s="65"/>
      <c r="O573" s="81"/>
      <c r="P573" s="81"/>
      <c r="Q573" s="81"/>
      <c r="R573" s="81"/>
      <c r="S573" s="81"/>
      <c r="T573" s="81"/>
      <c r="U573" s="82"/>
      <c r="V573" s="82"/>
      <c r="W573" s="82"/>
      <c r="X573" s="82"/>
      <c r="Y573" s="202"/>
      <c r="Z573" s="446"/>
      <c r="AA573" s="446"/>
      <c r="AB573" s="446"/>
      <c r="AC573" s="446"/>
      <c r="AD573" s="446">
        <v>26000</v>
      </c>
      <c r="AE573" s="444">
        <v>26000</v>
      </c>
      <c r="AF573" s="444">
        <v>26000</v>
      </c>
      <c r="AG573" s="444">
        <v>26000</v>
      </c>
      <c r="AH573" s="444">
        <v>26000</v>
      </c>
      <c r="AI573" s="444">
        <v>26000</v>
      </c>
    </row>
    <row r="574" spans="1:35">
      <c r="A574" s="376">
        <v>45614</v>
      </c>
      <c r="B574" s="376"/>
      <c r="C574" s="27">
        <v>250302</v>
      </c>
      <c r="D574" s="20" t="str">
        <f t="shared" ref="D574" si="282">IF(C574="","",_xlfn.XLOOKUP(C574,社員№,派遣先,"",0,-1))</f>
        <v>高雄工業 岡山</v>
      </c>
      <c r="E574" s="20" t="str">
        <f t="shared" ref="E574" si="283">IF(C574="","",_xlfn.XLOOKUP(C574,社員№,氏名,"",0,-1))</f>
        <v>NGO VAN TOAN</v>
      </c>
      <c r="F574" s="20" t="str">
        <f t="shared" ref="F574" si="284">IF(C574="","",_xlfn.XLOOKUP(C574,社員№,カナ,"",0,-1))</f>
        <v>ゴー　ヴァン　トアン</v>
      </c>
      <c r="G574" s="11"/>
      <c r="H574" s="11"/>
      <c r="I574" s="11">
        <v>26000</v>
      </c>
      <c r="J574" s="65"/>
      <c r="O574" s="81"/>
      <c r="P574" s="81"/>
      <c r="Q574" s="81"/>
      <c r="R574" s="81"/>
      <c r="S574" s="81"/>
      <c r="T574" s="81"/>
      <c r="U574" s="82"/>
      <c r="V574" s="82"/>
      <c r="W574" s="82"/>
      <c r="X574" s="82"/>
      <c r="Y574" s="202"/>
      <c r="Z574" s="446"/>
      <c r="AA574" s="446"/>
      <c r="AB574" s="446"/>
      <c r="AC574" s="446"/>
      <c r="AD574" s="446">
        <v>26000</v>
      </c>
      <c r="AE574" s="444">
        <v>26000</v>
      </c>
      <c r="AF574" s="444">
        <v>26000</v>
      </c>
      <c r="AG574" s="444">
        <v>26000</v>
      </c>
      <c r="AH574" s="444">
        <v>26000</v>
      </c>
      <c r="AI574" s="444">
        <v>26000</v>
      </c>
    </row>
    <row r="575" spans="1:35">
      <c r="A575" s="147"/>
      <c r="F575" s="160"/>
      <c r="G575" s="10"/>
      <c r="H575" s="10"/>
      <c r="I575" s="10"/>
      <c r="J575" s="74"/>
      <c r="K575" s="10"/>
      <c r="L575" s="10"/>
      <c r="M575" s="88"/>
      <c r="N575" s="88"/>
      <c r="O575" s="88"/>
      <c r="P575" s="88"/>
      <c r="Q575" s="88"/>
      <c r="R575" s="88"/>
      <c r="S575" s="88"/>
      <c r="T575" s="88"/>
      <c r="U575" s="88"/>
      <c r="V575" s="88"/>
      <c r="W575" s="88"/>
      <c r="X575" s="88"/>
      <c r="Y575" s="410"/>
      <c r="Z575" s="438"/>
      <c r="AA575" s="438"/>
      <c r="AB575" s="438"/>
    </row>
    <row r="576" spans="1:35">
      <c r="A576" s="147"/>
      <c r="C576" s="29"/>
      <c r="D576" s="29"/>
      <c r="E576" s="29" t="s">
        <v>2473</v>
      </c>
      <c r="F576" s="176"/>
      <c r="G576" s="210">
        <v>47000</v>
      </c>
      <c r="H576" s="210">
        <v>52000</v>
      </c>
      <c r="I576" s="210" t="s">
        <v>583</v>
      </c>
      <c r="J576" s="90"/>
      <c r="K576" s="91"/>
      <c r="L576" s="91"/>
      <c r="M576" s="92"/>
      <c r="N576" s="92"/>
      <c r="O576" s="92"/>
      <c r="P576" s="92"/>
      <c r="Q576" s="92"/>
      <c r="R576" s="92"/>
      <c r="S576" s="92"/>
      <c r="T576" s="92"/>
      <c r="U576" s="92"/>
      <c r="V576" s="92"/>
      <c r="W576" s="92"/>
      <c r="X576" s="92"/>
      <c r="Y576" s="411"/>
      <c r="Z576" s="439"/>
      <c r="AA576" s="439"/>
      <c r="AB576" s="439"/>
    </row>
    <row r="577" spans="1:35">
      <c r="A577" s="145" t="s">
        <v>1</v>
      </c>
      <c r="B577" s="376" t="s">
        <v>529</v>
      </c>
      <c r="C577" s="27" t="s">
        <v>2</v>
      </c>
      <c r="D577" s="27" t="s">
        <v>2532</v>
      </c>
      <c r="E577" s="27" t="s">
        <v>2433</v>
      </c>
      <c r="F577" s="165"/>
      <c r="G577" s="11"/>
      <c r="H577" s="11"/>
      <c r="I577" s="11" t="s">
        <v>3</v>
      </c>
      <c r="J577" s="67" t="s">
        <v>154</v>
      </c>
      <c r="K577" s="78"/>
      <c r="L577" s="78"/>
      <c r="M577" s="87"/>
      <c r="N577" s="87"/>
      <c r="O577" s="132"/>
      <c r="P577" s="132"/>
      <c r="Q577" s="132"/>
      <c r="R577" s="132"/>
      <c r="S577" s="132"/>
      <c r="T577" s="132"/>
      <c r="U577" s="132"/>
      <c r="V577" s="132"/>
      <c r="W577" s="132"/>
      <c r="X577" s="132"/>
      <c r="Y577" s="412"/>
      <c r="Z577" s="440"/>
      <c r="AA577" s="440"/>
      <c r="AB577" s="440"/>
    </row>
    <row r="578" spans="1:35">
      <c r="A578" s="145">
        <v>45089</v>
      </c>
      <c r="B578" s="376"/>
      <c r="C578" s="27">
        <v>230604</v>
      </c>
      <c r="D578" s="20" t="str">
        <f t="shared" si="273"/>
        <v>高雄工業 岡山</v>
      </c>
      <c r="E578" s="20" t="str">
        <f t="shared" si="274"/>
        <v>DAO VAN LONG</v>
      </c>
      <c r="F578" s="20" t="str">
        <f t="shared" si="275"/>
        <v>ダオ　ヴァン　ロン</v>
      </c>
      <c r="G578" s="12"/>
      <c r="H578" s="12"/>
      <c r="I578" s="12">
        <v>26000</v>
      </c>
      <c r="J578" s="67">
        <v>17400</v>
      </c>
      <c r="K578" s="11">
        <v>26000</v>
      </c>
      <c r="L578" s="11">
        <v>26000</v>
      </c>
      <c r="M578" s="81">
        <v>26000</v>
      </c>
      <c r="N578" s="81">
        <v>26000</v>
      </c>
      <c r="O578" s="130">
        <v>26000</v>
      </c>
      <c r="P578" s="130">
        <v>26000</v>
      </c>
      <c r="Q578" s="130">
        <v>26000</v>
      </c>
      <c r="R578" s="130">
        <v>26000</v>
      </c>
      <c r="S578" s="130">
        <v>26000</v>
      </c>
      <c r="T578" s="130">
        <v>26000</v>
      </c>
      <c r="U578" s="130">
        <v>26000</v>
      </c>
      <c r="V578" s="130">
        <v>26000</v>
      </c>
      <c r="W578" s="130">
        <v>26000</v>
      </c>
      <c r="X578" s="130">
        <v>26000</v>
      </c>
      <c r="Y578" s="408">
        <v>26000</v>
      </c>
      <c r="Z578" s="437">
        <v>26000</v>
      </c>
      <c r="AA578" s="437">
        <v>26000</v>
      </c>
      <c r="AB578" s="437">
        <v>26000</v>
      </c>
      <c r="AC578" s="437">
        <v>26000</v>
      </c>
      <c r="AD578" s="437">
        <v>26000</v>
      </c>
      <c r="AE578" s="437">
        <v>26000</v>
      </c>
      <c r="AF578" s="437">
        <v>26000</v>
      </c>
      <c r="AG578" s="437">
        <v>26000</v>
      </c>
      <c r="AH578" s="437">
        <v>26000</v>
      </c>
      <c r="AI578" s="437">
        <v>26000</v>
      </c>
    </row>
    <row r="579" spans="1:35">
      <c r="A579" s="145">
        <v>45089</v>
      </c>
      <c r="B579" s="376"/>
      <c r="C579" s="27">
        <v>230608</v>
      </c>
      <c r="D579" s="20" t="str">
        <f t="shared" ref="D579" si="285">IF(C579="","",_xlfn.XLOOKUP(C579,社員№,派遣先,"",0,-1))</f>
        <v>高雄工業 岡山</v>
      </c>
      <c r="E579" s="20" t="str">
        <f t="shared" ref="E579" si="286">IF(C579="","",_xlfn.XLOOKUP(C579,社員№,氏名,"",0,-1))</f>
        <v>NGUYEN GIA THO</v>
      </c>
      <c r="F579" s="20" t="str">
        <f t="shared" ref="F579" si="287">IF(C579="","",_xlfn.XLOOKUP(C579,社員№,カナ,"",0,-1))</f>
        <v>グエン　ジャ　トー</v>
      </c>
      <c r="G579" s="12"/>
      <c r="H579" s="12"/>
      <c r="I579" s="12">
        <v>26000</v>
      </c>
      <c r="J579" s="73">
        <v>17400</v>
      </c>
      <c r="K579" s="3">
        <v>26000</v>
      </c>
      <c r="L579" s="3">
        <v>26000</v>
      </c>
      <c r="M579" s="95">
        <v>26000</v>
      </c>
      <c r="N579" s="95">
        <v>26000</v>
      </c>
      <c r="O579" s="136">
        <v>26000</v>
      </c>
      <c r="P579" s="136">
        <v>26000</v>
      </c>
      <c r="Q579" s="136">
        <v>26000</v>
      </c>
      <c r="R579" s="136">
        <v>26000</v>
      </c>
      <c r="S579" s="136">
        <v>26000</v>
      </c>
      <c r="T579" s="136">
        <v>26000</v>
      </c>
      <c r="U579" s="136">
        <v>26000</v>
      </c>
      <c r="V579" s="136">
        <v>26000</v>
      </c>
      <c r="W579" s="136">
        <v>26000</v>
      </c>
      <c r="X579" s="136">
        <v>26000</v>
      </c>
      <c r="Y579" s="421">
        <v>26000</v>
      </c>
      <c r="Z579" s="441">
        <v>26000</v>
      </c>
      <c r="AA579" s="441">
        <v>26000</v>
      </c>
      <c r="AB579" s="441">
        <v>26000</v>
      </c>
      <c r="AC579" s="441">
        <v>26000</v>
      </c>
      <c r="AD579" s="437">
        <v>26000</v>
      </c>
      <c r="AE579" s="437">
        <v>26000</v>
      </c>
      <c r="AF579" s="437">
        <v>26000</v>
      </c>
      <c r="AG579" s="437">
        <v>26000</v>
      </c>
      <c r="AH579" s="437">
        <v>26000</v>
      </c>
      <c r="AI579" s="437">
        <v>26000</v>
      </c>
    </row>
    <row r="580" spans="1:35">
      <c r="F580" s="160"/>
      <c r="G580" s="6"/>
      <c r="H580" s="6"/>
      <c r="I580" s="6"/>
      <c r="J580" s="74"/>
      <c r="K580" s="10"/>
      <c r="L580" s="10"/>
      <c r="M580" s="88"/>
      <c r="N580" s="88"/>
      <c r="O580" s="88"/>
      <c r="P580" s="88"/>
      <c r="Q580" s="88"/>
      <c r="R580" s="88"/>
      <c r="S580" s="88"/>
      <c r="T580" s="88"/>
      <c r="U580" s="88"/>
      <c r="V580" s="88"/>
      <c r="W580" s="88"/>
      <c r="X580" s="88"/>
      <c r="Y580" s="410"/>
      <c r="Z580" s="438"/>
      <c r="AA580" s="438"/>
      <c r="AB580" s="438"/>
    </row>
    <row r="581" spans="1:35">
      <c r="C581" s="29"/>
      <c r="D581" s="29"/>
      <c r="E581" s="29" t="s">
        <v>2474</v>
      </c>
      <c r="F581" s="176"/>
      <c r="G581" s="214">
        <v>47000</v>
      </c>
      <c r="H581" s="214">
        <v>52000</v>
      </c>
      <c r="I581" s="214" t="s">
        <v>583</v>
      </c>
      <c r="J581" s="90"/>
      <c r="K581" s="91"/>
      <c r="L581" s="91"/>
      <c r="M581" s="92"/>
      <c r="N581" s="92"/>
      <c r="O581" s="92"/>
      <c r="P581" s="92"/>
      <c r="Q581" s="92"/>
      <c r="R581" s="92"/>
      <c r="S581" s="92"/>
      <c r="T581" s="92"/>
      <c r="U581" s="92"/>
      <c r="V581" s="92"/>
      <c r="W581" s="92"/>
      <c r="X581" s="92"/>
      <c r="Y581" s="411"/>
      <c r="Z581" s="439"/>
      <c r="AA581" s="439"/>
      <c r="AB581" s="439"/>
    </row>
    <row r="582" spans="1:35">
      <c r="A582" s="145" t="s">
        <v>1</v>
      </c>
      <c r="B582" s="376" t="s">
        <v>529</v>
      </c>
      <c r="C582" s="27" t="s">
        <v>2</v>
      </c>
      <c r="D582" s="27" t="s">
        <v>2532</v>
      </c>
      <c r="E582" s="27" t="s">
        <v>2433</v>
      </c>
      <c r="F582" s="165"/>
      <c r="G582" s="12"/>
      <c r="H582" s="12"/>
      <c r="I582" s="12" t="s">
        <v>3</v>
      </c>
      <c r="J582" s="72" t="s">
        <v>344</v>
      </c>
      <c r="K582" s="78"/>
      <c r="L582" s="78"/>
      <c r="M582" s="87"/>
      <c r="N582" s="87"/>
      <c r="O582" s="132"/>
      <c r="P582" s="132"/>
      <c r="Q582" s="132"/>
      <c r="R582" s="132"/>
      <c r="S582" s="132"/>
      <c r="T582" s="132"/>
      <c r="U582" s="132"/>
      <c r="V582" s="132"/>
      <c r="W582" s="132"/>
      <c r="X582" s="132"/>
      <c r="Y582" s="412"/>
      <c r="Z582" s="440"/>
      <c r="AA582" s="440"/>
      <c r="AB582" s="440"/>
    </row>
    <row r="583" spans="1:35">
      <c r="A583" s="145">
        <v>45191</v>
      </c>
      <c r="B583" s="376"/>
      <c r="C583" s="27">
        <v>230917</v>
      </c>
      <c r="D583" s="20" t="str">
        <f t="shared" si="273"/>
        <v>高雄工業 岡山</v>
      </c>
      <c r="E583" s="20" t="str">
        <f t="shared" si="274"/>
        <v>BUI MINH DUC</v>
      </c>
      <c r="F583" s="20" t="str">
        <f t="shared" si="275"/>
        <v>ブイ　ミン　ドゥック</v>
      </c>
      <c r="G583" s="12"/>
      <c r="H583" s="12"/>
      <c r="I583" s="12">
        <v>26000</v>
      </c>
      <c r="J583" s="67">
        <v>13000</v>
      </c>
      <c r="K583" s="11">
        <v>26000</v>
      </c>
      <c r="L583" s="11">
        <v>26000</v>
      </c>
      <c r="M583" s="81">
        <v>26000</v>
      </c>
      <c r="N583" s="81">
        <v>26000</v>
      </c>
      <c r="O583" s="130">
        <v>26000</v>
      </c>
      <c r="P583" s="130">
        <v>26000</v>
      </c>
      <c r="Q583" s="130">
        <v>26000</v>
      </c>
      <c r="R583" s="130">
        <v>26000</v>
      </c>
      <c r="S583" s="130">
        <v>26000</v>
      </c>
      <c r="T583" s="130">
        <v>26000</v>
      </c>
      <c r="U583" s="130">
        <v>26000</v>
      </c>
      <c r="V583" s="130">
        <v>26000</v>
      </c>
      <c r="W583" s="130">
        <v>26000</v>
      </c>
      <c r="X583" s="130">
        <v>26000</v>
      </c>
      <c r="Y583" s="408">
        <v>26000</v>
      </c>
      <c r="Z583" s="437">
        <v>26000</v>
      </c>
      <c r="AA583" s="437">
        <v>26000</v>
      </c>
      <c r="AB583" s="437">
        <v>26000</v>
      </c>
      <c r="AC583" s="437">
        <v>26000</v>
      </c>
      <c r="AD583" s="437">
        <v>26000</v>
      </c>
      <c r="AE583" s="437">
        <v>26000</v>
      </c>
      <c r="AF583" s="437">
        <v>26000</v>
      </c>
      <c r="AG583" s="437">
        <v>26000</v>
      </c>
      <c r="AH583" s="437">
        <v>26000</v>
      </c>
      <c r="AI583" s="437">
        <v>26000</v>
      </c>
    </row>
    <row r="584" spans="1:35">
      <c r="A584" s="145">
        <v>45191</v>
      </c>
      <c r="B584" s="376"/>
      <c r="C584" s="27">
        <v>230919</v>
      </c>
      <c r="D584" s="20" t="str">
        <f t="shared" ref="D584" si="288">IF(C584="","",_xlfn.XLOOKUP(C584,社員№,派遣先,"",0,-1))</f>
        <v>高雄工業 岡山</v>
      </c>
      <c r="E584" s="20" t="str">
        <f t="shared" ref="E584" si="289">IF(C584="","",_xlfn.XLOOKUP(C584,社員№,氏名,"",0,-1))</f>
        <v>NGUYEN XUAN LAM</v>
      </c>
      <c r="F584" s="20" t="str">
        <f t="shared" ref="F584" si="290">IF(C584="","",_xlfn.XLOOKUP(C584,社員№,カナ,"",0,-1))</f>
        <v>グエン　スアン　ラム</v>
      </c>
      <c r="G584" s="12"/>
      <c r="H584" s="12"/>
      <c r="I584" s="12">
        <v>26000</v>
      </c>
      <c r="J584" s="73">
        <v>13000</v>
      </c>
      <c r="K584" s="3">
        <v>26000</v>
      </c>
      <c r="L584" s="3">
        <v>26000</v>
      </c>
      <c r="M584" s="95">
        <v>26000</v>
      </c>
      <c r="N584" s="95">
        <v>26000</v>
      </c>
      <c r="O584" s="136">
        <v>26000</v>
      </c>
      <c r="P584" s="136">
        <v>26000</v>
      </c>
      <c r="Q584" s="136">
        <v>26000</v>
      </c>
      <c r="R584" s="136">
        <v>26000</v>
      </c>
      <c r="S584" s="136">
        <v>26000</v>
      </c>
      <c r="T584" s="136">
        <v>26000</v>
      </c>
      <c r="U584" s="136">
        <v>26000</v>
      </c>
      <c r="V584" s="136">
        <v>26000</v>
      </c>
      <c r="W584" s="136">
        <v>26000</v>
      </c>
      <c r="X584" s="136">
        <v>26000</v>
      </c>
      <c r="Y584" s="421">
        <v>26000</v>
      </c>
      <c r="Z584" s="441">
        <v>26000</v>
      </c>
      <c r="AA584" s="441">
        <v>26000</v>
      </c>
      <c r="AB584" s="441">
        <v>26000</v>
      </c>
      <c r="AC584" s="437">
        <v>26000</v>
      </c>
      <c r="AD584" s="437">
        <v>26000</v>
      </c>
      <c r="AE584" s="437">
        <v>26000</v>
      </c>
      <c r="AF584" s="437">
        <v>26000</v>
      </c>
      <c r="AG584" s="437">
        <v>26000</v>
      </c>
      <c r="AH584" s="437">
        <v>26000</v>
      </c>
      <c r="AI584" s="437">
        <v>26000</v>
      </c>
    </row>
    <row r="585" spans="1:35">
      <c r="F585" s="160"/>
      <c r="G585" s="6"/>
      <c r="H585" s="6"/>
      <c r="I585" s="6"/>
      <c r="J585" s="74"/>
      <c r="K585" s="10"/>
      <c r="L585" s="10"/>
      <c r="M585" s="88"/>
      <c r="N585" s="88"/>
      <c r="O585" s="88"/>
      <c r="P585" s="88"/>
      <c r="Q585" s="88"/>
      <c r="R585" s="88"/>
      <c r="S585" s="88"/>
      <c r="T585" s="88"/>
      <c r="U585" s="88"/>
      <c r="V585" s="88"/>
      <c r="W585" s="88"/>
      <c r="X585" s="88"/>
      <c r="Y585" s="410"/>
      <c r="Z585" s="438"/>
      <c r="AA585" s="438"/>
      <c r="AB585" s="438"/>
    </row>
    <row r="586" spans="1:35">
      <c r="C586" s="29"/>
      <c r="D586" s="29"/>
      <c r="E586" s="29" t="s">
        <v>2475</v>
      </c>
      <c r="F586" s="176"/>
      <c r="G586" s="214">
        <v>47000</v>
      </c>
      <c r="H586" s="214">
        <v>52000</v>
      </c>
      <c r="I586" s="214" t="s">
        <v>583</v>
      </c>
      <c r="J586" s="90"/>
      <c r="K586" s="91"/>
      <c r="L586" s="91"/>
      <c r="M586" s="92"/>
      <c r="N586" s="92"/>
      <c r="O586" s="92"/>
      <c r="P586" s="92"/>
      <c r="Q586" s="92"/>
      <c r="R586" s="92"/>
      <c r="S586" s="92"/>
      <c r="T586" s="92"/>
      <c r="U586" s="92"/>
      <c r="V586" s="92"/>
      <c r="W586" s="92"/>
      <c r="X586" s="92"/>
      <c r="Y586" s="411"/>
      <c r="Z586" s="439"/>
      <c r="AA586" s="439"/>
      <c r="AB586" s="439"/>
    </row>
    <row r="587" spans="1:35">
      <c r="A587" s="145" t="s">
        <v>1</v>
      </c>
      <c r="B587" s="376" t="s">
        <v>529</v>
      </c>
      <c r="C587" s="27" t="s">
        <v>2</v>
      </c>
      <c r="D587" s="27" t="s">
        <v>2532</v>
      </c>
      <c r="E587" s="27" t="s">
        <v>2433</v>
      </c>
      <c r="F587" s="165"/>
      <c r="G587" s="12"/>
      <c r="H587" s="12"/>
      <c r="I587" s="12" t="s">
        <v>3</v>
      </c>
      <c r="J587" s="67" t="s">
        <v>154</v>
      </c>
      <c r="K587" s="78"/>
      <c r="L587" s="78"/>
      <c r="M587" s="87"/>
      <c r="N587" s="87"/>
      <c r="O587" s="132"/>
      <c r="P587" s="132"/>
      <c r="Q587" s="132"/>
      <c r="R587" s="132"/>
      <c r="S587" s="132"/>
      <c r="T587" s="132"/>
      <c r="U587" s="132"/>
      <c r="V587" s="132"/>
      <c r="W587" s="132"/>
      <c r="X587" s="132"/>
      <c r="Y587" s="412"/>
      <c r="Z587" s="440"/>
      <c r="AA587" s="440"/>
      <c r="AB587" s="440"/>
    </row>
    <row r="588" spans="1:35" hidden="1">
      <c r="A588" s="145">
        <v>45089</v>
      </c>
      <c r="B588" s="376">
        <v>45685</v>
      </c>
      <c r="C588" s="27">
        <v>230607</v>
      </c>
      <c r="D588" s="20" t="str">
        <f t="shared" si="273"/>
        <v>高雄工業 岡山</v>
      </c>
      <c r="E588" s="20" t="str">
        <f t="shared" si="274"/>
        <v>HOANG TRUNG DUC</v>
      </c>
      <c r="F588" s="20" t="str">
        <f t="shared" si="275"/>
        <v>ホアン　チュン　ドゥック</v>
      </c>
      <c r="G588" s="12"/>
      <c r="H588" s="12"/>
      <c r="I588" s="12">
        <v>26000</v>
      </c>
      <c r="J588" s="65">
        <v>17400</v>
      </c>
      <c r="K588" s="11">
        <v>26000</v>
      </c>
      <c r="L588" s="11">
        <v>26000</v>
      </c>
      <c r="M588" s="81">
        <v>26000</v>
      </c>
      <c r="N588" s="81">
        <v>26000</v>
      </c>
      <c r="O588" s="81">
        <v>26000</v>
      </c>
      <c r="P588" s="81">
        <v>26000</v>
      </c>
      <c r="Q588" s="81">
        <v>26000</v>
      </c>
      <c r="R588" s="81">
        <v>26000</v>
      </c>
      <c r="S588" s="81">
        <v>26000</v>
      </c>
      <c r="T588" s="81">
        <v>26000</v>
      </c>
      <c r="U588" s="81">
        <v>26000</v>
      </c>
      <c r="V588" s="81">
        <v>26000</v>
      </c>
      <c r="W588" s="81">
        <f>20000+26000</f>
        <v>46000</v>
      </c>
      <c r="X588" s="81">
        <v>0</v>
      </c>
      <c r="Y588" s="413">
        <v>0</v>
      </c>
      <c r="Z588" s="441">
        <v>0</v>
      </c>
      <c r="AA588" s="441">
        <v>0</v>
      </c>
      <c r="AB588" s="441">
        <v>0</v>
      </c>
    </row>
    <row r="589" spans="1:35" hidden="1">
      <c r="A589" s="145">
        <v>45089</v>
      </c>
      <c r="B589" s="376">
        <v>45697</v>
      </c>
      <c r="C589" s="27">
        <v>230611</v>
      </c>
      <c r="D589" s="20" t="str">
        <f t="shared" ref="D589:D591" si="291">IF(C589="","",_xlfn.XLOOKUP(C589,社員№,派遣先,"",0,-1))</f>
        <v>高雄工業 岡山</v>
      </c>
      <c r="E589" s="20" t="str">
        <f t="shared" ref="E589:E591" si="292">IF(C589="","",_xlfn.XLOOKUP(C589,社員№,氏名,"",0,-1))</f>
        <v>NGUYEN DINH THANH</v>
      </c>
      <c r="F589" s="20" t="str">
        <f t="shared" ref="F589:F591" si="293">IF(C589="","",_xlfn.XLOOKUP(C589,社員№,カナ,"",0,-1))</f>
        <v>グエン　ディン　タイン</v>
      </c>
      <c r="G589" s="12"/>
      <c r="H589" s="12" t="s">
        <v>965</v>
      </c>
      <c r="I589" s="12">
        <v>26000</v>
      </c>
      <c r="J589" s="65"/>
      <c r="K589" s="11">
        <v>26000</v>
      </c>
      <c r="L589" s="11">
        <v>26000</v>
      </c>
      <c r="M589" s="81">
        <v>26000</v>
      </c>
      <c r="N589" s="81">
        <v>26000</v>
      </c>
      <c r="O589" s="81">
        <v>26000</v>
      </c>
      <c r="P589" s="81">
        <v>26000</v>
      </c>
      <c r="Q589" s="81">
        <v>26000</v>
      </c>
      <c r="R589" s="81">
        <v>26000</v>
      </c>
      <c r="S589" s="81">
        <v>26000</v>
      </c>
      <c r="T589" s="81">
        <v>26000</v>
      </c>
      <c r="U589" s="81">
        <v>26000</v>
      </c>
      <c r="V589" s="81">
        <v>26000</v>
      </c>
      <c r="W589" s="81">
        <v>26000</v>
      </c>
      <c r="X589" s="81">
        <v>0</v>
      </c>
      <c r="Y589" s="413">
        <v>0</v>
      </c>
      <c r="Z589" s="441">
        <v>0</v>
      </c>
      <c r="AA589" s="441">
        <v>0</v>
      </c>
      <c r="AB589" s="441">
        <v>0</v>
      </c>
    </row>
    <row r="590" spans="1:35">
      <c r="A590" s="145">
        <v>45692</v>
      </c>
      <c r="B590" s="376"/>
      <c r="C590" s="555" t="s">
        <v>2857</v>
      </c>
      <c r="D590" s="20" t="str">
        <f t="shared" si="291"/>
        <v>全般</v>
      </c>
      <c r="E590" s="20" t="str">
        <f t="shared" si="292"/>
        <v>LE DINH NGHI</v>
      </c>
      <c r="F590" s="20" t="str">
        <f t="shared" si="293"/>
        <v>レ　デイン　ギ</v>
      </c>
      <c r="G590" s="12"/>
      <c r="H590" s="12"/>
      <c r="I590" s="12">
        <v>26000</v>
      </c>
      <c r="J590" s="65"/>
      <c r="O590" s="81"/>
      <c r="P590" s="81"/>
      <c r="Q590" s="81"/>
      <c r="R590" s="81"/>
      <c r="S590" s="81"/>
      <c r="T590" s="81"/>
      <c r="U590" s="81"/>
      <c r="V590" s="81"/>
      <c r="W590" s="81"/>
      <c r="X590" s="81">
        <f>3714+17643</f>
        <v>21357</v>
      </c>
      <c r="Y590" s="413">
        <v>26000</v>
      </c>
      <c r="Z590" s="441">
        <v>26000</v>
      </c>
      <c r="AA590" s="441">
        <v>26000</v>
      </c>
      <c r="AB590" s="441">
        <v>26000</v>
      </c>
      <c r="AC590" s="441">
        <v>26000</v>
      </c>
      <c r="AD590" s="441">
        <v>26000</v>
      </c>
      <c r="AE590" s="437">
        <v>26000</v>
      </c>
      <c r="AF590" s="437">
        <v>26000</v>
      </c>
      <c r="AG590" s="437">
        <v>26000</v>
      </c>
      <c r="AH590" s="437">
        <v>26000</v>
      </c>
      <c r="AI590" s="437">
        <v>26000</v>
      </c>
    </row>
    <row r="591" spans="1:35">
      <c r="A591" s="145">
        <v>45692</v>
      </c>
      <c r="B591" s="376"/>
      <c r="C591" s="27">
        <v>250207</v>
      </c>
      <c r="D591" s="20" t="str">
        <f t="shared" si="291"/>
        <v>高雄工業 岡山</v>
      </c>
      <c r="E591" s="20" t="str">
        <f t="shared" si="292"/>
        <v>HA GIA BAO</v>
      </c>
      <c r="F591" s="20" t="str">
        <f t="shared" si="293"/>
        <v>ハ　ジャ　バオ</v>
      </c>
      <c r="G591" s="12"/>
      <c r="H591" s="12"/>
      <c r="I591" s="12">
        <v>26000</v>
      </c>
      <c r="J591" s="65"/>
      <c r="O591" s="81"/>
      <c r="P591" s="81"/>
      <c r="Q591" s="81"/>
      <c r="R591" s="81"/>
      <c r="S591" s="81"/>
      <c r="T591" s="81"/>
      <c r="U591" s="81"/>
      <c r="V591" s="81"/>
      <c r="W591" s="81"/>
      <c r="X591" s="81">
        <f>3714+17643</f>
        <v>21357</v>
      </c>
      <c r="Y591" s="413">
        <v>26000</v>
      </c>
      <c r="Z591" s="441">
        <v>26000</v>
      </c>
      <c r="AA591" s="441">
        <v>26000</v>
      </c>
      <c r="AB591" s="441">
        <v>26000</v>
      </c>
      <c r="AC591" s="441">
        <v>26000</v>
      </c>
      <c r="AD591" s="441">
        <v>26000</v>
      </c>
      <c r="AE591" s="437">
        <v>26000</v>
      </c>
      <c r="AF591" s="437">
        <v>26000</v>
      </c>
      <c r="AG591" s="437">
        <v>26000</v>
      </c>
      <c r="AH591" s="437">
        <v>26000</v>
      </c>
      <c r="AI591" s="437">
        <v>26000</v>
      </c>
    </row>
    <row r="592" spans="1:35">
      <c r="A592" s="147"/>
      <c r="F592" s="160"/>
      <c r="G592" s="10"/>
      <c r="H592" s="10"/>
      <c r="I592" s="10"/>
      <c r="J592" s="74"/>
      <c r="K592" s="10"/>
      <c r="L592" s="10"/>
      <c r="M592" s="88"/>
      <c r="N592" s="88"/>
      <c r="O592" s="88"/>
      <c r="P592" s="88"/>
      <c r="Q592" s="88"/>
      <c r="R592" s="88"/>
      <c r="S592" s="88"/>
      <c r="T592" s="88"/>
      <c r="U592" s="88"/>
      <c r="V592" s="88"/>
      <c r="W592" s="88"/>
      <c r="X592" s="88"/>
      <c r="Y592" s="410"/>
      <c r="Z592" s="438"/>
      <c r="AA592" s="438"/>
      <c r="AB592" s="438"/>
    </row>
    <row r="593" spans="1:35">
      <c r="A593" s="147"/>
      <c r="C593" s="29"/>
      <c r="D593" s="29"/>
      <c r="E593" s="29" t="s">
        <v>2476</v>
      </c>
      <c r="F593" s="176"/>
      <c r="G593" s="210">
        <v>47000</v>
      </c>
      <c r="H593" s="210">
        <v>52000</v>
      </c>
      <c r="I593" s="210" t="s">
        <v>583</v>
      </c>
      <c r="J593" s="74"/>
      <c r="K593" s="10"/>
      <c r="L593" s="10"/>
      <c r="M593" s="88"/>
      <c r="N593" s="88"/>
      <c r="O593" s="88"/>
      <c r="P593" s="88"/>
      <c r="Q593" s="88"/>
      <c r="R593" s="88"/>
      <c r="S593" s="88"/>
      <c r="T593" s="88"/>
      <c r="U593" s="88"/>
      <c r="V593" s="88"/>
      <c r="W593" s="88"/>
      <c r="X593" s="88"/>
      <c r="Y593" s="410"/>
      <c r="Z593" s="438"/>
      <c r="AA593" s="438"/>
      <c r="AB593" s="438"/>
    </row>
    <row r="594" spans="1:35">
      <c r="A594" s="148" t="s">
        <v>1</v>
      </c>
      <c r="B594" s="377" t="s">
        <v>529</v>
      </c>
      <c r="C594" s="27" t="s">
        <v>2</v>
      </c>
      <c r="D594" s="27" t="s">
        <v>2532</v>
      </c>
      <c r="E594" s="27" t="s">
        <v>2433</v>
      </c>
      <c r="F594" s="165"/>
      <c r="G594" s="22"/>
      <c r="H594" s="22"/>
      <c r="I594" s="22" t="s">
        <v>3</v>
      </c>
      <c r="J594" s="90"/>
      <c r="K594" s="91"/>
      <c r="L594" s="91"/>
      <c r="M594" s="92"/>
      <c r="N594" s="92"/>
      <c r="O594" s="92"/>
      <c r="P594" s="92"/>
      <c r="Q594" s="92"/>
      <c r="R594" s="92"/>
      <c r="S594" s="92"/>
      <c r="T594" s="92"/>
      <c r="U594" s="92"/>
      <c r="V594" s="92"/>
      <c r="W594" s="92"/>
      <c r="X594" s="92"/>
      <c r="Y594" s="411"/>
      <c r="Z594" s="439"/>
      <c r="AA594" s="439"/>
      <c r="AB594" s="439"/>
    </row>
    <row r="595" spans="1:35">
      <c r="A595" s="149">
        <v>44558</v>
      </c>
      <c r="B595" s="378"/>
      <c r="C595" s="20">
        <v>220104</v>
      </c>
      <c r="D595" s="20" t="str">
        <f t="shared" si="273"/>
        <v>高雄工業 岡山</v>
      </c>
      <c r="E595" s="20" t="str">
        <f t="shared" si="274"/>
        <v>NGUYEN VAN CUONG</v>
      </c>
      <c r="F595" s="20" t="str">
        <f t="shared" si="275"/>
        <v>グエン　ヴァン　クオン</v>
      </c>
      <c r="G595" s="4"/>
      <c r="H595" s="11"/>
      <c r="I595" s="11">
        <v>26000</v>
      </c>
      <c r="J595" s="67"/>
      <c r="K595" s="78">
        <v>26000</v>
      </c>
      <c r="L595" s="78">
        <v>26000</v>
      </c>
      <c r="M595" s="87">
        <v>26000</v>
      </c>
      <c r="N595" s="87">
        <v>26000</v>
      </c>
      <c r="O595" s="132">
        <v>26000</v>
      </c>
      <c r="P595" s="132">
        <v>26000</v>
      </c>
      <c r="Q595" s="132">
        <v>26000</v>
      </c>
      <c r="R595" s="132">
        <v>26000</v>
      </c>
      <c r="S595" s="132">
        <v>26000</v>
      </c>
      <c r="T595" s="132">
        <v>26000</v>
      </c>
      <c r="U595" s="132">
        <v>26000</v>
      </c>
      <c r="V595" s="132">
        <v>26000</v>
      </c>
      <c r="W595" s="132">
        <v>26000</v>
      </c>
      <c r="X595" s="132">
        <v>26000</v>
      </c>
      <c r="Y595" s="423">
        <v>26000</v>
      </c>
      <c r="Z595" s="453">
        <v>26000</v>
      </c>
      <c r="AA595" s="453">
        <v>26000</v>
      </c>
      <c r="AB595" s="453">
        <v>26000</v>
      </c>
      <c r="AC595" s="483">
        <v>26000</v>
      </c>
      <c r="AD595" s="483">
        <v>26000</v>
      </c>
      <c r="AE595" s="454">
        <v>26000</v>
      </c>
      <c r="AF595" s="454">
        <v>26000</v>
      </c>
      <c r="AG595" s="454">
        <v>26000</v>
      </c>
      <c r="AH595" s="454">
        <v>26000</v>
      </c>
      <c r="AI595" s="454">
        <v>26000</v>
      </c>
    </row>
    <row r="596" spans="1:35" hidden="1">
      <c r="A596" s="145">
        <v>44939</v>
      </c>
      <c r="B596" s="376">
        <v>45550</v>
      </c>
      <c r="C596" s="27">
        <v>230108</v>
      </c>
      <c r="D596" s="20" t="str">
        <f t="shared" ref="D596:D599" si="294">IF(C596="","",_xlfn.XLOOKUP(C596,社員№,派遣先,"",0,-1))</f>
        <v>高雄工業 岡山</v>
      </c>
      <c r="E596" s="20" t="str">
        <f t="shared" ref="E596:E599" si="295">IF(C596="","",_xlfn.XLOOKUP(C596,社員№,氏名,"",0,-1))</f>
        <v>VU HOANG AN</v>
      </c>
      <c r="F596" s="20" t="str">
        <f t="shared" ref="F596:F599" si="296">IF(C596="","",_xlfn.XLOOKUP(C596,社員№,カナ,"",0,-1))</f>
        <v>ヴー　ホアン　アン</v>
      </c>
      <c r="G596" s="11"/>
      <c r="H596" s="11"/>
      <c r="I596" s="11">
        <v>26000</v>
      </c>
      <c r="J596" s="65"/>
      <c r="K596" s="11">
        <v>26000</v>
      </c>
      <c r="L596" s="11">
        <v>26000</v>
      </c>
      <c r="M596" s="81">
        <v>26000</v>
      </c>
      <c r="N596" s="81">
        <v>26000</v>
      </c>
      <c r="O596" s="81">
        <v>26000</v>
      </c>
      <c r="P596" s="81">
        <v>26000</v>
      </c>
      <c r="Q596" s="81">
        <v>26000</v>
      </c>
      <c r="R596" s="81">
        <v>26000</v>
      </c>
      <c r="S596" s="81">
        <f>26000+20000</f>
        <v>46000</v>
      </c>
      <c r="T596" s="81">
        <v>0</v>
      </c>
      <c r="U596" s="81">
        <v>0</v>
      </c>
      <c r="V596" s="81">
        <v>0</v>
      </c>
      <c r="W596" s="81">
        <v>0</v>
      </c>
      <c r="X596" s="81">
        <v>0</v>
      </c>
      <c r="Y596" s="413">
        <v>0</v>
      </c>
      <c r="Z596" s="441">
        <v>0</v>
      </c>
      <c r="AA596" s="441">
        <v>0</v>
      </c>
      <c r="AB596" s="441">
        <v>0</v>
      </c>
    </row>
    <row r="597" spans="1:35" hidden="1">
      <c r="A597" s="145">
        <v>45566</v>
      </c>
      <c r="B597" s="376">
        <v>45656</v>
      </c>
      <c r="C597" s="27">
        <v>230805</v>
      </c>
      <c r="D597" s="20" t="str">
        <f t="shared" si="294"/>
        <v>高雄工業 岡山</v>
      </c>
      <c r="E597" s="20" t="str">
        <f t="shared" si="295"/>
        <v>NGUYEN VAN HOI</v>
      </c>
      <c r="F597" s="20" t="str">
        <f t="shared" si="296"/>
        <v>グエン　ヴァン　ホイ</v>
      </c>
      <c r="G597" s="27"/>
      <c r="H597" s="27"/>
      <c r="I597" s="27">
        <v>26000</v>
      </c>
      <c r="J597" s="65"/>
      <c r="O597" s="81"/>
      <c r="P597" s="81"/>
      <c r="Q597" s="81"/>
      <c r="R597" s="81"/>
      <c r="S597" s="81"/>
      <c r="T597" s="81">
        <v>26000</v>
      </c>
      <c r="U597" s="81">
        <v>26000</v>
      </c>
      <c r="V597" s="81">
        <f>26000+20000</f>
        <v>46000</v>
      </c>
      <c r="W597" s="81">
        <v>0</v>
      </c>
      <c r="X597" s="81">
        <v>0</v>
      </c>
      <c r="Y597" s="413">
        <v>0</v>
      </c>
      <c r="Z597" s="441">
        <v>0</v>
      </c>
      <c r="AA597" s="441">
        <v>0</v>
      </c>
      <c r="AB597" s="441">
        <v>0</v>
      </c>
    </row>
    <row r="598" spans="1:35">
      <c r="A598" s="228">
        <v>45670</v>
      </c>
      <c r="B598" s="375">
        <v>45726</v>
      </c>
      <c r="C598" s="43">
        <v>250114</v>
      </c>
      <c r="D598" s="20" t="str">
        <f t="shared" si="294"/>
        <v>ユアサ工機 御津</v>
      </c>
      <c r="E598" s="20" t="str">
        <f t="shared" si="295"/>
        <v>NGO TUAN PHONG</v>
      </c>
      <c r="F598" s="20" t="str">
        <f t="shared" si="296"/>
        <v>ゴー　トウアン　フオン</v>
      </c>
      <c r="G598" s="3"/>
      <c r="H598" s="3"/>
      <c r="I598" s="3">
        <v>26000</v>
      </c>
      <c r="J598" s="71"/>
      <c r="K598" s="3"/>
      <c r="L598" s="3"/>
      <c r="M598" s="95"/>
      <c r="N598" s="95"/>
      <c r="O598" s="95"/>
      <c r="P598" s="95"/>
      <c r="Q598" s="95"/>
      <c r="R598" s="95"/>
      <c r="S598" s="95"/>
      <c r="T598" s="95"/>
      <c r="U598" s="95"/>
      <c r="V598" s="95"/>
      <c r="W598" s="95">
        <v>15935</v>
      </c>
      <c r="X598" s="95">
        <v>26000</v>
      </c>
      <c r="Y598" s="429">
        <f>26000+20000</f>
        <v>46000</v>
      </c>
      <c r="Z598" s="463">
        <v>0</v>
      </c>
      <c r="AA598" s="463">
        <v>0</v>
      </c>
      <c r="AB598" s="463">
        <v>0</v>
      </c>
    </row>
    <row r="599" spans="1:35">
      <c r="A599" s="145">
        <v>45748</v>
      </c>
      <c r="B599" s="376"/>
      <c r="C599" s="27">
        <v>240606</v>
      </c>
      <c r="D599" s="20" t="str">
        <f t="shared" si="294"/>
        <v>高雄工業 岡山</v>
      </c>
      <c r="E599" s="20" t="str">
        <f t="shared" si="295"/>
        <v>CHU VAN LOC</v>
      </c>
      <c r="F599" s="20" t="str">
        <f t="shared" si="296"/>
        <v>チュ　ヴァン　ロック</v>
      </c>
      <c r="G599" s="11"/>
      <c r="H599" s="11"/>
      <c r="I599" s="11"/>
      <c r="J599" s="65"/>
      <c r="O599" s="81"/>
      <c r="P599" s="81"/>
      <c r="Q599" s="81"/>
      <c r="R599" s="81"/>
      <c r="S599" s="81"/>
      <c r="T599" s="81"/>
      <c r="U599" s="81"/>
      <c r="V599" s="81"/>
      <c r="W599" s="81"/>
      <c r="X599" s="81"/>
      <c r="Y599" s="413"/>
      <c r="Z599" s="441"/>
      <c r="AA599" s="441"/>
      <c r="AB599" s="441"/>
      <c r="AC599" s="448">
        <v>26000</v>
      </c>
      <c r="AD599" s="448">
        <v>26000</v>
      </c>
      <c r="AE599" s="508">
        <v>26000</v>
      </c>
      <c r="AF599" s="508">
        <v>26000</v>
      </c>
      <c r="AG599" s="508">
        <v>26000</v>
      </c>
      <c r="AH599" s="508">
        <v>26000</v>
      </c>
      <c r="AI599" s="508">
        <v>26000</v>
      </c>
    </row>
    <row r="600" spans="1:35">
      <c r="A600" s="147"/>
      <c r="F600" s="160"/>
      <c r="G600" s="10"/>
      <c r="H600" s="10"/>
      <c r="I600" s="10"/>
      <c r="J600" s="74"/>
      <c r="K600" s="10"/>
      <c r="L600" s="10"/>
      <c r="M600" s="88"/>
      <c r="N600" s="88"/>
      <c r="O600" s="88"/>
      <c r="P600" s="88"/>
      <c r="Q600" s="88"/>
      <c r="R600" s="88"/>
      <c r="S600" s="88"/>
      <c r="T600" s="88"/>
      <c r="U600" s="88"/>
      <c r="V600" s="88"/>
      <c r="W600" s="88"/>
      <c r="X600" s="88"/>
      <c r="Y600" s="410"/>
      <c r="Z600" s="438"/>
      <c r="AA600" s="438"/>
      <c r="AB600" s="438"/>
    </row>
    <row r="601" spans="1:35">
      <c r="A601" s="147"/>
      <c r="C601" s="29"/>
      <c r="D601" s="29"/>
      <c r="E601" s="29" t="s">
        <v>2477</v>
      </c>
      <c r="F601" s="176"/>
      <c r="G601" s="210">
        <v>47000</v>
      </c>
      <c r="H601" s="210">
        <v>51900</v>
      </c>
      <c r="I601" s="210" t="s">
        <v>583</v>
      </c>
      <c r="J601" s="74"/>
      <c r="K601" s="10"/>
      <c r="L601" s="10"/>
      <c r="M601" s="88"/>
      <c r="N601" s="88"/>
      <c r="O601" s="88"/>
      <c r="P601" s="88"/>
      <c r="Q601" s="88"/>
      <c r="R601" s="88"/>
      <c r="S601" s="88"/>
      <c r="T601" s="88"/>
      <c r="U601" s="88"/>
      <c r="V601" s="88"/>
      <c r="W601" s="88"/>
      <c r="X601" s="88"/>
      <c r="Y601" s="410"/>
      <c r="Z601" s="438"/>
      <c r="AA601" s="438"/>
      <c r="AB601" s="438"/>
    </row>
    <row r="602" spans="1:35">
      <c r="A602" s="151" t="s">
        <v>1</v>
      </c>
      <c r="B602" s="379" t="s">
        <v>529</v>
      </c>
      <c r="C602" s="43" t="s">
        <v>2</v>
      </c>
      <c r="D602" s="43" t="s">
        <v>2532</v>
      </c>
      <c r="E602" s="43" t="s">
        <v>2433</v>
      </c>
      <c r="F602" s="186"/>
      <c r="G602" s="111"/>
      <c r="H602" s="111"/>
      <c r="I602" s="111" t="s">
        <v>3</v>
      </c>
      <c r="J602" s="74"/>
      <c r="K602" s="10"/>
      <c r="L602" s="10"/>
      <c r="M602" s="88"/>
      <c r="N602" s="88"/>
      <c r="O602" s="88"/>
      <c r="P602" s="88"/>
      <c r="Q602" s="88"/>
      <c r="R602" s="88"/>
      <c r="S602" s="88"/>
      <c r="T602" s="88"/>
      <c r="U602" s="140"/>
      <c r="V602" s="140"/>
      <c r="W602" s="140"/>
      <c r="X602" s="140"/>
      <c r="Y602" s="419"/>
      <c r="Z602" s="449"/>
      <c r="AA602" s="449"/>
      <c r="AB602" s="449"/>
    </row>
    <row r="603" spans="1:35">
      <c r="A603" s="145">
        <v>45595</v>
      </c>
      <c r="B603" s="376">
        <v>46053</v>
      </c>
      <c r="C603" s="27">
        <v>241103</v>
      </c>
      <c r="D603" s="20" t="str">
        <f t="shared" si="273"/>
        <v>高雄工業 岡山</v>
      </c>
      <c r="E603" s="20" t="str">
        <f t="shared" si="274"/>
        <v>NGUYEN DUYEN LAM</v>
      </c>
      <c r="F603" s="20" t="str">
        <f t="shared" si="275"/>
        <v>グエン　ズエン　ラム</v>
      </c>
      <c r="G603" s="11"/>
      <c r="H603" s="11"/>
      <c r="I603" s="11">
        <v>26000</v>
      </c>
      <c r="J603" s="65"/>
      <c r="O603" s="81"/>
      <c r="P603" s="81"/>
      <c r="Q603" s="81"/>
      <c r="R603" s="81"/>
      <c r="S603" s="81"/>
      <c r="T603" s="118">
        <v>1116</v>
      </c>
      <c r="U603" s="82">
        <f t="shared" ref="U603:U605" si="297">1116+17300</f>
        <v>18416</v>
      </c>
      <c r="V603" s="82">
        <v>17300</v>
      </c>
      <c r="W603" s="82">
        <v>26000</v>
      </c>
      <c r="X603" s="82">
        <v>26000</v>
      </c>
      <c r="Y603" s="202">
        <v>26000</v>
      </c>
      <c r="Z603" s="446">
        <v>26000</v>
      </c>
      <c r="AA603" s="446">
        <v>26000</v>
      </c>
      <c r="AB603" s="446">
        <v>26000</v>
      </c>
      <c r="AC603" s="446">
        <v>26000</v>
      </c>
      <c r="AD603" s="446">
        <v>26000</v>
      </c>
      <c r="AE603" s="444">
        <v>26000</v>
      </c>
      <c r="AF603" s="444">
        <v>26000</v>
      </c>
      <c r="AG603" s="444">
        <v>26000</v>
      </c>
      <c r="AH603" s="444">
        <v>26000</v>
      </c>
      <c r="AI603" s="448">
        <v>46000</v>
      </c>
    </row>
    <row r="604" spans="1:35">
      <c r="A604" s="145">
        <v>45595</v>
      </c>
      <c r="B604" s="376"/>
      <c r="C604" s="20">
        <v>241105</v>
      </c>
      <c r="D604" s="20" t="str">
        <f t="shared" ref="D604:D605" si="298">IF(C604="","",_xlfn.XLOOKUP(C604,社員№,派遣先,"",0,-1))</f>
        <v>高雄工業 岡山</v>
      </c>
      <c r="E604" s="20" t="str">
        <f t="shared" ref="E604:E605" si="299">IF(C604="","",_xlfn.XLOOKUP(C604,社員№,氏名,"",0,-1))</f>
        <v>NGUYEN DUC MANH</v>
      </c>
      <c r="F604" s="20" t="str">
        <f t="shared" ref="F604:F605" si="300">IF(C604="","",_xlfn.XLOOKUP(C604,社員№,カナ,"",0,-1))</f>
        <v>グエン　ドゥック　マイン</v>
      </c>
      <c r="G604" s="11"/>
      <c r="H604" s="11"/>
      <c r="I604" s="11">
        <v>26000</v>
      </c>
      <c r="J604" s="65"/>
      <c r="O604" s="81"/>
      <c r="P604" s="81"/>
      <c r="Q604" s="81"/>
      <c r="R604" s="81"/>
      <c r="S604" s="81"/>
      <c r="T604" s="118">
        <v>1116</v>
      </c>
      <c r="U604" s="82">
        <f t="shared" si="297"/>
        <v>18416</v>
      </c>
      <c r="V604" s="82">
        <v>17300</v>
      </c>
      <c r="W604" s="82">
        <v>26000</v>
      </c>
      <c r="X604" s="82">
        <v>26000</v>
      </c>
      <c r="Y604" s="202">
        <v>26000</v>
      </c>
      <c r="Z604" s="446">
        <v>26000</v>
      </c>
      <c r="AA604" s="446">
        <v>26000</v>
      </c>
      <c r="AB604" s="446">
        <v>26000</v>
      </c>
      <c r="AC604" s="446">
        <v>26000</v>
      </c>
      <c r="AD604" s="446">
        <v>26000</v>
      </c>
      <c r="AE604" s="444">
        <v>26000</v>
      </c>
      <c r="AF604" s="444">
        <v>26000</v>
      </c>
      <c r="AG604" s="444">
        <v>26000</v>
      </c>
      <c r="AH604" s="444">
        <v>26000</v>
      </c>
      <c r="AI604" s="448">
        <v>26000</v>
      </c>
    </row>
    <row r="605" spans="1:35" hidden="1">
      <c r="A605" s="145">
        <v>45595</v>
      </c>
      <c r="B605" s="376">
        <v>45637</v>
      </c>
      <c r="C605" s="20">
        <v>61101</v>
      </c>
      <c r="D605" s="20" t="str">
        <f t="shared" si="298"/>
        <v/>
      </c>
      <c r="E605" s="20" t="str">
        <f t="shared" si="299"/>
        <v/>
      </c>
      <c r="F605" s="20" t="str">
        <f t="shared" si="300"/>
        <v/>
      </c>
      <c r="G605" s="11"/>
      <c r="H605" s="11"/>
      <c r="I605" s="11">
        <v>17300</v>
      </c>
      <c r="J605" s="65"/>
      <c r="O605" s="81"/>
      <c r="P605" s="81"/>
      <c r="Q605" s="81"/>
      <c r="R605" s="81"/>
      <c r="S605" s="81"/>
      <c r="T605" s="118">
        <v>1116</v>
      </c>
      <c r="U605" s="82">
        <f t="shared" si="297"/>
        <v>18416</v>
      </c>
      <c r="V605" s="82">
        <v>6139</v>
      </c>
      <c r="W605" s="82">
        <v>0</v>
      </c>
      <c r="X605" s="82">
        <v>0</v>
      </c>
      <c r="Y605" s="202">
        <v>0</v>
      </c>
      <c r="Z605" s="446">
        <v>0</v>
      </c>
      <c r="AA605" s="446">
        <v>0</v>
      </c>
      <c r="AB605" s="446">
        <v>0</v>
      </c>
      <c r="AC605" s="441"/>
    </row>
    <row r="606" spans="1:35">
      <c r="C606" s="47"/>
      <c r="F606" s="160"/>
      <c r="G606" s="10"/>
      <c r="H606" s="10"/>
      <c r="I606" s="10"/>
      <c r="J606" s="74"/>
      <c r="K606" s="10"/>
      <c r="L606" s="10"/>
      <c r="M606" s="88"/>
      <c r="N606" s="88"/>
      <c r="O606" s="88"/>
      <c r="P606" s="88"/>
      <c r="Q606" s="88"/>
      <c r="R606" s="88"/>
      <c r="S606" s="88"/>
      <c r="T606" s="88"/>
      <c r="U606" s="88"/>
      <c r="V606" s="88"/>
      <c r="W606" s="88"/>
      <c r="X606" s="88"/>
      <c r="Y606" s="410"/>
      <c r="Z606" s="438"/>
      <c r="AA606" s="438"/>
      <c r="AB606" s="438"/>
    </row>
    <row r="607" spans="1:35">
      <c r="A607" s="147"/>
      <c r="C607" s="29"/>
      <c r="D607" s="29"/>
      <c r="E607" s="29" t="s">
        <v>2478</v>
      </c>
      <c r="F607" s="176"/>
      <c r="G607" s="210">
        <v>47000</v>
      </c>
      <c r="H607" s="210">
        <v>52000</v>
      </c>
      <c r="I607" s="210" t="s">
        <v>583</v>
      </c>
      <c r="J607" s="74"/>
      <c r="K607" s="10"/>
      <c r="L607" s="10"/>
      <c r="M607" s="88"/>
      <c r="N607" s="88"/>
      <c r="O607" s="88"/>
      <c r="P607" s="88"/>
      <c r="Q607" s="88"/>
      <c r="R607" s="88"/>
      <c r="S607" s="88"/>
      <c r="T607" s="88"/>
      <c r="U607" s="88"/>
      <c r="V607" s="88"/>
      <c r="W607" s="88"/>
      <c r="X607" s="88"/>
      <c r="Y607" s="410"/>
      <c r="Z607" s="438"/>
      <c r="AA607" s="438"/>
      <c r="AB607" s="438"/>
    </row>
    <row r="608" spans="1:35">
      <c r="A608" s="148" t="s">
        <v>1</v>
      </c>
      <c r="B608" s="377" t="s">
        <v>529</v>
      </c>
      <c r="C608" s="27" t="s">
        <v>2</v>
      </c>
      <c r="D608" s="27" t="s">
        <v>2532</v>
      </c>
      <c r="E608" s="27" t="s">
        <v>2433</v>
      </c>
      <c r="F608" s="165"/>
      <c r="G608" s="22"/>
      <c r="H608" s="22"/>
      <c r="I608" s="22" t="s">
        <v>3</v>
      </c>
      <c r="J608" s="90"/>
      <c r="K608" s="91"/>
      <c r="L608" s="91"/>
      <c r="M608" s="92"/>
      <c r="N608" s="92"/>
      <c r="O608" s="92"/>
      <c r="P608" s="92"/>
      <c r="Q608" s="92"/>
      <c r="R608" s="92"/>
      <c r="S608" s="92"/>
      <c r="T608" s="92"/>
      <c r="U608" s="92"/>
      <c r="V608" s="92"/>
      <c r="W608" s="92"/>
      <c r="X608" s="92"/>
      <c r="Y608" s="411"/>
      <c r="Z608" s="439"/>
      <c r="AA608" s="439"/>
      <c r="AB608" s="439"/>
    </row>
    <row r="609" spans="1:35">
      <c r="A609" s="145">
        <v>45200</v>
      </c>
      <c r="B609" s="376">
        <v>45979</v>
      </c>
      <c r="C609" s="27">
        <v>230920</v>
      </c>
      <c r="D609" s="20" t="str">
        <f t="shared" si="273"/>
        <v>高雄工業 岡山</v>
      </c>
      <c r="E609" s="20" t="str">
        <f t="shared" si="274"/>
        <v>HA NGOC QUAN</v>
      </c>
      <c r="F609" s="20" t="str">
        <f t="shared" si="275"/>
        <v>ハー　ゴック　クアン</v>
      </c>
      <c r="G609" s="11"/>
      <c r="H609" s="11"/>
      <c r="I609" s="11">
        <v>26000</v>
      </c>
      <c r="J609" s="70"/>
      <c r="K609" s="11">
        <v>26000</v>
      </c>
      <c r="L609" s="11">
        <v>26000</v>
      </c>
      <c r="M609" s="81">
        <v>26000</v>
      </c>
      <c r="N609" s="81">
        <v>26000</v>
      </c>
      <c r="O609" s="130">
        <v>26000</v>
      </c>
      <c r="P609" s="130">
        <v>26000</v>
      </c>
      <c r="Q609" s="130">
        <v>26000</v>
      </c>
      <c r="R609" s="130">
        <v>26000</v>
      </c>
      <c r="S609" s="130">
        <v>26000</v>
      </c>
      <c r="T609" s="130">
        <v>26000</v>
      </c>
      <c r="U609" s="130">
        <v>26000</v>
      </c>
      <c r="V609" s="130">
        <v>26000</v>
      </c>
      <c r="W609" s="130">
        <v>26000</v>
      </c>
      <c r="X609" s="130">
        <v>26000</v>
      </c>
      <c r="Y609" s="408">
        <v>26000</v>
      </c>
      <c r="Z609" s="437">
        <v>26000</v>
      </c>
      <c r="AA609" s="437">
        <v>26000</v>
      </c>
      <c r="AB609" s="437">
        <v>26000</v>
      </c>
      <c r="AC609" s="437">
        <v>26000</v>
      </c>
      <c r="AD609" s="437">
        <v>26000</v>
      </c>
      <c r="AE609" s="437">
        <v>26000</v>
      </c>
      <c r="AF609" s="437">
        <v>26000</v>
      </c>
      <c r="AG609" s="522">
        <v>46000</v>
      </c>
    </row>
    <row r="610" spans="1:35">
      <c r="A610" s="145">
        <v>45353</v>
      </c>
      <c r="B610" s="376"/>
      <c r="C610" s="20">
        <v>240304</v>
      </c>
      <c r="D610" s="20" t="str">
        <f t="shared" ref="D610" si="301">IF(C610="","",_xlfn.XLOOKUP(C610,社員№,派遣先,"",0,-1))</f>
        <v>ユアサ工機 御津</v>
      </c>
      <c r="E610" s="20" t="str">
        <f t="shared" ref="E610" si="302">IF(C610="","",_xlfn.XLOOKUP(C610,社員№,氏名,"",0,-1))</f>
        <v>CAO VAN QUANG</v>
      </c>
      <c r="F610" s="20" t="str">
        <f t="shared" ref="F610" si="303">IF(C610="","",_xlfn.XLOOKUP(C610,社員№,カナ,"",0,-1))</f>
        <v>カオ　ヴァン　クアン</v>
      </c>
      <c r="G610" s="11"/>
      <c r="H610" s="11"/>
      <c r="I610" s="11">
        <v>26000</v>
      </c>
      <c r="J610" s="104"/>
      <c r="K610" s="3"/>
      <c r="L610" s="3"/>
      <c r="M610" s="95">
        <v>25161</v>
      </c>
      <c r="N610" s="81">
        <v>26000</v>
      </c>
      <c r="O610" s="130">
        <v>26000</v>
      </c>
      <c r="P610" s="130">
        <v>26000</v>
      </c>
      <c r="Q610" s="130">
        <v>26000</v>
      </c>
      <c r="R610" s="130">
        <v>26000</v>
      </c>
      <c r="S610" s="130">
        <v>26000</v>
      </c>
      <c r="T610" s="130">
        <v>26000</v>
      </c>
      <c r="U610" s="130">
        <v>26000</v>
      </c>
      <c r="V610" s="130">
        <v>26000</v>
      </c>
      <c r="W610" s="130">
        <v>26000</v>
      </c>
      <c r="X610" s="130">
        <v>26000</v>
      </c>
      <c r="Y610" s="408">
        <v>26000</v>
      </c>
      <c r="Z610" s="437">
        <v>26000</v>
      </c>
      <c r="AA610" s="437">
        <v>26000</v>
      </c>
      <c r="AB610" s="437">
        <v>26000</v>
      </c>
      <c r="AC610" s="437">
        <v>26000</v>
      </c>
      <c r="AD610" s="437">
        <v>26000</v>
      </c>
      <c r="AE610" s="437">
        <v>26000</v>
      </c>
      <c r="AF610" s="437">
        <v>26000</v>
      </c>
      <c r="AG610" s="522">
        <v>26000</v>
      </c>
      <c r="AH610" s="522">
        <v>26000</v>
      </c>
      <c r="AI610" s="522">
        <v>26000</v>
      </c>
    </row>
    <row r="611" spans="1:35">
      <c r="A611" s="145">
        <v>45980</v>
      </c>
      <c r="B611" s="376"/>
      <c r="C611" s="20">
        <v>250709</v>
      </c>
      <c r="D611" s="27" t="s">
        <v>178</v>
      </c>
      <c r="E611" s="27" t="s">
        <v>2553</v>
      </c>
      <c r="F611" s="27" t="s">
        <v>2554</v>
      </c>
      <c r="G611" s="11"/>
      <c r="H611" s="11"/>
      <c r="I611" s="11"/>
      <c r="J611" s="66"/>
      <c r="O611" s="81"/>
      <c r="P611" s="81"/>
      <c r="Q611" s="81"/>
      <c r="R611" s="81"/>
      <c r="S611" s="81"/>
      <c r="T611" s="81"/>
      <c r="U611" s="81"/>
      <c r="V611" s="81"/>
      <c r="W611" s="81"/>
      <c r="X611" s="81"/>
      <c r="Y611" s="413"/>
      <c r="Z611" s="441"/>
      <c r="AA611" s="441"/>
      <c r="AB611" s="441"/>
      <c r="AC611" s="448"/>
      <c r="AD611" s="1"/>
      <c r="AE611" s="1"/>
      <c r="AF611" s="27"/>
      <c r="AG611" s="522">
        <v>26600</v>
      </c>
      <c r="AH611" s="522">
        <v>26000</v>
      </c>
      <c r="AI611" s="522">
        <v>26000</v>
      </c>
    </row>
    <row r="612" spans="1:35">
      <c r="C612" s="47"/>
      <c r="F612" s="160"/>
      <c r="G612" s="10"/>
      <c r="H612" s="10"/>
      <c r="I612" s="10"/>
      <c r="J612" s="101"/>
      <c r="K612" s="10"/>
      <c r="L612" s="10"/>
      <c r="M612" s="88"/>
      <c r="N612" s="88"/>
      <c r="O612" s="88"/>
      <c r="P612" s="88"/>
      <c r="Q612" s="88"/>
      <c r="R612" s="88"/>
      <c r="S612" s="88"/>
      <c r="T612" s="88"/>
      <c r="U612" s="88"/>
      <c r="V612" s="88"/>
      <c r="W612" s="88"/>
      <c r="X612" s="88"/>
      <c r="Y612" s="410"/>
      <c r="Z612" s="438"/>
      <c r="AA612" s="438"/>
      <c r="AB612" s="438"/>
      <c r="AF612" s="538"/>
    </row>
    <row r="613" spans="1:35">
      <c r="A613" s="147"/>
      <c r="C613" s="29"/>
      <c r="D613" s="29"/>
      <c r="E613" s="29" t="s">
        <v>2479</v>
      </c>
      <c r="F613" s="176"/>
      <c r="G613" s="210">
        <v>47000</v>
      </c>
      <c r="H613" s="210">
        <v>52000</v>
      </c>
      <c r="I613" s="210" t="s">
        <v>583</v>
      </c>
      <c r="J613" s="74"/>
      <c r="K613" s="10"/>
      <c r="L613" s="10"/>
      <c r="M613" s="88"/>
      <c r="N613" s="88"/>
      <c r="O613" s="88"/>
      <c r="P613" s="88"/>
      <c r="Q613" s="88"/>
      <c r="R613" s="88"/>
      <c r="S613" s="88"/>
      <c r="T613" s="88"/>
      <c r="U613" s="88"/>
      <c r="V613" s="88"/>
      <c r="W613" s="88"/>
      <c r="X613" s="88"/>
      <c r="Y613" s="410"/>
      <c r="Z613" s="438"/>
      <c r="AA613" s="438"/>
      <c r="AB613" s="438"/>
    </row>
    <row r="614" spans="1:35">
      <c r="A614" s="148" t="s">
        <v>1</v>
      </c>
      <c r="B614" s="377" t="s">
        <v>529</v>
      </c>
      <c r="C614" s="27" t="s">
        <v>2</v>
      </c>
      <c r="D614" s="27" t="s">
        <v>2532</v>
      </c>
      <c r="E614" s="27" t="s">
        <v>2433</v>
      </c>
      <c r="F614" s="165"/>
      <c r="G614" s="22"/>
      <c r="H614" s="22"/>
      <c r="I614" s="22" t="s">
        <v>3</v>
      </c>
      <c r="J614" s="90"/>
      <c r="K614" s="91"/>
      <c r="L614" s="91"/>
      <c r="M614" s="92"/>
      <c r="N614" s="92"/>
      <c r="O614" s="92"/>
      <c r="P614" s="92"/>
      <c r="Q614" s="92"/>
      <c r="R614" s="92"/>
      <c r="S614" s="92"/>
      <c r="T614" s="92"/>
      <c r="U614" s="92"/>
      <c r="V614" s="92"/>
      <c r="W614" s="92"/>
      <c r="X614" s="92"/>
      <c r="Y614" s="411"/>
      <c r="Z614" s="439"/>
      <c r="AA614" s="439"/>
      <c r="AB614" s="439"/>
    </row>
    <row r="615" spans="1:35">
      <c r="A615" s="150">
        <v>45766</v>
      </c>
      <c r="B615" s="384"/>
      <c r="C615" s="20">
        <v>250407</v>
      </c>
      <c r="D615" s="20" t="str">
        <f t="shared" si="273"/>
        <v>高雄工業 岡山</v>
      </c>
      <c r="E615" s="20" t="str">
        <f t="shared" si="274"/>
        <v>DINH HOANG THANG</v>
      </c>
      <c r="F615" s="20" t="str">
        <f t="shared" si="275"/>
        <v>デイン　ホアン　タン</v>
      </c>
      <c r="G615" s="11"/>
      <c r="H615" s="11"/>
      <c r="I615" s="11">
        <v>26000</v>
      </c>
      <c r="J615" s="70"/>
      <c r="Z615" s="454">
        <f>10800+1733+5190</f>
        <v>17723</v>
      </c>
      <c r="AA615" s="454">
        <v>17300</v>
      </c>
      <c r="AB615" s="454">
        <v>26000</v>
      </c>
      <c r="AC615" s="483">
        <v>26000</v>
      </c>
      <c r="AD615" s="483">
        <v>26000</v>
      </c>
      <c r="AE615" s="454">
        <v>26000</v>
      </c>
      <c r="AF615" s="454">
        <v>26000</v>
      </c>
      <c r="AG615" s="454">
        <v>26000</v>
      </c>
      <c r="AH615" s="454">
        <v>26000</v>
      </c>
      <c r="AI615" s="454">
        <v>26000</v>
      </c>
    </row>
    <row r="616" spans="1:35">
      <c r="A616" s="145">
        <v>45766</v>
      </c>
      <c r="B616" s="376"/>
      <c r="C616" s="557" t="s">
        <v>2858</v>
      </c>
      <c r="D616" s="20" t="str">
        <f t="shared" ref="D616:D617" si="304">IF(C616="","",_xlfn.XLOOKUP(C616,社員№,派遣先,"",0,-1))</f>
        <v>梱包</v>
      </c>
      <c r="E616" s="20" t="str">
        <f t="shared" ref="E616:E617" si="305">IF(C616="","",_xlfn.XLOOKUP(C616,社員№,氏名,"",0,-1))</f>
        <v>NGUYEN TAN LONG</v>
      </c>
      <c r="F616" s="20" t="str">
        <f t="shared" ref="F616:F617" si="306">IF(C616="","",_xlfn.XLOOKUP(C616,社員№,カナ,"",0,-1))</f>
        <v>グエン　タン　ロン</v>
      </c>
      <c r="G616" s="11"/>
      <c r="H616" s="11"/>
      <c r="I616" s="11">
        <v>26000</v>
      </c>
      <c r="J616" s="66"/>
      <c r="O616" s="81"/>
      <c r="P616" s="81"/>
      <c r="Q616" s="81"/>
      <c r="R616" s="81"/>
      <c r="S616" s="81"/>
      <c r="T616" s="81"/>
      <c r="U616" s="81"/>
      <c r="V616" s="81"/>
      <c r="W616" s="81"/>
      <c r="X616" s="81"/>
      <c r="Y616" s="413"/>
      <c r="Z616" s="446">
        <f>4367+1733+5190</f>
        <v>11290</v>
      </c>
      <c r="AA616" s="446">
        <f>4367+1733+5190+17300</f>
        <v>28590</v>
      </c>
      <c r="AB616" s="446">
        <v>26000</v>
      </c>
      <c r="AC616" s="483">
        <v>26000</v>
      </c>
      <c r="AD616" s="483">
        <v>26000</v>
      </c>
      <c r="AE616" s="454">
        <v>26000</v>
      </c>
      <c r="AF616" s="454">
        <v>26000</v>
      </c>
      <c r="AG616" s="454">
        <v>26000</v>
      </c>
      <c r="AH616" s="454">
        <v>26000</v>
      </c>
      <c r="AI616" s="454">
        <v>26000</v>
      </c>
    </row>
    <row r="617" spans="1:35" hidden="1">
      <c r="A617" s="145">
        <v>45769</v>
      </c>
      <c r="B617" s="376">
        <v>45808</v>
      </c>
      <c r="C617" s="20">
        <v>250501</v>
      </c>
      <c r="D617" s="20" t="str">
        <f t="shared" si="304"/>
        <v>高雄工業 岡山</v>
      </c>
      <c r="E617" s="20" t="str">
        <f t="shared" si="305"/>
        <v>HUYNH TAN PHAT</v>
      </c>
      <c r="F617" s="20" t="str">
        <f t="shared" si="306"/>
        <v>フィン　タン　ファット</v>
      </c>
      <c r="G617" s="11"/>
      <c r="H617" s="22" t="s">
        <v>965</v>
      </c>
      <c r="I617" s="11">
        <v>17300</v>
      </c>
      <c r="J617" s="66"/>
      <c r="O617" s="81"/>
      <c r="P617" s="81"/>
      <c r="Q617" s="81"/>
      <c r="R617" s="81"/>
      <c r="S617" s="81"/>
      <c r="T617" s="81"/>
      <c r="U617" s="81"/>
      <c r="V617" s="81"/>
      <c r="W617" s="81"/>
      <c r="X617" s="81"/>
      <c r="Y617" s="413"/>
      <c r="Z617" s="446">
        <v>5190</v>
      </c>
      <c r="AA617" s="446">
        <f>5190+17300</f>
        <v>22490</v>
      </c>
      <c r="AB617" s="446">
        <v>0</v>
      </c>
      <c r="AC617" s="448">
        <v>0</v>
      </c>
      <c r="AD617" s="448">
        <v>0</v>
      </c>
      <c r="AE617" s="508">
        <v>0</v>
      </c>
      <c r="AF617" s="508">
        <v>0</v>
      </c>
      <c r="AI617" s="454">
        <v>26000</v>
      </c>
    </row>
    <row r="618" spans="1:35">
      <c r="F618" s="160"/>
      <c r="K618" s="78"/>
      <c r="L618" s="78"/>
      <c r="M618" s="87"/>
      <c r="N618" s="87"/>
      <c r="O618" s="132"/>
      <c r="P618" s="132"/>
      <c r="Q618" s="132"/>
      <c r="R618" s="132"/>
      <c r="S618" s="132"/>
      <c r="T618" s="132"/>
      <c r="U618" s="132"/>
      <c r="V618" s="132"/>
      <c r="W618" s="132"/>
      <c r="X618" s="88"/>
      <c r="Y618" s="410"/>
      <c r="Z618" s="438"/>
      <c r="AA618" s="438"/>
      <c r="AB618" s="438"/>
    </row>
    <row r="619" spans="1:35">
      <c r="C619" s="47"/>
      <c r="F619" s="160"/>
      <c r="G619" s="10"/>
      <c r="H619" s="10"/>
      <c r="I619" s="10"/>
      <c r="J619" s="101"/>
      <c r="K619" s="10"/>
      <c r="L619" s="10"/>
      <c r="M619" s="88"/>
      <c r="N619" s="88"/>
      <c r="O619" s="88"/>
      <c r="P619" s="88"/>
      <c r="Q619" s="88"/>
      <c r="R619" s="88"/>
      <c r="S619" s="88"/>
      <c r="T619" s="88"/>
      <c r="U619" s="88"/>
      <c r="V619" s="88"/>
      <c r="W619" s="88"/>
      <c r="X619" s="88"/>
      <c r="Y619" s="410"/>
      <c r="Z619" s="438"/>
      <c r="AA619" s="438"/>
      <c r="AB619" s="438"/>
    </row>
    <row r="620" spans="1:35">
      <c r="A620" s="147"/>
      <c r="C620" s="29"/>
      <c r="D620" s="29"/>
      <c r="E620" s="29" t="s">
        <v>2480</v>
      </c>
      <c r="F620" s="176"/>
      <c r="G620" s="210">
        <v>30000</v>
      </c>
      <c r="H620" s="210">
        <v>32000</v>
      </c>
      <c r="I620" s="210" t="s">
        <v>583</v>
      </c>
      <c r="J620" s="235" t="s">
        <v>1008</v>
      </c>
      <c r="K620" s="10"/>
      <c r="L620" s="10"/>
      <c r="M620" s="88"/>
      <c r="N620" s="88"/>
      <c r="O620" s="88"/>
      <c r="P620" s="88"/>
      <c r="Q620" s="88"/>
      <c r="R620" s="88"/>
      <c r="S620" s="88"/>
      <c r="T620" s="88"/>
      <c r="U620" s="88"/>
      <c r="V620" s="88"/>
      <c r="W620" s="88"/>
      <c r="X620" s="88"/>
      <c r="Y620" s="410"/>
      <c r="Z620" s="438"/>
      <c r="AA620" s="438"/>
      <c r="AB620" s="438"/>
    </row>
    <row r="621" spans="1:35">
      <c r="A621" s="148" t="s">
        <v>1</v>
      </c>
      <c r="B621" s="377" t="s">
        <v>529</v>
      </c>
      <c r="C621" s="27" t="s">
        <v>2</v>
      </c>
      <c r="D621" s="27" t="s">
        <v>2532</v>
      </c>
      <c r="E621" s="27" t="s">
        <v>2433</v>
      </c>
      <c r="F621" s="165"/>
      <c r="G621" s="22"/>
      <c r="H621" s="22"/>
      <c r="I621" s="22" t="s">
        <v>3</v>
      </c>
      <c r="J621" s="90"/>
      <c r="K621" s="91"/>
      <c r="L621" s="91"/>
      <c r="M621" s="92"/>
      <c r="N621" s="92"/>
      <c r="O621" s="92"/>
      <c r="P621" s="92"/>
      <c r="Q621" s="92"/>
      <c r="R621" s="92"/>
      <c r="S621" s="92"/>
      <c r="T621" s="92"/>
      <c r="U621" s="92"/>
      <c r="V621" s="92"/>
      <c r="W621" s="92"/>
      <c r="X621" s="92" t="s">
        <v>983</v>
      </c>
      <c r="Y621" s="411"/>
      <c r="Z621" s="439"/>
      <c r="AA621" s="439"/>
      <c r="AB621" s="439"/>
    </row>
    <row r="622" spans="1:35" hidden="1">
      <c r="A622" s="145">
        <v>45544</v>
      </c>
      <c r="B622" s="376">
        <v>45747</v>
      </c>
      <c r="C622" s="27">
        <v>60902</v>
      </c>
      <c r="D622" s="20" t="str">
        <f t="shared" si="273"/>
        <v/>
      </c>
      <c r="E622" s="20" t="str">
        <f t="shared" si="274"/>
        <v/>
      </c>
      <c r="F622" s="20" t="str">
        <f t="shared" si="275"/>
        <v/>
      </c>
      <c r="G622" s="11"/>
      <c r="H622" s="11"/>
      <c r="I622" s="11">
        <v>27000</v>
      </c>
      <c r="J622" s="66"/>
      <c r="O622" s="81"/>
      <c r="P622" s="81"/>
      <c r="Q622" s="81"/>
      <c r="R622" s="81"/>
      <c r="S622" s="81">
        <v>23467</v>
      </c>
      <c r="T622" s="81">
        <v>32000</v>
      </c>
      <c r="U622" s="81">
        <v>32000</v>
      </c>
      <c r="V622" s="81">
        <v>32000</v>
      </c>
      <c r="W622" s="81">
        <v>32000</v>
      </c>
      <c r="X622" s="81">
        <v>27000</v>
      </c>
      <c r="Y622" s="413">
        <f>27000+20000</f>
        <v>47000</v>
      </c>
      <c r="Z622" s="441">
        <v>0</v>
      </c>
      <c r="AA622" s="441">
        <v>0</v>
      </c>
      <c r="AB622" s="441">
        <v>0</v>
      </c>
      <c r="AC622" s="476"/>
    </row>
    <row r="623" spans="1:35">
      <c r="A623" s="150">
        <v>45748</v>
      </c>
      <c r="B623" s="384"/>
      <c r="C623" s="20">
        <v>240506</v>
      </c>
      <c r="D623" s="20" t="str">
        <f t="shared" ref="D623" si="307">IF(C623="","",_xlfn.XLOOKUP(C623,社員№,派遣先,"",0,-1))</f>
        <v>高雄工業 岡山</v>
      </c>
      <c r="E623" s="20" t="str">
        <f t="shared" ref="E623" si="308">IF(C623="","",_xlfn.XLOOKUP(C623,社員№,氏名,"",0,-1))</f>
        <v>PHAN TRUNG NAM</v>
      </c>
      <c r="F623" s="20" t="str">
        <f t="shared" ref="F623" si="309">IF(C623="","",_xlfn.XLOOKUP(C623,社員№,カナ,"",0,-1))</f>
        <v>ファン　チュン　ナム</v>
      </c>
      <c r="G623" s="11"/>
      <c r="H623" s="11"/>
      <c r="I623" s="11">
        <v>32000</v>
      </c>
      <c r="J623" s="66"/>
      <c r="O623" s="81"/>
      <c r="P623" s="81"/>
      <c r="Q623" s="81"/>
      <c r="R623" s="81"/>
      <c r="S623" s="81"/>
      <c r="T623" s="81"/>
      <c r="U623" s="81"/>
      <c r="V623" s="81"/>
      <c r="W623" s="81"/>
      <c r="X623" s="81"/>
      <c r="Y623" s="413"/>
      <c r="Z623" s="441">
        <v>32000</v>
      </c>
      <c r="AA623" s="441">
        <v>32000</v>
      </c>
      <c r="AB623" s="441">
        <v>32000</v>
      </c>
      <c r="AC623" s="441">
        <v>32000</v>
      </c>
      <c r="AD623" s="441">
        <v>32000</v>
      </c>
      <c r="AE623" s="437">
        <v>32000</v>
      </c>
      <c r="AF623" s="437">
        <v>32000</v>
      </c>
      <c r="AG623" s="437">
        <v>32000</v>
      </c>
      <c r="AH623" s="437">
        <v>32000</v>
      </c>
      <c r="AI623" s="437">
        <v>32000</v>
      </c>
    </row>
    <row r="624" spans="1:35">
      <c r="A624" s="207"/>
      <c r="B624" s="383"/>
      <c r="C624" s="47"/>
      <c r="D624" s="47"/>
      <c r="E624" s="435"/>
      <c r="F624" s="436"/>
      <c r="G624" s="10"/>
      <c r="H624" s="10"/>
      <c r="I624" s="10"/>
      <c r="J624" s="101"/>
      <c r="K624" s="10"/>
      <c r="L624" s="10"/>
      <c r="M624" s="88"/>
      <c r="N624" s="88"/>
      <c r="O624" s="88"/>
      <c r="P624" s="88"/>
      <c r="Q624" s="88"/>
      <c r="R624" s="88"/>
      <c r="S624" s="88"/>
      <c r="T624" s="88"/>
      <c r="U624" s="88"/>
      <c r="V624" s="88"/>
      <c r="W624" s="88"/>
      <c r="X624" s="88"/>
      <c r="Y624" s="410"/>
      <c r="Z624" s="438"/>
      <c r="AA624" s="438"/>
      <c r="AB624" s="438"/>
    </row>
    <row r="625" spans="1:35">
      <c r="A625" s="147"/>
      <c r="C625" s="29"/>
      <c r="D625" s="29"/>
      <c r="E625" s="29" t="s">
        <v>2481</v>
      </c>
      <c r="F625" s="176"/>
      <c r="G625" s="210">
        <v>30000</v>
      </c>
      <c r="H625" s="210">
        <v>32000</v>
      </c>
      <c r="I625" s="210"/>
      <c r="J625" s="74"/>
      <c r="K625" s="10"/>
      <c r="L625" s="10"/>
      <c r="M625" s="88"/>
      <c r="N625" s="88"/>
      <c r="O625" s="88"/>
      <c r="P625" s="88"/>
      <c r="Q625" s="88"/>
      <c r="R625" s="88"/>
      <c r="S625" s="88"/>
      <c r="T625" s="88"/>
      <c r="U625" s="88"/>
      <c r="V625" s="88"/>
      <c r="W625" s="88"/>
      <c r="X625" s="88"/>
      <c r="Y625" s="410"/>
      <c r="Z625" s="438"/>
      <c r="AA625" s="438"/>
      <c r="AB625" s="438"/>
    </row>
    <row r="626" spans="1:35">
      <c r="A626" s="148" t="s">
        <v>1</v>
      </c>
      <c r="B626" s="377" t="s">
        <v>529</v>
      </c>
      <c r="C626" s="27" t="s">
        <v>2</v>
      </c>
      <c r="D626" s="27" t="s">
        <v>2532</v>
      </c>
      <c r="E626" s="27" t="s">
        <v>2433</v>
      </c>
      <c r="F626" s="165"/>
      <c r="G626" s="22"/>
      <c r="H626" s="22"/>
      <c r="I626" s="22" t="s">
        <v>3</v>
      </c>
      <c r="J626" s="90"/>
      <c r="K626" s="91"/>
      <c r="L626" s="91"/>
      <c r="M626" s="92"/>
      <c r="N626" s="92"/>
      <c r="O626" s="92"/>
      <c r="P626" s="92"/>
      <c r="Q626" s="92"/>
      <c r="R626" s="92"/>
      <c r="S626" s="92"/>
      <c r="T626" s="92"/>
      <c r="U626" s="92"/>
      <c r="V626" s="92"/>
      <c r="W626" s="92"/>
      <c r="X626" s="92"/>
      <c r="Y626" s="411"/>
      <c r="Z626" s="439"/>
      <c r="AA626" s="439"/>
      <c r="AB626" s="439"/>
    </row>
    <row r="627" spans="1:35">
      <c r="A627" s="145">
        <v>45697</v>
      </c>
      <c r="B627" s="376"/>
      <c r="C627" s="27">
        <v>230611</v>
      </c>
      <c r="D627" s="20" t="str">
        <f t="shared" ref="D627:D684" si="310">IF(C627="","",_xlfn.XLOOKUP(C627,社員№,派遣先,"",0,-1))</f>
        <v>高雄工業 岡山</v>
      </c>
      <c r="E627" s="20" t="str">
        <f t="shared" ref="E627:E684" si="311">IF(C627="","",_xlfn.XLOOKUP(C627,社員№,氏名,"",0,-1))</f>
        <v>NGUYEN DINH THANH</v>
      </c>
      <c r="F627" s="20" t="str">
        <f t="shared" ref="F627:F684" si="312">IF(C627="","",_xlfn.XLOOKUP(C627,社員№,カナ,"",0,-1))</f>
        <v>グエン　ディン　タイン</v>
      </c>
      <c r="G627" s="12"/>
      <c r="H627" s="12"/>
      <c r="I627" s="11">
        <v>32000</v>
      </c>
      <c r="J627" s="66"/>
      <c r="X627" s="130">
        <f>2386+3714+22857</f>
        <v>28957</v>
      </c>
      <c r="Y627" s="408">
        <v>32000</v>
      </c>
      <c r="Z627" s="437">
        <v>32000</v>
      </c>
      <c r="AA627" s="437">
        <v>32000</v>
      </c>
      <c r="AB627" s="437">
        <v>32000</v>
      </c>
      <c r="AC627" s="437">
        <v>32000</v>
      </c>
      <c r="AD627" s="437">
        <v>32000</v>
      </c>
      <c r="AE627" s="437">
        <v>32000</v>
      </c>
      <c r="AF627" s="437">
        <v>32000</v>
      </c>
      <c r="AG627" s="437">
        <v>32000</v>
      </c>
      <c r="AH627" s="437">
        <v>32000</v>
      </c>
      <c r="AI627" s="437">
        <v>32000</v>
      </c>
    </row>
    <row r="628" spans="1:35">
      <c r="A628" s="147"/>
      <c r="F628" s="160"/>
      <c r="G628" s="10"/>
      <c r="H628" s="10"/>
      <c r="I628" s="10"/>
      <c r="J628" s="74"/>
      <c r="K628" s="10"/>
      <c r="L628" s="10"/>
      <c r="M628" s="88"/>
      <c r="N628" s="88"/>
      <c r="O628" s="88"/>
      <c r="P628" s="88"/>
      <c r="Q628" s="88"/>
      <c r="R628" s="88"/>
      <c r="S628" s="88"/>
      <c r="T628" s="88"/>
      <c r="U628" s="88"/>
      <c r="V628" s="88"/>
      <c r="W628" s="88"/>
      <c r="X628" s="88"/>
      <c r="Y628" s="410"/>
      <c r="Z628" s="438"/>
      <c r="AA628" s="438"/>
      <c r="AB628" s="438"/>
    </row>
    <row r="629" spans="1:35">
      <c r="A629" s="147"/>
      <c r="C629" s="29"/>
      <c r="D629" s="29"/>
      <c r="E629" s="29" t="s">
        <v>2482</v>
      </c>
      <c r="F629" s="176"/>
      <c r="G629" s="210">
        <v>47000</v>
      </c>
      <c r="H629" s="210">
        <v>51900</v>
      </c>
      <c r="I629" s="210" t="s">
        <v>583</v>
      </c>
      <c r="J629" s="74"/>
      <c r="K629" s="10"/>
      <c r="L629" s="10"/>
      <c r="M629" s="88"/>
      <c r="N629" s="88"/>
      <c r="O629" s="88"/>
      <c r="P629" s="88"/>
      <c r="Q629" s="88"/>
      <c r="R629" s="88"/>
      <c r="S629" s="88"/>
      <c r="T629" s="88"/>
      <c r="U629" s="88"/>
      <c r="V629" s="88"/>
      <c r="W629" s="88"/>
      <c r="X629" s="88"/>
      <c r="Y629" s="410"/>
      <c r="Z629" s="438"/>
      <c r="AA629" s="438"/>
      <c r="AB629" s="438"/>
    </row>
    <row r="630" spans="1:35">
      <c r="A630" s="145" t="s">
        <v>1</v>
      </c>
      <c r="B630" s="376" t="s">
        <v>529</v>
      </c>
      <c r="C630" s="27" t="s">
        <v>2</v>
      </c>
      <c r="D630" s="27" t="s">
        <v>2532</v>
      </c>
      <c r="E630" s="27" t="s">
        <v>2433</v>
      </c>
      <c r="F630" s="165"/>
      <c r="G630" s="11"/>
      <c r="H630" s="11"/>
      <c r="I630" s="11"/>
      <c r="J630" s="65"/>
    </row>
    <row r="631" spans="1:35">
      <c r="A631" s="145">
        <v>45392</v>
      </c>
      <c r="B631" s="484">
        <v>45856</v>
      </c>
      <c r="C631" s="115">
        <v>240405</v>
      </c>
      <c r="D631" s="20" t="str">
        <f t="shared" si="310"/>
        <v>六甲電子</v>
      </c>
      <c r="E631" s="20" t="str">
        <f t="shared" si="311"/>
        <v>DONG LE XUAN HIEP</v>
      </c>
      <c r="F631" s="20" t="str">
        <f t="shared" si="312"/>
        <v>ドン　レ　スアン　ヒエップ</v>
      </c>
      <c r="G631" s="11"/>
      <c r="H631" s="11"/>
      <c r="I631" s="11">
        <v>17300</v>
      </c>
      <c r="J631" s="65"/>
      <c r="N631" s="118">
        <v>12110</v>
      </c>
      <c r="O631" s="133">
        <f>12110+17300</f>
        <v>29410</v>
      </c>
      <c r="P631" s="133">
        <v>17300</v>
      </c>
      <c r="Q631" s="133">
        <v>17300</v>
      </c>
      <c r="R631" s="133">
        <v>17300</v>
      </c>
      <c r="S631" s="133">
        <v>17300</v>
      </c>
      <c r="T631" s="133">
        <v>17300</v>
      </c>
      <c r="U631" s="133">
        <v>17300</v>
      </c>
      <c r="V631" s="133">
        <v>17300</v>
      </c>
      <c r="W631" s="133">
        <v>17300</v>
      </c>
      <c r="X631" s="133">
        <v>17300</v>
      </c>
      <c r="Y631" s="415">
        <v>17300</v>
      </c>
      <c r="Z631" s="444">
        <v>17300</v>
      </c>
      <c r="AA631" s="444">
        <v>17300</v>
      </c>
      <c r="AB631" s="444">
        <v>17300</v>
      </c>
      <c r="AC631" s="448">
        <v>37300</v>
      </c>
      <c r="AD631" s="446">
        <v>0</v>
      </c>
      <c r="AE631" s="444">
        <v>0</v>
      </c>
      <c r="AF631" s="444">
        <v>0</v>
      </c>
    </row>
    <row r="632" spans="1:35">
      <c r="A632" s="145">
        <v>45392</v>
      </c>
      <c r="B632" s="376"/>
      <c r="C632" s="116">
        <v>240406</v>
      </c>
      <c r="D632" s="20" t="str">
        <f t="shared" ref="D632:D634" si="313">IF(C632="","",_xlfn.XLOOKUP(C632,社員№,派遣先,"",0,-1))</f>
        <v>高雄工業 岡山</v>
      </c>
      <c r="E632" s="20" t="str">
        <f t="shared" ref="E632:E634" si="314">IF(C632="","",_xlfn.XLOOKUP(C632,社員№,氏名,"",0,-1))</f>
        <v>NGUYEN VAN LONG</v>
      </c>
      <c r="F632" s="20" t="str">
        <f t="shared" ref="F632:F634" si="315">IF(C632="","",_xlfn.XLOOKUP(C632,社員№,カナ,"",0,-1))</f>
        <v>グエン　ヴァン　ロン</v>
      </c>
      <c r="G632" s="11"/>
      <c r="H632" s="11"/>
      <c r="I632" s="11">
        <v>26000</v>
      </c>
      <c r="J632" s="11">
        <v>26000</v>
      </c>
      <c r="K632" s="11">
        <v>26000</v>
      </c>
      <c r="L632" s="11">
        <v>26000</v>
      </c>
      <c r="M632" s="11">
        <v>26000</v>
      </c>
      <c r="N632" s="11">
        <v>26000</v>
      </c>
      <c r="O632" s="11">
        <v>26000</v>
      </c>
      <c r="P632" s="11">
        <v>26000</v>
      </c>
      <c r="Q632" s="11">
        <v>26000</v>
      </c>
      <c r="R632" s="11">
        <v>26000</v>
      </c>
      <c r="S632" s="11">
        <v>26000</v>
      </c>
      <c r="T632" s="11">
        <v>26000</v>
      </c>
      <c r="U632" s="11">
        <v>26000</v>
      </c>
      <c r="V632" s="11">
        <v>26000</v>
      </c>
      <c r="W632" s="11">
        <v>26000</v>
      </c>
      <c r="X632" s="11">
        <v>26000</v>
      </c>
      <c r="Y632" s="11">
        <v>26000</v>
      </c>
      <c r="Z632" s="444">
        <v>17300</v>
      </c>
      <c r="AA632" s="444">
        <v>17300</v>
      </c>
      <c r="AB632" s="444">
        <v>17300</v>
      </c>
      <c r="AC632" s="446">
        <v>20950</v>
      </c>
      <c r="AD632" s="446">
        <v>26000</v>
      </c>
      <c r="AE632" s="444">
        <v>26000</v>
      </c>
      <c r="AF632" s="444">
        <v>26000</v>
      </c>
      <c r="AG632" s="444">
        <v>26000</v>
      </c>
      <c r="AH632" s="444">
        <v>26000</v>
      </c>
      <c r="AI632" s="444">
        <v>26000</v>
      </c>
    </row>
    <row r="633" spans="1:35">
      <c r="A633" s="145">
        <v>45392</v>
      </c>
      <c r="B633" s="484">
        <v>45947</v>
      </c>
      <c r="C633" s="115">
        <v>240407</v>
      </c>
      <c r="D633" s="20" t="str">
        <f t="shared" si="313"/>
        <v>高雄工業 岡山</v>
      </c>
      <c r="E633" s="20" t="str">
        <f t="shared" si="314"/>
        <v>VU CONG MINH</v>
      </c>
      <c r="F633" s="20" t="str">
        <f t="shared" si="315"/>
        <v>ヴ　コン　ミン</v>
      </c>
      <c r="G633" s="11"/>
      <c r="H633" s="11"/>
      <c r="I633" s="11">
        <v>26000</v>
      </c>
      <c r="J633" s="65"/>
      <c r="N633" s="118">
        <v>12110</v>
      </c>
      <c r="O633" s="82">
        <f t="shared" ref="O633" si="316">12110+17300</f>
        <v>29410</v>
      </c>
      <c r="P633" s="82">
        <v>17300</v>
      </c>
      <c r="Q633" s="82">
        <v>17300</v>
      </c>
      <c r="R633" s="82">
        <v>17300</v>
      </c>
      <c r="S633" s="82">
        <v>17300</v>
      </c>
      <c r="T633" s="82">
        <v>17300</v>
      </c>
      <c r="U633" s="82">
        <v>17300</v>
      </c>
      <c r="V633" s="82">
        <v>17300</v>
      </c>
      <c r="W633" s="82">
        <v>17300</v>
      </c>
      <c r="X633" s="82">
        <v>17300</v>
      </c>
      <c r="Y633" s="202">
        <v>17300</v>
      </c>
      <c r="Z633" s="446">
        <v>17300</v>
      </c>
      <c r="AA633" s="446">
        <v>17300</v>
      </c>
      <c r="AB633" s="446">
        <v>17300</v>
      </c>
      <c r="AC633" s="446">
        <v>20950</v>
      </c>
      <c r="AD633" s="446">
        <v>26000</v>
      </c>
      <c r="AE633" s="446">
        <v>26000</v>
      </c>
      <c r="AF633" s="446">
        <v>46000</v>
      </c>
    </row>
    <row r="634" spans="1:35">
      <c r="A634" s="145">
        <v>45966</v>
      </c>
      <c r="B634" s="484"/>
      <c r="C634" s="115">
        <v>251109</v>
      </c>
      <c r="D634" s="20" t="str">
        <f t="shared" si="313"/>
        <v>高雄工業 岡山</v>
      </c>
      <c r="E634" s="20" t="str">
        <f t="shared" si="314"/>
        <v>LE VAN TRONG</v>
      </c>
      <c r="F634" s="20" t="str">
        <f t="shared" si="315"/>
        <v>レー　ヴァン　チョン</v>
      </c>
      <c r="G634" s="11"/>
      <c r="H634" s="11"/>
      <c r="I634" s="11"/>
      <c r="J634" s="65"/>
      <c r="N634" s="118"/>
      <c r="O634" s="82"/>
      <c r="P634" s="82"/>
      <c r="Q634" s="82"/>
      <c r="R634" s="82"/>
      <c r="S634" s="82"/>
      <c r="T634" s="82"/>
      <c r="U634" s="82"/>
      <c r="V634" s="82"/>
      <c r="W634" s="82"/>
      <c r="X634" s="82"/>
      <c r="Y634" s="202"/>
      <c r="Z634" s="446"/>
      <c r="AA634" s="446"/>
      <c r="AB634" s="446"/>
      <c r="AC634" s="446"/>
      <c r="AD634" s="446"/>
      <c r="AE634" s="446"/>
      <c r="AF634" s="446"/>
      <c r="AG634" s="522">
        <v>22533</v>
      </c>
      <c r="AH634" s="508">
        <v>26000</v>
      </c>
      <c r="AI634" s="508">
        <v>26000</v>
      </c>
    </row>
    <row r="635" spans="1:35">
      <c r="C635" s="47"/>
      <c r="F635" s="160"/>
      <c r="G635" s="10"/>
      <c r="H635" s="10"/>
      <c r="I635" s="10"/>
      <c r="J635" s="74"/>
      <c r="K635" s="10"/>
      <c r="L635" s="10"/>
      <c r="M635" s="88"/>
      <c r="N635" s="88"/>
      <c r="O635" s="88"/>
      <c r="P635" s="88"/>
      <c r="Q635" s="88"/>
      <c r="R635" s="88"/>
      <c r="S635" s="88"/>
      <c r="T635" s="88"/>
      <c r="U635" s="88"/>
      <c r="V635" s="88"/>
      <c r="W635" s="88"/>
      <c r="X635" s="88"/>
      <c r="Y635" s="410"/>
      <c r="Z635" s="438"/>
      <c r="AA635" s="438"/>
      <c r="AB635" s="438"/>
      <c r="AF635" s="538"/>
      <c r="AG635" s="544"/>
    </row>
    <row r="636" spans="1:35">
      <c r="A636" s="147"/>
      <c r="C636" s="29"/>
      <c r="D636" s="29"/>
      <c r="E636" s="29" t="s">
        <v>2483</v>
      </c>
      <c r="F636" s="176"/>
      <c r="G636" s="210">
        <v>47000</v>
      </c>
      <c r="H636" s="210">
        <v>51900</v>
      </c>
      <c r="I636" s="210" t="s">
        <v>583</v>
      </c>
      <c r="J636" s="74"/>
      <c r="K636" s="10"/>
      <c r="L636" s="10"/>
      <c r="M636" s="88"/>
      <c r="N636" s="88"/>
      <c r="O636" s="88"/>
      <c r="P636" s="88"/>
      <c r="Q636" s="88"/>
      <c r="R636" s="88"/>
      <c r="S636" s="88"/>
      <c r="T636" s="88"/>
      <c r="U636" s="88"/>
      <c r="V636" s="88"/>
      <c r="W636" s="88"/>
      <c r="X636" s="88"/>
      <c r="Y636" s="410"/>
      <c r="Z636" s="438"/>
      <c r="AA636" s="438"/>
      <c r="AB636" s="438"/>
    </row>
    <row r="637" spans="1:35">
      <c r="A637" s="148" t="s">
        <v>1</v>
      </c>
      <c r="B637" s="377" t="s">
        <v>529</v>
      </c>
      <c r="C637" s="27" t="s">
        <v>2</v>
      </c>
      <c r="D637" s="27" t="s">
        <v>2532</v>
      </c>
      <c r="E637" s="27" t="s">
        <v>2433</v>
      </c>
      <c r="F637" s="165"/>
      <c r="G637" s="22"/>
      <c r="H637" s="22"/>
      <c r="I637" s="22" t="s">
        <v>3</v>
      </c>
      <c r="J637" s="90"/>
      <c r="K637" s="91"/>
      <c r="L637" s="91"/>
      <c r="M637" s="92"/>
      <c r="N637" s="92"/>
      <c r="O637" s="92"/>
      <c r="P637" s="92"/>
      <c r="Q637" s="92"/>
      <c r="R637" s="92"/>
      <c r="S637" s="92"/>
      <c r="T637" s="92"/>
      <c r="U637" s="92"/>
      <c r="V637" s="92"/>
      <c r="W637" s="92"/>
      <c r="X637" s="92"/>
      <c r="Y637" s="411"/>
      <c r="Z637" s="439"/>
      <c r="AA637" s="439"/>
      <c r="AB637" s="439"/>
    </row>
    <row r="638" spans="1:35">
      <c r="A638" s="145">
        <v>45689</v>
      </c>
      <c r="B638" s="376">
        <v>45900</v>
      </c>
      <c r="C638" s="27">
        <v>241009</v>
      </c>
      <c r="D638" s="20" t="str">
        <f t="shared" si="310"/>
        <v>高雄工業 岡山</v>
      </c>
      <c r="E638" s="20" t="str">
        <f t="shared" si="311"/>
        <v>LE MINH TUAN</v>
      </c>
      <c r="F638" s="20" t="str">
        <f t="shared" si="312"/>
        <v>レー　ミン　トゥアン</v>
      </c>
      <c r="G638" s="11"/>
      <c r="H638" s="11"/>
      <c r="I638" s="11">
        <v>26000</v>
      </c>
      <c r="J638" s="65"/>
      <c r="O638" s="81"/>
      <c r="P638" s="81"/>
      <c r="Q638" s="81"/>
      <c r="R638" s="81"/>
      <c r="S638" s="81"/>
      <c r="T638" s="81"/>
      <c r="U638" s="81"/>
      <c r="V638" s="81"/>
      <c r="W638" s="81"/>
      <c r="X638" s="81">
        <v>26000</v>
      </c>
      <c r="Y638" s="413">
        <v>26000</v>
      </c>
      <c r="Z638" s="441">
        <v>26000</v>
      </c>
      <c r="AA638" s="441">
        <v>26000</v>
      </c>
      <c r="AB638" s="441">
        <v>26000</v>
      </c>
      <c r="AC638" s="448">
        <v>46000</v>
      </c>
      <c r="AD638" s="487">
        <v>26000</v>
      </c>
      <c r="AE638" s="508">
        <v>0</v>
      </c>
      <c r="AF638" s="508">
        <v>0</v>
      </c>
    </row>
    <row r="639" spans="1:35">
      <c r="A639" s="145">
        <v>45689</v>
      </c>
      <c r="B639" s="376">
        <v>45869</v>
      </c>
      <c r="C639" s="123">
        <v>241005</v>
      </c>
      <c r="D639" s="20" t="str">
        <f t="shared" ref="D639:D641" si="317">IF(C639="","",_xlfn.XLOOKUP(C639,社員№,派遣先,"",0,-1))</f>
        <v>高雄工業 岡山</v>
      </c>
      <c r="E639" s="20" t="str">
        <f t="shared" ref="E639:E641" si="318">IF(C639="","",_xlfn.XLOOKUP(C639,社員№,氏名,"",0,-1))</f>
        <v>NGUYEN DINH BAC</v>
      </c>
      <c r="F639" s="20" t="str">
        <f t="shared" ref="F639:F641" si="319">IF(C639="","",_xlfn.XLOOKUP(C639,社員№,カナ,"",0,-1))</f>
        <v>グエン　ディン　バック</v>
      </c>
      <c r="G639" s="11"/>
      <c r="H639" s="11"/>
      <c r="I639" s="11">
        <v>26000</v>
      </c>
      <c r="J639" s="65"/>
      <c r="O639" s="81"/>
      <c r="P639" s="81"/>
      <c r="Q639" s="81"/>
      <c r="R639" s="81"/>
      <c r="S639" s="81"/>
      <c r="T639" s="81"/>
      <c r="U639" s="81"/>
      <c r="V639" s="81"/>
      <c r="W639" s="81"/>
      <c r="X639" s="81">
        <v>26000</v>
      </c>
      <c r="Y639" s="413">
        <v>26000</v>
      </c>
      <c r="Z639" s="441">
        <v>26000</v>
      </c>
      <c r="AA639" s="441">
        <v>26000</v>
      </c>
      <c r="AB639" s="441">
        <v>26000</v>
      </c>
      <c r="AC639" s="448">
        <v>26000</v>
      </c>
      <c r="AD639" s="448">
        <v>0</v>
      </c>
      <c r="AE639" s="508">
        <v>0</v>
      </c>
      <c r="AF639" s="508">
        <v>0</v>
      </c>
    </row>
    <row r="640" spans="1:35">
      <c r="A640" s="145">
        <v>45937</v>
      </c>
      <c r="B640" s="376"/>
      <c r="C640" s="123">
        <v>251005</v>
      </c>
      <c r="D640" s="20" t="str">
        <f t="shared" si="317"/>
        <v>高雄工業 岡山</v>
      </c>
      <c r="E640" s="20" t="str">
        <f t="shared" si="318"/>
        <v>TRINH TRUNG HIEU</v>
      </c>
      <c r="F640" s="20" t="str">
        <f t="shared" si="319"/>
        <v>チン　チュン　ヒエウ</v>
      </c>
      <c r="G640" s="11"/>
      <c r="H640" s="11"/>
      <c r="I640" s="11">
        <v>26000</v>
      </c>
      <c r="J640" s="65"/>
      <c r="O640" s="81"/>
      <c r="P640" s="81"/>
      <c r="Q640" s="81"/>
      <c r="R640" s="81"/>
      <c r="S640" s="81"/>
      <c r="T640" s="81"/>
      <c r="U640" s="81"/>
      <c r="V640" s="81"/>
      <c r="W640" s="81"/>
      <c r="X640" s="81"/>
      <c r="Y640" s="413"/>
      <c r="Z640" s="441"/>
      <c r="AA640" s="441"/>
      <c r="AB640" s="441"/>
      <c r="AC640" s="448"/>
      <c r="AD640" s="448"/>
      <c r="AE640" s="448"/>
      <c r="AF640" s="508">
        <v>20970</v>
      </c>
      <c r="AG640" s="522">
        <v>26000</v>
      </c>
      <c r="AH640" s="522">
        <v>26000</v>
      </c>
      <c r="AI640" s="522">
        <v>26000</v>
      </c>
    </row>
    <row r="641" spans="1:35">
      <c r="A641" s="145">
        <v>45937</v>
      </c>
      <c r="B641" s="376"/>
      <c r="C641" s="123">
        <v>251006</v>
      </c>
      <c r="D641" s="20" t="str">
        <f t="shared" si="317"/>
        <v>高雄工業 岡山</v>
      </c>
      <c r="E641" s="20" t="str">
        <f t="shared" si="318"/>
        <v>DUONG MINH TIEN</v>
      </c>
      <c r="F641" s="20" t="str">
        <f t="shared" si="319"/>
        <v>ズオン　ミン　ティエン</v>
      </c>
      <c r="G641" s="11"/>
      <c r="H641" s="11"/>
      <c r="I641" s="11">
        <v>26000</v>
      </c>
      <c r="J641" s="65"/>
      <c r="O641" s="81"/>
      <c r="P641" s="81"/>
      <c r="Q641" s="81"/>
      <c r="R641" s="81"/>
      <c r="S641" s="81"/>
      <c r="T641" s="81"/>
      <c r="U641" s="81"/>
      <c r="V641" s="81"/>
      <c r="W641" s="81"/>
      <c r="X641" s="81"/>
      <c r="Y641" s="413"/>
      <c r="Z641" s="441"/>
      <c r="AA641" s="441"/>
      <c r="AB641" s="441"/>
      <c r="AC641" s="448"/>
      <c r="AD641" s="448"/>
      <c r="AE641" s="448"/>
      <c r="AF641" s="508">
        <v>20970</v>
      </c>
      <c r="AG641" s="522">
        <v>26000</v>
      </c>
      <c r="AH641" s="522">
        <v>26000</v>
      </c>
      <c r="AI641" s="522">
        <v>26000</v>
      </c>
    </row>
    <row r="642" spans="1:35">
      <c r="C642" s="124"/>
      <c r="D642" s="21"/>
      <c r="E642" s="21"/>
      <c r="F642" s="397"/>
      <c r="G642" s="10"/>
      <c r="H642" s="10"/>
      <c r="I642" s="10"/>
      <c r="J642" s="74"/>
      <c r="K642" s="10"/>
      <c r="L642" s="10"/>
      <c r="M642" s="88"/>
      <c r="N642" s="88"/>
      <c r="O642" s="88"/>
      <c r="P642" s="88"/>
      <c r="Q642" s="88"/>
      <c r="R642" s="88"/>
      <c r="S642" s="88"/>
      <c r="T642" s="88"/>
      <c r="U642" s="88"/>
      <c r="V642" s="88"/>
      <c r="W642" s="88"/>
      <c r="X642" s="88"/>
      <c r="Y642" s="410"/>
      <c r="Z642" s="438"/>
      <c r="AA642" s="438"/>
      <c r="AB642" s="438"/>
      <c r="AF642" s="538"/>
    </row>
    <row r="643" spans="1:35">
      <c r="C643" s="26"/>
      <c r="D643" s="26"/>
      <c r="E643" s="26" t="s">
        <v>2484</v>
      </c>
      <c r="F643" s="178"/>
      <c r="G643" s="210">
        <v>47000</v>
      </c>
      <c r="H643" s="210">
        <v>52000</v>
      </c>
      <c r="I643" s="210" t="s">
        <v>583</v>
      </c>
      <c r="J643" s="90"/>
      <c r="K643" s="91"/>
      <c r="L643" s="91"/>
      <c r="M643" s="92"/>
      <c r="N643" s="92"/>
      <c r="O643" s="92"/>
      <c r="P643" s="92"/>
      <c r="Q643" s="92"/>
      <c r="R643" s="92"/>
      <c r="S643" s="92"/>
      <c r="T643" s="92"/>
      <c r="U643" s="92"/>
      <c r="V643" s="92"/>
      <c r="W643" s="92"/>
      <c r="X643" s="92"/>
      <c r="Y643" s="411"/>
      <c r="Z643" s="439"/>
      <c r="AA643" s="439"/>
      <c r="AB643" s="439"/>
    </row>
    <row r="644" spans="1:35">
      <c r="A644" s="145" t="s">
        <v>1</v>
      </c>
      <c r="B644" s="376" t="s">
        <v>529</v>
      </c>
      <c r="C644" s="27" t="s">
        <v>2</v>
      </c>
      <c r="D644" s="27" t="s">
        <v>2532</v>
      </c>
      <c r="E644" s="27" t="s">
        <v>2433</v>
      </c>
      <c r="F644" s="165"/>
      <c r="G644" s="11"/>
      <c r="H644" s="11"/>
      <c r="I644" s="11" t="s">
        <v>3</v>
      </c>
      <c r="J644" s="67" t="s">
        <v>231</v>
      </c>
      <c r="K644" s="78"/>
      <c r="L644" s="78"/>
      <c r="M644" s="87"/>
      <c r="N644" s="87"/>
      <c r="O644" s="132"/>
      <c r="P644" s="132"/>
      <c r="Q644" s="132"/>
      <c r="R644" s="132"/>
      <c r="S644" s="132"/>
      <c r="T644" s="132"/>
      <c r="U644" s="132"/>
      <c r="V644" s="132"/>
      <c r="W644" s="132"/>
      <c r="X644" s="132"/>
      <c r="Y644" s="412"/>
      <c r="Z644" s="440"/>
      <c r="AA644" s="440"/>
      <c r="AB644" s="440"/>
    </row>
    <row r="645" spans="1:35" hidden="1">
      <c r="A645" s="145">
        <v>44972</v>
      </c>
      <c r="B645" s="376">
        <v>45565</v>
      </c>
      <c r="C645" s="27">
        <v>230215</v>
      </c>
      <c r="D645" s="20" t="str">
        <f t="shared" si="310"/>
        <v>高雄工業 岡山</v>
      </c>
      <c r="E645" s="20" t="str">
        <f t="shared" si="311"/>
        <v>BUI THE DU</v>
      </c>
      <c r="F645" s="20" t="str">
        <f t="shared" si="312"/>
        <v>ブイ　テー　ズ</v>
      </c>
      <c r="G645" s="11"/>
      <c r="H645" s="11"/>
      <c r="I645" s="11">
        <v>26000</v>
      </c>
      <c r="J645" s="67">
        <v>19300</v>
      </c>
      <c r="K645" s="11">
        <v>26000</v>
      </c>
      <c r="L645" s="11">
        <v>26000</v>
      </c>
      <c r="M645" s="81">
        <v>26000</v>
      </c>
      <c r="N645" s="81">
        <v>26000</v>
      </c>
      <c r="O645" s="130">
        <v>26000</v>
      </c>
      <c r="P645" s="130">
        <v>26000</v>
      </c>
      <c r="Q645" s="130">
        <v>26000</v>
      </c>
      <c r="R645" s="130">
        <v>26000</v>
      </c>
      <c r="S645" s="130">
        <f>26000+20000</f>
        <v>46000</v>
      </c>
      <c r="T645" s="130">
        <v>0</v>
      </c>
      <c r="U645" s="130">
        <v>0</v>
      </c>
      <c r="V645" s="130">
        <v>0</v>
      </c>
      <c r="W645" s="130">
        <v>0</v>
      </c>
      <c r="X645" s="130">
        <v>0</v>
      </c>
      <c r="Y645" s="408">
        <v>0</v>
      </c>
      <c r="Z645" s="437">
        <v>0</v>
      </c>
      <c r="AA645" s="437">
        <v>0</v>
      </c>
      <c r="AB645" s="437">
        <v>0</v>
      </c>
    </row>
    <row r="646" spans="1:35" hidden="1">
      <c r="A646" s="145">
        <v>44972</v>
      </c>
      <c r="B646" s="376">
        <v>45677</v>
      </c>
      <c r="C646" s="27">
        <v>230216</v>
      </c>
      <c r="D646" s="20" t="str">
        <f t="shared" ref="D646:D650" si="320">IF(C646="","",_xlfn.XLOOKUP(C646,社員№,派遣先,"",0,-1))</f>
        <v>高雄工業 岡山</v>
      </c>
      <c r="E646" s="20" t="str">
        <f t="shared" ref="E646:E650" si="321">IF(C646="","",_xlfn.XLOOKUP(C646,社員№,氏名,"",0,-1))</f>
        <v>NGUYEN XUAN CUONG</v>
      </c>
      <c r="F646" s="20" t="str">
        <f t="shared" ref="F646:F650" si="322">IF(C646="","",_xlfn.XLOOKUP(C646,社員№,カナ,"",0,-1))</f>
        <v>グエン　スアン　クオン</v>
      </c>
      <c r="G646" s="11"/>
      <c r="H646" s="11"/>
      <c r="I646" s="11">
        <v>26000</v>
      </c>
      <c r="J646" s="65">
        <v>19300</v>
      </c>
      <c r="K646" s="11">
        <v>26000</v>
      </c>
      <c r="L646" s="11">
        <v>26000</v>
      </c>
      <c r="M646" s="81">
        <v>26000</v>
      </c>
      <c r="N646" s="81">
        <v>26000</v>
      </c>
      <c r="O646" s="81">
        <v>26000</v>
      </c>
      <c r="P646" s="81">
        <v>26000</v>
      </c>
      <c r="Q646" s="81">
        <v>26000</v>
      </c>
      <c r="R646" s="81">
        <v>26000</v>
      </c>
      <c r="S646" s="81">
        <v>26000</v>
      </c>
      <c r="T646" s="81">
        <v>26000</v>
      </c>
      <c r="U646" s="81">
        <v>26000</v>
      </c>
      <c r="V646" s="81">
        <v>26000</v>
      </c>
      <c r="W646" s="81">
        <f>26000+20000</f>
        <v>46000</v>
      </c>
      <c r="X646" s="81">
        <v>0</v>
      </c>
      <c r="Y646" s="413">
        <v>0</v>
      </c>
      <c r="Z646" s="441">
        <v>0</v>
      </c>
      <c r="AA646" s="441">
        <v>0</v>
      </c>
      <c r="AB646" s="441">
        <v>0</v>
      </c>
    </row>
    <row r="647" spans="1:35">
      <c r="A647" s="145">
        <v>45566</v>
      </c>
      <c r="B647" s="376">
        <v>45838</v>
      </c>
      <c r="C647" s="123">
        <v>240911</v>
      </c>
      <c r="D647" s="20" t="str">
        <f t="shared" si="320"/>
        <v>高雄工業 岡山</v>
      </c>
      <c r="E647" s="20" t="str">
        <f t="shared" si="321"/>
        <v>NGUYEN PHUONG NAM</v>
      </c>
      <c r="F647" s="20" t="str">
        <f t="shared" si="322"/>
        <v>グエン　フォン　ナム</v>
      </c>
      <c r="G647" s="11"/>
      <c r="H647" s="11" t="s">
        <v>965</v>
      </c>
      <c r="I647" s="11">
        <v>26000</v>
      </c>
      <c r="J647" s="65"/>
      <c r="O647" s="81"/>
      <c r="P647" s="81"/>
      <c r="Q647" s="81"/>
      <c r="R647" s="81"/>
      <c r="S647" s="81"/>
      <c r="T647" s="81">
        <v>26000</v>
      </c>
      <c r="U647" s="81">
        <v>26000</v>
      </c>
      <c r="V647" s="81">
        <v>26000</v>
      </c>
      <c r="W647" s="81">
        <v>26000</v>
      </c>
      <c r="X647" s="81">
        <v>26000</v>
      </c>
      <c r="Y647" s="413">
        <v>26000</v>
      </c>
      <c r="Z647" s="441">
        <v>26000</v>
      </c>
      <c r="AA647" s="441">
        <v>26000</v>
      </c>
      <c r="AB647" s="441">
        <v>26000</v>
      </c>
      <c r="AC647" s="448">
        <v>0</v>
      </c>
    </row>
    <row r="648" spans="1:35">
      <c r="A648" s="145">
        <v>45689</v>
      </c>
      <c r="B648" s="376">
        <v>45838</v>
      </c>
      <c r="C648" s="123">
        <v>240912</v>
      </c>
      <c r="D648" s="20" t="str">
        <f t="shared" si="320"/>
        <v>高雄工業 岡山</v>
      </c>
      <c r="E648" s="20" t="str">
        <f t="shared" si="321"/>
        <v>VU DINH HIEU</v>
      </c>
      <c r="F648" s="20" t="str">
        <f t="shared" si="322"/>
        <v>ヴー　ディン　ヒエウ</v>
      </c>
      <c r="G648" s="11"/>
      <c r="H648" s="11" t="s">
        <v>965</v>
      </c>
      <c r="I648" s="11">
        <v>26000</v>
      </c>
      <c r="J648" s="65"/>
      <c r="O648" s="81"/>
      <c r="P648" s="81"/>
      <c r="Q648" s="81"/>
      <c r="R648" s="81"/>
      <c r="S648" s="81"/>
      <c r="T648" s="81"/>
      <c r="U648" s="81"/>
      <c r="V648" s="81"/>
      <c r="W648" s="81"/>
      <c r="X648" s="81">
        <v>26000</v>
      </c>
      <c r="Y648" s="413">
        <v>26000</v>
      </c>
      <c r="Z648" s="441">
        <v>26000</v>
      </c>
      <c r="AA648" s="441">
        <v>26000</v>
      </c>
      <c r="AB648" s="441">
        <v>26000</v>
      </c>
      <c r="AC648" s="448">
        <v>0</v>
      </c>
    </row>
    <row r="649" spans="1:35">
      <c r="A649" s="145">
        <v>45839</v>
      </c>
      <c r="B649" s="376"/>
      <c r="C649" s="555" t="s">
        <v>2859</v>
      </c>
      <c r="D649" s="20" t="str">
        <f t="shared" si="320"/>
        <v>梱包</v>
      </c>
      <c r="E649" s="20" t="str">
        <f t="shared" si="321"/>
        <v>HUNG HIEU TRUNG KIEN</v>
      </c>
      <c r="F649" s="20" t="str">
        <f t="shared" si="322"/>
        <v>フン　ヒエウ　チュン　キエン</v>
      </c>
      <c r="G649" s="11"/>
      <c r="H649" s="11"/>
      <c r="I649" s="11">
        <v>26000</v>
      </c>
      <c r="J649" s="65"/>
      <c r="O649" s="81"/>
      <c r="P649" s="81"/>
      <c r="Q649" s="81"/>
      <c r="R649" s="81"/>
      <c r="S649" s="81"/>
      <c r="T649" s="81"/>
      <c r="U649" s="81"/>
      <c r="V649" s="81"/>
      <c r="W649" s="81"/>
      <c r="X649" s="81"/>
      <c r="Y649" s="413"/>
      <c r="Z649" s="441"/>
      <c r="AA649" s="441"/>
      <c r="AB649" s="441"/>
      <c r="AC649" s="448">
        <v>26000</v>
      </c>
      <c r="AD649" s="448">
        <v>26000</v>
      </c>
      <c r="AE649" s="508">
        <v>26000</v>
      </c>
      <c r="AF649" s="508">
        <v>26000</v>
      </c>
      <c r="AG649" s="508">
        <v>26000</v>
      </c>
      <c r="AH649" s="508">
        <v>26000</v>
      </c>
      <c r="AI649" s="508">
        <v>26000</v>
      </c>
    </row>
    <row r="650" spans="1:35">
      <c r="A650" s="145">
        <v>45839</v>
      </c>
      <c r="B650" s="376"/>
      <c r="C650" s="555" t="s">
        <v>2860</v>
      </c>
      <c r="D650" s="20" t="str">
        <f t="shared" si="320"/>
        <v>梱包</v>
      </c>
      <c r="E650" s="20" t="str">
        <f t="shared" si="321"/>
        <v>NGUYEN TRONG TINH</v>
      </c>
      <c r="F650" s="20" t="str">
        <f t="shared" si="322"/>
        <v>グエン　チョン　ティン</v>
      </c>
      <c r="G650" s="11"/>
      <c r="H650" s="11"/>
      <c r="I650" s="11">
        <v>26000</v>
      </c>
      <c r="J650" s="65"/>
      <c r="O650" s="81"/>
      <c r="P650" s="81"/>
      <c r="Q650" s="81"/>
      <c r="R650" s="81"/>
      <c r="S650" s="81"/>
      <c r="T650" s="81"/>
      <c r="U650" s="81"/>
      <c r="V650" s="81"/>
      <c r="W650" s="81"/>
      <c r="X650" s="81"/>
      <c r="Y650" s="413"/>
      <c r="Z650" s="441"/>
      <c r="AA650" s="441"/>
      <c r="AB650" s="441"/>
      <c r="AC650" s="448">
        <v>26000</v>
      </c>
      <c r="AD650" s="448">
        <v>26000</v>
      </c>
      <c r="AE650" s="508">
        <v>26000</v>
      </c>
      <c r="AF650" s="508">
        <v>26000</v>
      </c>
      <c r="AG650" s="508">
        <v>26000</v>
      </c>
      <c r="AH650" s="508">
        <v>26000</v>
      </c>
      <c r="AI650" s="508">
        <v>26000</v>
      </c>
    </row>
    <row r="651" spans="1:35">
      <c r="D651" s="18"/>
      <c r="G651" s="10"/>
      <c r="H651" s="10"/>
      <c r="I651" s="10"/>
      <c r="J651" s="74"/>
      <c r="K651" s="10"/>
      <c r="L651" s="10"/>
      <c r="M651" s="88"/>
      <c r="N651" s="88"/>
      <c r="O651" s="88"/>
      <c r="P651" s="88"/>
      <c r="Q651" s="88"/>
      <c r="R651" s="88"/>
      <c r="S651" s="88"/>
      <c r="T651" s="88"/>
      <c r="U651" s="88"/>
      <c r="V651" s="88"/>
      <c r="W651" s="88"/>
      <c r="X651" s="88"/>
      <c r="Y651" s="410"/>
      <c r="Z651" s="438"/>
      <c r="AA651" s="438"/>
      <c r="AB651" s="438"/>
    </row>
    <row r="652" spans="1:35">
      <c r="C652" s="29"/>
      <c r="D652" s="29"/>
      <c r="E652" s="29" t="s">
        <v>2485</v>
      </c>
      <c r="F652" s="176"/>
      <c r="G652" s="210">
        <v>47000</v>
      </c>
      <c r="H652" s="210">
        <v>52000</v>
      </c>
      <c r="I652" s="210" t="s">
        <v>583</v>
      </c>
      <c r="J652" s="74"/>
      <c r="K652" s="98"/>
      <c r="L652" s="98"/>
      <c r="M652" s="99"/>
      <c r="N652" s="88"/>
      <c r="O652" s="88"/>
      <c r="P652" s="88"/>
      <c r="Q652" s="88"/>
      <c r="R652" s="88"/>
      <c r="S652" s="88"/>
      <c r="T652" s="88"/>
      <c r="U652" s="88"/>
      <c r="V652" s="88"/>
      <c r="W652" s="88"/>
      <c r="X652" s="88"/>
      <c r="Y652" s="410"/>
      <c r="Z652" s="438"/>
      <c r="AA652" s="438"/>
      <c r="AB652" s="438"/>
    </row>
    <row r="653" spans="1:35">
      <c r="A653" s="145" t="s">
        <v>1</v>
      </c>
      <c r="B653" s="376" t="s">
        <v>529</v>
      </c>
      <c r="C653" s="27" t="s">
        <v>2</v>
      </c>
      <c r="D653" s="27" t="s">
        <v>2532</v>
      </c>
      <c r="E653" s="27" t="s">
        <v>2433</v>
      </c>
      <c r="F653" s="165"/>
      <c r="G653" s="3"/>
      <c r="H653" s="3"/>
      <c r="I653" s="3" t="s">
        <v>3</v>
      </c>
      <c r="J653" s="74"/>
      <c r="K653" s="98"/>
      <c r="L653" s="98"/>
      <c r="M653" s="99"/>
      <c r="N653" s="88"/>
      <c r="O653" s="88"/>
      <c r="P653" s="88"/>
      <c r="Q653" s="88"/>
      <c r="R653" s="88"/>
      <c r="S653" s="88"/>
      <c r="T653" s="88"/>
      <c r="U653" s="88"/>
      <c r="V653" s="88"/>
      <c r="W653" s="88"/>
      <c r="X653" s="88"/>
      <c r="Y653" s="410"/>
      <c r="Z653" s="438"/>
      <c r="AA653" s="438"/>
      <c r="AB653" s="438"/>
    </row>
    <row r="654" spans="1:35" hidden="1">
      <c r="A654" s="145">
        <v>45457</v>
      </c>
      <c r="B654" s="376">
        <v>45676</v>
      </c>
      <c r="C654" s="27">
        <v>220513</v>
      </c>
      <c r="D654" s="20" t="str">
        <f t="shared" si="310"/>
        <v>高雄工業 岡山</v>
      </c>
      <c r="E654" s="20" t="str">
        <f t="shared" si="311"/>
        <v>PHAN VAN THIEN</v>
      </c>
      <c r="F654" s="20" t="str">
        <f t="shared" si="312"/>
        <v>ファン　ヴァン　ティエン</v>
      </c>
      <c r="G654" s="11"/>
      <c r="H654" s="11"/>
      <c r="I654" s="11">
        <v>26000</v>
      </c>
      <c r="J654" s="65"/>
      <c r="O654" s="81"/>
      <c r="P654" s="81">
        <v>23433</v>
      </c>
      <c r="Q654" s="81">
        <v>26000</v>
      </c>
      <c r="R654" s="81">
        <v>26000</v>
      </c>
      <c r="S654" s="81">
        <v>26000</v>
      </c>
      <c r="T654" s="81">
        <v>26000</v>
      </c>
      <c r="U654" s="81">
        <v>26000</v>
      </c>
      <c r="V654" s="81">
        <v>26000</v>
      </c>
      <c r="W654" s="81">
        <f>26000+20000</f>
        <v>46000</v>
      </c>
      <c r="X654" s="81">
        <v>0</v>
      </c>
      <c r="Y654" s="413">
        <v>0</v>
      </c>
      <c r="Z654" s="441">
        <v>0</v>
      </c>
      <c r="AA654" s="441">
        <v>0</v>
      </c>
      <c r="AB654" s="441">
        <v>0</v>
      </c>
    </row>
    <row r="655" spans="1:35">
      <c r="A655" s="145">
        <v>45692</v>
      </c>
      <c r="B655" s="376"/>
      <c r="C655" s="27">
        <v>250209</v>
      </c>
      <c r="D655" s="20" t="str">
        <f t="shared" ref="D655:D656" si="323">IF(C655="","",_xlfn.XLOOKUP(C655,社員№,派遣先,"",0,-1))</f>
        <v>高雄工業 岡山</v>
      </c>
      <c r="E655" s="20" t="str">
        <f t="shared" ref="E655:E656" si="324">IF(C655="","",_xlfn.XLOOKUP(C655,社員№,氏名,"",0,-1))</f>
        <v>LE VIET DUY CUONG</v>
      </c>
      <c r="F655" s="20" t="str">
        <f t="shared" ref="F655:F656" si="325">IF(C655="","",_xlfn.XLOOKUP(C655,社員№,カナ,"",0,-1))</f>
        <v>レ　ヴィエット　ズイ　クオン</v>
      </c>
      <c r="G655" s="11"/>
      <c r="H655" s="11"/>
      <c r="I655" s="11">
        <v>26000</v>
      </c>
      <c r="J655" s="65"/>
      <c r="O655" s="81"/>
      <c r="P655" s="81"/>
      <c r="Q655" s="81"/>
      <c r="R655" s="81"/>
      <c r="S655" s="81"/>
      <c r="T655" s="81"/>
      <c r="U655" s="81"/>
      <c r="V655" s="81"/>
      <c r="W655" s="81"/>
      <c r="X655" s="81">
        <v>23214</v>
      </c>
      <c r="Y655" s="413">
        <v>26000</v>
      </c>
      <c r="Z655" s="441">
        <v>26000</v>
      </c>
      <c r="AA655" s="441">
        <v>26000</v>
      </c>
      <c r="AB655" s="441">
        <v>26000</v>
      </c>
      <c r="AC655" s="441">
        <v>26000</v>
      </c>
      <c r="AD655" s="441">
        <v>26000</v>
      </c>
      <c r="AE655" s="437">
        <v>26000</v>
      </c>
      <c r="AF655" s="437">
        <v>26000</v>
      </c>
      <c r="AG655" s="437">
        <v>26000</v>
      </c>
      <c r="AH655" s="437">
        <v>26000</v>
      </c>
      <c r="AI655" s="437">
        <v>26000</v>
      </c>
    </row>
    <row r="656" spans="1:35">
      <c r="A656" s="145">
        <v>45692</v>
      </c>
      <c r="B656" s="376"/>
      <c r="C656" s="27">
        <v>250210</v>
      </c>
      <c r="D656" s="20" t="str">
        <f t="shared" si="323"/>
        <v>高雄工業 岡山</v>
      </c>
      <c r="E656" s="20" t="str">
        <f t="shared" si="324"/>
        <v>LE MINH TRI</v>
      </c>
      <c r="F656" s="20" t="str">
        <f t="shared" si="325"/>
        <v>レ　ミン　チー</v>
      </c>
      <c r="G656" s="11"/>
      <c r="H656" s="11"/>
      <c r="I656" s="11">
        <v>26000</v>
      </c>
      <c r="J656" s="65"/>
      <c r="O656" s="81"/>
      <c r="P656" s="81"/>
      <c r="Q656" s="81"/>
      <c r="R656" s="81"/>
      <c r="S656" s="81"/>
      <c r="T656" s="81"/>
      <c r="U656" s="81"/>
      <c r="V656" s="81"/>
      <c r="W656" s="81"/>
      <c r="X656" s="81">
        <v>23214</v>
      </c>
      <c r="Y656" s="413">
        <v>26000</v>
      </c>
      <c r="Z656" s="441">
        <v>26000</v>
      </c>
      <c r="AA656" s="441">
        <v>26000</v>
      </c>
      <c r="AB656" s="441">
        <v>26000</v>
      </c>
      <c r="AC656" s="441">
        <v>26000</v>
      </c>
      <c r="AD656" s="441">
        <v>26000</v>
      </c>
      <c r="AE656" s="437">
        <v>26000</v>
      </c>
      <c r="AF656" s="437">
        <v>26000</v>
      </c>
      <c r="AG656" s="437">
        <v>26000</v>
      </c>
      <c r="AH656" s="437">
        <v>26000</v>
      </c>
      <c r="AI656" s="437">
        <v>26000</v>
      </c>
    </row>
    <row r="657" spans="1:35">
      <c r="F657" s="160"/>
      <c r="G657" s="10"/>
      <c r="H657" s="10"/>
      <c r="I657" s="10"/>
      <c r="J657" s="97"/>
      <c r="K657" s="98"/>
      <c r="L657" s="98"/>
      <c r="M657" s="99"/>
      <c r="N657" s="99"/>
      <c r="O657" s="99"/>
      <c r="P657" s="99"/>
      <c r="Q657" s="99"/>
      <c r="R657" s="99"/>
      <c r="S657" s="99"/>
      <c r="T657" s="99"/>
      <c r="U657" s="99"/>
      <c r="V657" s="99"/>
      <c r="W657" s="99"/>
      <c r="X657" s="99"/>
      <c r="Y657" s="416"/>
      <c r="Z657" s="445"/>
      <c r="AA657" s="445"/>
      <c r="AB657" s="445"/>
    </row>
    <row r="658" spans="1:35">
      <c r="A658" s="147"/>
      <c r="C658" s="29"/>
      <c r="D658" s="29"/>
      <c r="E658" s="29" t="s">
        <v>2486</v>
      </c>
      <c r="F658" s="176"/>
      <c r="G658" s="210">
        <v>47000</v>
      </c>
      <c r="H658" s="210">
        <v>52000</v>
      </c>
      <c r="I658" s="210" t="s">
        <v>583</v>
      </c>
      <c r="J658" s="74"/>
      <c r="K658" s="10"/>
      <c r="L658" s="10"/>
      <c r="M658" s="88"/>
      <c r="N658" s="88"/>
      <c r="O658" s="88"/>
      <c r="P658" s="88"/>
      <c r="Q658" s="88"/>
      <c r="R658" s="88"/>
      <c r="S658" s="88"/>
      <c r="T658" s="88"/>
      <c r="U658" s="88"/>
      <c r="V658" s="88"/>
      <c r="W658" s="88"/>
      <c r="X658" s="88"/>
      <c r="Y658" s="410"/>
      <c r="Z658" s="438"/>
      <c r="AA658" s="438"/>
      <c r="AB658" s="438"/>
    </row>
    <row r="659" spans="1:35">
      <c r="A659" s="145" t="s">
        <v>1</v>
      </c>
      <c r="B659" s="376" t="s">
        <v>529</v>
      </c>
      <c r="C659" s="27" t="s">
        <v>2</v>
      </c>
      <c r="D659" s="27" t="s">
        <v>2532</v>
      </c>
      <c r="E659" s="27" t="s">
        <v>2433</v>
      </c>
      <c r="F659" s="165"/>
      <c r="G659" s="22"/>
      <c r="H659" s="22"/>
      <c r="I659" s="22" t="s">
        <v>3</v>
      </c>
      <c r="J659" s="90"/>
      <c r="K659" s="91"/>
      <c r="L659" s="91"/>
      <c r="M659" s="92"/>
      <c r="N659" s="92"/>
      <c r="O659" s="92"/>
      <c r="P659" s="92"/>
      <c r="Q659" s="92"/>
      <c r="R659" s="92"/>
      <c r="S659" s="92"/>
      <c r="T659" s="92"/>
      <c r="U659" s="92"/>
      <c r="V659" s="92"/>
      <c r="W659" s="92"/>
      <c r="X659" s="92"/>
      <c r="Y659" s="411"/>
      <c r="Z659" s="439"/>
      <c r="AA659" s="439"/>
      <c r="AB659" s="439"/>
    </row>
    <row r="660" spans="1:35">
      <c r="A660" s="145">
        <v>44849</v>
      </c>
      <c r="B660" s="376">
        <v>45808</v>
      </c>
      <c r="C660" s="27">
        <v>220918</v>
      </c>
      <c r="D660" s="20" t="str">
        <f t="shared" si="310"/>
        <v>高雄工業 岡山</v>
      </c>
      <c r="E660" s="20" t="str">
        <f t="shared" si="311"/>
        <v>LE HOANG QUOC</v>
      </c>
      <c r="F660" s="20" t="str">
        <f t="shared" si="312"/>
        <v>レー　ホアン　クオック</v>
      </c>
      <c r="G660" s="11"/>
      <c r="H660" s="11"/>
      <c r="I660" s="11">
        <v>26000</v>
      </c>
      <c r="J660" s="65"/>
      <c r="K660" s="11">
        <v>26000</v>
      </c>
      <c r="L660" s="11">
        <v>26000</v>
      </c>
      <c r="M660" s="81">
        <v>26000</v>
      </c>
      <c r="N660" s="81">
        <v>26000</v>
      </c>
      <c r="O660" s="130">
        <v>26000</v>
      </c>
      <c r="P660" s="130">
        <v>26000</v>
      </c>
      <c r="Q660" s="130">
        <v>26000</v>
      </c>
      <c r="R660" s="130">
        <v>26000</v>
      </c>
      <c r="S660" s="130">
        <v>26000</v>
      </c>
      <c r="T660" s="130">
        <v>26000</v>
      </c>
      <c r="U660" s="130">
        <v>26000</v>
      </c>
      <c r="V660" s="130">
        <v>26000</v>
      </c>
      <c r="W660" s="130">
        <v>26000</v>
      </c>
      <c r="X660" s="130">
        <v>26000</v>
      </c>
      <c r="Y660" s="408">
        <v>26000</v>
      </c>
      <c r="Z660" s="437">
        <v>26000</v>
      </c>
      <c r="AA660" s="437">
        <f>26000+20000</f>
        <v>46000</v>
      </c>
      <c r="AB660" s="437">
        <v>0</v>
      </c>
      <c r="AC660" s="443">
        <v>0</v>
      </c>
    </row>
    <row r="661" spans="1:35">
      <c r="A661" s="145">
        <v>44849</v>
      </c>
      <c r="B661" s="376">
        <v>45808</v>
      </c>
      <c r="C661" s="27">
        <v>220919</v>
      </c>
      <c r="D661" s="20" t="str">
        <f t="shared" ref="D661:D663" si="326">IF(C661="","",_xlfn.XLOOKUP(C661,社員№,派遣先,"",0,-1))</f>
        <v>高雄工業 岡山</v>
      </c>
      <c r="E661" s="20" t="str">
        <f t="shared" ref="E661:E663" si="327">IF(C661="","",_xlfn.XLOOKUP(C661,社員№,氏名,"",0,-1))</f>
        <v>LE HOANG HUY</v>
      </c>
      <c r="F661" s="20" t="str">
        <f t="shared" ref="F661:F663" si="328">IF(C661="","",_xlfn.XLOOKUP(C661,社員№,カナ,"",0,-1))</f>
        <v>レー　ホアン　フイ</v>
      </c>
      <c r="G661" s="11"/>
      <c r="H661" s="11"/>
      <c r="I661" s="11">
        <v>26000</v>
      </c>
      <c r="J661" s="65"/>
      <c r="K661" s="11">
        <v>26000</v>
      </c>
      <c r="L661" s="11">
        <v>26000</v>
      </c>
      <c r="M661" s="81">
        <v>26000</v>
      </c>
      <c r="N661" s="81">
        <v>26000</v>
      </c>
      <c r="O661" s="81">
        <v>26000</v>
      </c>
      <c r="P661" s="81">
        <v>26000</v>
      </c>
      <c r="Q661" s="81">
        <v>26000</v>
      </c>
      <c r="R661" s="81">
        <v>26000</v>
      </c>
      <c r="S661" s="81">
        <v>26000</v>
      </c>
      <c r="T661" s="81">
        <v>26000</v>
      </c>
      <c r="U661" s="81">
        <v>26000</v>
      </c>
      <c r="V661" s="81">
        <v>26000</v>
      </c>
      <c r="W661" s="81">
        <v>26000</v>
      </c>
      <c r="X661" s="81">
        <v>26000</v>
      </c>
      <c r="Y661" s="413">
        <v>26000</v>
      </c>
      <c r="Z661" s="441">
        <v>26000</v>
      </c>
      <c r="AA661" s="441">
        <f>26000+20000</f>
        <v>46000</v>
      </c>
      <c r="AB661" s="441">
        <v>0</v>
      </c>
      <c r="AC661" s="443">
        <v>0</v>
      </c>
    </row>
    <row r="662" spans="1:35">
      <c r="A662" s="145" t="s">
        <v>2624</v>
      </c>
      <c r="B662" s="376"/>
      <c r="C662" s="555" t="s">
        <v>2861</v>
      </c>
      <c r="D662" s="20" t="str">
        <f t="shared" si="326"/>
        <v>梱包</v>
      </c>
      <c r="E662" s="20" t="str">
        <f t="shared" si="327"/>
        <v>NGUYEN QUOC DUY</v>
      </c>
      <c r="F662" s="20" t="str">
        <f t="shared" si="328"/>
        <v>グエン　クオック　ズイ</v>
      </c>
      <c r="G662" s="11"/>
      <c r="H662" s="11"/>
      <c r="I662" s="11">
        <v>26000</v>
      </c>
      <c r="J662" s="65"/>
      <c r="O662" s="81"/>
      <c r="P662" s="81"/>
      <c r="Q662" s="81"/>
      <c r="R662" s="81"/>
      <c r="S662" s="81"/>
      <c r="T662" s="81"/>
      <c r="U662" s="81"/>
      <c r="V662" s="81"/>
      <c r="W662" s="81"/>
      <c r="X662" s="81"/>
      <c r="Y662" s="413"/>
      <c r="Z662" s="441"/>
      <c r="AA662" s="441"/>
      <c r="AB662" s="441">
        <f>6348+26000</f>
        <v>32348</v>
      </c>
      <c r="AC662" s="448">
        <v>26000</v>
      </c>
      <c r="AD662" s="448">
        <v>26000</v>
      </c>
      <c r="AE662" s="508">
        <v>26000</v>
      </c>
      <c r="AF662" s="508">
        <v>26000</v>
      </c>
      <c r="AG662" s="508">
        <v>26000</v>
      </c>
      <c r="AH662" s="508">
        <v>26000</v>
      </c>
      <c r="AI662" s="508">
        <v>26000</v>
      </c>
    </row>
    <row r="663" spans="1:35">
      <c r="A663" s="145">
        <v>45809</v>
      </c>
      <c r="B663" s="376"/>
      <c r="C663" s="20">
        <v>250501</v>
      </c>
      <c r="D663" s="20" t="str">
        <f t="shared" si="326"/>
        <v>高雄工業 岡山</v>
      </c>
      <c r="E663" s="20" t="str">
        <f t="shared" si="327"/>
        <v>HUYNH TAN PHAT</v>
      </c>
      <c r="F663" s="20" t="str">
        <f t="shared" si="328"/>
        <v>フィン　タン　ファット</v>
      </c>
      <c r="G663" s="11"/>
      <c r="H663" s="11"/>
      <c r="I663" s="11">
        <v>26000</v>
      </c>
      <c r="J663" s="65"/>
      <c r="O663" s="81"/>
      <c r="P663" s="81"/>
      <c r="Q663" s="81"/>
      <c r="R663" s="81"/>
      <c r="S663" s="81"/>
      <c r="T663" s="81"/>
      <c r="U663" s="81"/>
      <c r="V663" s="81"/>
      <c r="W663" s="81"/>
      <c r="X663" s="81"/>
      <c r="Y663" s="413"/>
      <c r="Z663" s="441"/>
      <c r="AA663" s="441"/>
      <c r="AB663" s="441">
        <v>26000</v>
      </c>
      <c r="AC663" s="448">
        <v>26000</v>
      </c>
      <c r="AD663" s="448">
        <v>26000</v>
      </c>
      <c r="AE663" s="508">
        <v>26000</v>
      </c>
      <c r="AF663" s="508">
        <v>26000</v>
      </c>
      <c r="AG663" s="508">
        <v>26000</v>
      </c>
      <c r="AH663" s="508">
        <v>26000</v>
      </c>
      <c r="AI663" s="508">
        <v>26000</v>
      </c>
    </row>
    <row r="664" spans="1:35">
      <c r="C664" s="47"/>
      <c r="D664" s="47"/>
      <c r="F664" s="160"/>
      <c r="G664" s="10"/>
      <c r="H664" s="10"/>
      <c r="I664" s="10"/>
      <c r="J664" s="74"/>
      <c r="K664" s="10"/>
      <c r="L664" s="10"/>
      <c r="M664" s="88"/>
      <c r="N664" s="88"/>
      <c r="O664" s="88"/>
      <c r="P664" s="88"/>
      <c r="Q664" s="88"/>
      <c r="R664" s="88"/>
      <c r="S664" s="88"/>
      <c r="T664" s="88"/>
      <c r="U664" s="88"/>
      <c r="V664" s="88"/>
      <c r="W664" s="88"/>
      <c r="X664" s="88"/>
      <c r="Y664" s="410"/>
      <c r="Z664" s="438"/>
      <c r="AA664" s="438"/>
      <c r="AB664" s="438"/>
    </row>
    <row r="665" spans="1:35">
      <c r="C665" s="29"/>
      <c r="D665" s="29"/>
      <c r="E665" s="29" t="s">
        <v>2487</v>
      </c>
      <c r="F665" s="176"/>
      <c r="G665" s="210">
        <v>35000</v>
      </c>
      <c r="H665" s="210">
        <v>40000</v>
      </c>
      <c r="I665" s="210" t="s">
        <v>589</v>
      </c>
      <c r="J665" s="74"/>
      <c r="K665" s="10"/>
      <c r="L665" s="10"/>
      <c r="M665" s="88"/>
      <c r="N665" s="88"/>
      <c r="O665" s="88"/>
      <c r="P665" s="88"/>
      <c r="Q665" s="88"/>
      <c r="R665" s="88"/>
      <c r="S665" s="88"/>
      <c r="T665" s="88"/>
      <c r="U665" s="88"/>
      <c r="V665" s="88"/>
      <c r="W665" s="88"/>
      <c r="X665" s="88"/>
      <c r="Y665" s="410"/>
      <c r="Z665" s="438"/>
      <c r="AA665" s="438"/>
      <c r="AB665" s="438"/>
    </row>
    <row r="666" spans="1:35">
      <c r="A666" s="145" t="s">
        <v>1</v>
      </c>
      <c r="B666" s="376" t="s">
        <v>529</v>
      </c>
      <c r="C666" s="27" t="s">
        <v>2</v>
      </c>
      <c r="D666" s="27" t="s">
        <v>2532</v>
      </c>
      <c r="E666" s="27" t="s">
        <v>2433</v>
      </c>
      <c r="F666" s="165"/>
      <c r="G666" s="22"/>
      <c r="H666" s="22"/>
      <c r="I666" s="22" t="s">
        <v>3</v>
      </c>
      <c r="J666" s="90"/>
      <c r="K666" s="91"/>
      <c r="L666" s="91"/>
      <c r="M666" s="92"/>
      <c r="N666" s="92"/>
      <c r="O666" s="92"/>
      <c r="P666" s="92"/>
      <c r="Q666" s="92"/>
      <c r="R666" s="92"/>
      <c r="S666" s="92"/>
      <c r="T666" s="92"/>
      <c r="U666" s="92"/>
      <c r="V666" s="92"/>
      <c r="W666" s="92"/>
      <c r="X666" s="92"/>
      <c r="Y666" s="411"/>
      <c r="Z666" s="439"/>
      <c r="AA666" s="439"/>
      <c r="AB666" s="439"/>
    </row>
    <row r="667" spans="1:35">
      <c r="A667" s="145">
        <v>41548</v>
      </c>
      <c r="B667" s="376"/>
      <c r="C667" s="555" t="s">
        <v>2862</v>
      </c>
      <c r="D667" s="20" t="str">
        <f t="shared" si="310"/>
        <v>運搬</v>
      </c>
      <c r="E667" s="20" t="str">
        <f t="shared" si="311"/>
        <v>中村　勝次</v>
      </c>
      <c r="F667" s="20" t="str">
        <f t="shared" si="312"/>
        <v>ナカムラ　カツジ</v>
      </c>
      <c r="G667" s="11"/>
      <c r="H667" s="11"/>
      <c r="I667" s="11">
        <v>40000</v>
      </c>
      <c r="J667" s="65"/>
      <c r="K667" s="11">
        <v>40000</v>
      </c>
      <c r="L667" s="11">
        <v>40000</v>
      </c>
      <c r="M667" s="81">
        <v>40000</v>
      </c>
      <c r="N667" s="81">
        <v>40000</v>
      </c>
      <c r="O667" s="130">
        <v>40000</v>
      </c>
      <c r="P667" s="130">
        <v>40000</v>
      </c>
      <c r="Q667" s="130">
        <v>40000</v>
      </c>
      <c r="R667" s="130">
        <v>40000</v>
      </c>
      <c r="S667" s="130">
        <v>40000</v>
      </c>
      <c r="T667" s="130">
        <v>40000</v>
      </c>
      <c r="U667" s="130">
        <v>40000</v>
      </c>
      <c r="V667" s="130">
        <v>40000</v>
      </c>
      <c r="W667" s="130">
        <v>40000</v>
      </c>
      <c r="X667" s="130">
        <v>40000</v>
      </c>
      <c r="Y667" s="408">
        <v>40000</v>
      </c>
      <c r="Z667" s="437">
        <v>40000</v>
      </c>
      <c r="AA667" s="437">
        <v>40000</v>
      </c>
      <c r="AB667" s="437">
        <v>40000</v>
      </c>
      <c r="AC667" s="437">
        <v>40000</v>
      </c>
      <c r="AD667" s="437">
        <v>40000</v>
      </c>
      <c r="AE667" s="437">
        <v>40000</v>
      </c>
      <c r="AF667" s="437">
        <v>40000</v>
      </c>
      <c r="AG667" s="437">
        <v>40000</v>
      </c>
      <c r="AH667" s="437">
        <v>40000</v>
      </c>
      <c r="AI667" s="437">
        <v>40000</v>
      </c>
    </row>
    <row r="668" spans="1:35">
      <c r="A668" s="147"/>
      <c r="C668" s="125"/>
      <c r="D668" s="18"/>
      <c r="E668" s="18"/>
      <c r="F668" s="181"/>
      <c r="G668" s="6"/>
      <c r="H668" s="6"/>
      <c r="I668" s="6"/>
      <c r="J668" s="97"/>
      <c r="K668" s="98"/>
      <c r="L668" s="98"/>
      <c r="M668" s="99"/>
      <c r="N668" s="99"/>
      <c r="O668" s="99"/>
      <c r="P668" s="99"/>
      <c r="Q668" s="99"/>
      <c r="R668" s="99"/>
      <c r="S668" s="99"/>
      <c r="T668" s="99"/>
      <c r="U668" s="99"/>
      <c r="V668" s="99"/>
      <c r="W668" s="99"/>
      <c r="X668" s="99"/>
      <c r="Y668" s="416"/>
      <c r="Z668" s="445"/>
      <c r="AA668" s="445"/>
      <c r="AB668" s="445"/>
    </row>
    <row r="669" spans="1:35">
      <c r="C669" s="126"/>
      <c r="D669" s="30"/>
      <c r="E669" s="30" t="s">
        <v>2488</v>
      </c>
      <c r="F669" s="182"/>
      <c r="G669" s="214">
        <v>47000</v>
      </c>
      <c r="H669" s="214">
        <v>52000</v>
      </c>
      <c r="I669" s="214" t="s">
        <v>583</v>
      </c>
      <c r="J669" s="74"/>
      <c r="K669" s="10"/>
      <c r="L669" s="10"/>
      <c r="M669" s="88"/>
      <c r="N669" s="88"/>
      <c r="O669" s="88"/>
      <c r="P669" s="88"/>
      <c r="Q669" s="88"/>
      <c r="R669" s="88"/>
      <c r="S669" s="88"/>
      <c r="T669" s="88"/>
      <c r="U669" s="88"/>
      <c r="V669" s="88"/>
      <c r="W669" s="88"/>
      <c r="X669" s="88"/>
      <c r="Y669" s="410"/>
      <c r="Z669" s="438"/>
      <c r="AA669" s="438"/>
      <c r="AB669" s="438"/>
    </row>
    <row r="670" spans="1:35">
      <c r="A670" s="145" t="s">
        <v>1</v>
      </c>
      <c r="B670" s="376" t="s">
        <v>529</v>
      </c>
      <c r="C670" s="7" t="s">
        <v>2</v>
      </c>
      <c r="D670" s="9" t="s">
        <v>2532</v>
      </c>
      <c r="E670" s="9" t="s">
        <v>2433</v>
      </c>
      <c r="F670" s="180"/>
      <c r="G670" s="108"/>
      <c r="H670" s="108"/>
      <c r="I670" s="108" t="s">
        <v>3</v>
      </c>
      <c r="J670" s="90"/>
      <c r="K670" s="91"/>
      <c r="L670" s="91"/>
      <c r="M670" s="92"/>
      <c r="N670" s="92"/>
      <c r="O670" s="92"/>
      <c r="P670" s="92"/>
      <c r="Q670" s="92"/>
      <c r="R670" s="92"/>
      <c r="S670" s="92"/>
      <c r="T670" s="92"/>
      <c r="U670" s="92"/>
      <c r="V670" s="92"/>
      <c r="W670" s="92"/>
      <c r="X670" s="92"/>
      <c r="Y670" s="411"/>
      <c r="Z670" s="439"/>
      <c r="AA670" s="439"/>
      <c r="AB670" s="439"/>
    </row>
    <row r="671" spans="1:35">
      <c r="A671" s="145">
        <v>44770</v>
      </c>
      <c r="B671" s="376"/>
      <c r="C671" s="7">
        <v>220812</v>
      </c>
      <c r="D671" s="20" t="str">
        <f t="shared" si="310"/>
        <v>高雄工業 岡山</v>
      </c>
      <c r="E671" s="20" t="str">
        <f t="shared" si="311"/>
        <v>NGUYEN DINH DUC</v>
      </c>
      <c r="F671" s="20" t="str">
        <f t="shared" si="312"/>
        <v>グエン　ディン　ドゥック</v>
      </c>
      <c r="G671" s="12"/>
      <c r="H671" s="12"/>
      <c r="I671" s="12">
        <v>26000</v>
      </c>
      <c r="J671" s="66"/>
      <c r="K671" s="11">
        <v>26000</v>
      </c>
      <c r="L671" s="11">
        <v>26000</v>
      </c>
      <c r="M671" s="81">
        <v>26000</v>
      </c>
      <c r="N671" s="81">
        <v>26000</v>
      </c>
      <c r="O671" s="130">
        <v>26000</v>
      </c>
      <c r="P671" s="130">
        <v>26000</v>
      </c>
      <c r="Q671" s="130">
        <v>26000</v>
      </c>
      <c r="R671" s="130">
        <v>26000</v>
      </c>
      <c r="S671" s="130">
        <v>26000</v>
      </c>
      <c r="T671" s="130">
        <v>26000</v>
      </c>
      <c r="U671" s="130">
        <v>26000</v>
      </c>
      <c r="V671" s="130">
        <v>26000</v>
      </c>
      <c r="W671" s="130">
        <v>26000</v>
      </c>
      <c r="X671" s="130">
        <v>26000</v>
      </c>
      <c r="Y671" s="408">
        <v>26000</v>
      </c>
      <c r="Z671" s="437">
        <v>26000</v>
      </c>
      <c r="AA671" s="437">
        <v>26000</v>
      </c>
      <c r="AB671" s="437">
        <v>26000</v>
      </c>
      <c r="AC671" s="437">
        <v>26000</v>
      </c>
      <c r="AD671" s="437">
        <v>26000</v>
      </c>
      <c r="AE671" s="437">
        <v>26000</v>
      </c>
      <c r="AF671" s="437">
        <v>26000</v>
      </c>
      <c r="AG671" s="437">
        <v>26000</v>
      </c>
      <c r="AH671" s="437">
        <v>26000</v>
      </c>
      <c r="AI671" s="437">
        <v>26000</v>
      </c>
    </row>
    <row r="672" spans="1:35" hidden="1">
      <c r="A672" s="145">
        <v>45200</v>
      </c>
      <c r="B672" s="376">
        <v>45635</v>
      </c>
      <c r="C672" s="7">
        <v>230918</v>
      </c>
      <c r="D672" s="20" t="str">
        <f t="shared" ref="D672:D673" si="329">IF(C672="","",_xlfn.XLOOKUP(C672,社員№,派遣先,"",0,-1))</f>
        <v>高雄工業 岡山</v>
      </c>
      <c r="E672" s="20" t="str">
        <f t="shared" ref="E672:E673" si="330">IF(C672="","",_xlfn.XLOOKUP(C672,社員№,氏名,"",0,-1))</f>
        <v>NGO MANH TUAN</v>
      </c>
      <c r="F672" s="20" t="str">
        <f t="shared" ref="F672:F673" si="331">IF(C672="","",_xlfn.XLOOKUP(C672,社員№,カナ,"",0,-1))</f>
        <v>ゴー　マイン　トゥアン</v>
      </c>
      <c r="G672" s="12"/>
      <c r="H672" s="12"/>
      <c r="I672" s="12">
        <v>26000</v>
      </c>
      <c r="J672" s="66"/>
      <c r="K672" s="11">
        <v>26000</v>
      </c>
      <c r="L672" s="11">
        <v>26000</v>
      </c>
      <c r="M672" s="81">
        <v>26000</v>
      </c>
      <c r="N672" s="81">
        <v>26000</v>
      </c>
      <c r="O672" s="81">
        <v>26000</v>
      </c>
      <c r="P672" s="81">
        <v>26000</v>
      </c>
      <c r="Q672" s="81">
        <v>26000</v>
      </c>
      <c r="R672" s="81">
        <v>26000</v>
      </c>
      <c r="S672" s="81">
        <v>26000</v>
      </c>
      <c r="T672" s="81">
        <v>26000</v>
      </c>
      <c r="U672" s="81">
        <v>26000</v>
      </c>
      <c r="V672" s="81">
        <f>26000+20000</f>
        <v>46000</v>
      </c>
      <c r="W672" s="81">
        <v>0</v>
      </c>
      <c r="X672" s="81">
        <v>0</v>
      </c>
      <c r="Y672" s="413">
        <v>0</v>
      </c>
      <c r="Z672" s="441">
        <v>0</v>
      </c>
      <c r="AA672" s="441">
        <v>0</v>
      </c>
      <c r="AB672" s="441">
        <v>0</v>
      </c>
      <c r="AC672" s="437">
        <v>26000</v>
      </c>
      <c r="AD672" s="437">
        <v>26000</v>
      </c>
      <c r="AE672" s="437">
        <v>26000</v>
      </c>
      <c r="AF672" s="437">
        <v>26000</v>
      </c>
      <c r="AG672" s="437">
        <v>26000</v>
      </c>
      <c r="AH672" s="437">
        <v>26000</v>
      </c>
      <c r="AI672" s="437">
        <v>26000</v>
      </c>
    </row>
    <row r="673" spans="1:35">
      <c r="A673" s="145">
        <v>45643</v>
      </c>
      <c r="B673" s="376"/>
      <c r="C673" s="7">
        <v>241218</v>
      </c>
      <c r="D673" s="20" t="str">
        <f t="shared" si="329"/>
        <v>ユアサ工機 御津</v>
      </c>
      <c r="E673" s="20" t="str">
        <f t="shared" si="330"/>
        <v>DAM KIEN LAP</v>
      </c>
      <c r="F673" s="20" t="str">
        <f t="shared" si="331"/>
        <v>ダム　キエン　ラップ</v>
      </c>
      <c r="G673" s="12"/>
      <c r="H673" s="12"/>
      <c r="I673" s="12">
        <v>26000</v>
      </c>
      <c r="J673" s="66"/>
      <c r="O673" s="81"/>
      <c r="P673" s="81"/>
      <c r="Q673" s="81"/>
      <c r="R673" s="81"/>
      <c r="S673" s="81"/>
      <c r="T673" s="81"/>
      <c r="U673" s="81"/>
      <c r="V673" s="81">
        <v>12581</v>
      </c>
      <c r="W673" s="81">
        <v>12581</v>
      </c>
      <c r="X673" s="81">
        <v>12581</v>
      </c>
      <c r="Y673" s="413">
        <f>13419+13419+26000</f>
        <v>52838</v>
      </c>
      <c r="Z673" s="441">
        <v>26000</v>
      </c>
      <c r="AA673" s="441">
        <v>26000</v>
      </c>
      <c r="AB673" s="441">
        <v>26000</v>
      </c>
      <c r="AC673" s="437">
        <v>26000</v>
      </c>
      <c r="AD673" s="437">
        <v>26000</v>
      </c>
      <c r="AE673" s="437">
        <v>26000</v>
      </c>
      <c r="AF673" s="437">
        <v>26000</v>
      </c>
      <c r="AG673" s="437">
        <v>26000</v>
      </c>
      <c r="AH673" s="437">
        <v>26000</v>
      </c>
      <c r="AI673" s="437">
        <v>26000</v>
      </c>
    </row>
    <row r="674" spans="1:35">
      <c r="C674" s="125"/>
      <c r="D674" s="18"/>
      <c r="E674" s="18"/>
      <c r="F674" s="181"/>
      <c r="G674" s="6"/>
      <c r="H674" s="6"/>
      <c r="I674" s="6"/>
      <c r="J674" s="101"/>
      <c r="K674" s="10"/>
      <c r="L674" s="10"/>
      <c r="M674" s="88"/>
      <c r="N674" s="88"/>
      <c r="O674" s="88"/>
      <c r="P674" s="88"/>
      <c r="Q674" s="88"/>
      <c r="R674" s="88"/>
      <c r="S674" s="88"/>
      <c r="T674" s="88"/>
      <c r="U674" s="88"/>
      <c r="V674" s="88"/>
      <c r="W674" s="88"/>
      <c r="X674" s="88"/>
      <c r="Y674" s="410"/>
      <c r="Z674" s="438"/>
      <c r="AA674" s="438"/>
      <c r="AB674" s="438"/>
    </row>
    <row r="675" spans="1:35">
      <c r="C675" s="127"/>
      <c r="D675" s="50"/>
      <c r="E675" s="49" t="s">
        <v>2489</v>
      </c>
      <c r="F675" s="183"/>
      <c r="G675" s="214">
        <v>47000</v>
      </c>
      <c r="H675" s="214">
        <v>52000</v>
      </c>
      <c r="I675" s="214" t="s">
        <v>583</v>
      </c>
      <c r="J675" s="401" t="s">
        <v>980</v>
      </c>
      <c r="K675" s="91"/>
      <c r="L675" s="91"/>
      <c r="M675" s="92"/>
      <c r="N675" s="92"/>
      <c r="O675" s="92"/>
      <c r="P675" s="92"/>
      <c r="Q675" s="92"/>
      <c r="R675" s="92"/>
      <c r="S675" s="92"/>
      <c r="T675" s="92"/>
      <c r="U675" s="92"/>
      <c r="V675" s="92"/>
      <c r="W675" s="92"/>
      <c r="X675" s="92"/>
      <c r="Y675" s="411"/>
      <c r="Z675" s="439"/>
      <c r="AA675" s="439"/>
      <c r="AB675" s="439"/>
    </row>
    <row r="676" spans="1:35">
      <c r="A676" s="150" t="s">
        <v>1</v>
      </c>
      <c r="B676" s="384" t="s">
        <v>529</v>
      </c>
      <c r="C676" s="273" t="s">
        <v>2</v>
      </c>
      <c r="D676" s="402" t="s">
        <v>2532</v>
      </c>
      <c r="E676" s="402" t="s">
        <v>2433</v>
      </c>
      <c r="F676" s="403"/>
      <c r="G676" s="4"/>
      <c r="H676" s="12"/>
      <c r="I676" s="12" t="s">
        <v>3</v>
      </c>
      <c r="J676" s="66" t="s">
        <v>318</v>
      </c>
    </row>
    <row r="677" spans="1:35" hidden="1">
      <c r="A677" s="150">
        <v>44972</v>
      </c>
      <c r="B677" s="384">
        <v>45762</v>
      </c>
      <c r="C677" s="273">
        <v>230212</v>
      </c>
      <c r="D677" s="20" t="str">
        <f t="shared" si="310"/>
        <v>高雄工業 岡山</v>
      </c>
      <c r="E677" s="20" t="str">
        <f t="shared" si="311"/>
        <v>LUU VAN TUNG</v>
      </c>
      <c r="F677" s="20" t="str">
        <f t="shared" si="312"/>
        <v>リュ　ヴァン　トゥン</v>
      </c>
      <c r="G677" s="4"/>
      <c r="H677" s="12"/>
      <c r="I677" s="12">
        <v>17300</v>
      </c>
      <c r="J677" s="66">
        <v>26000</v>
      </c>
      <c r="K677" s="11">
        <v>26000</v>
      </c>
      <c r="L677" s="11">
        <v>26000</v>
      </c>
      <c r="M677" s="81">
        <v>26000</v>
      </c>
      <c r="N677" s="81">
        <v>26000</v>
      </c>
      <c r="O677" s="130">
        <v>26000</v>
      </c>
      <c r="P677" s="130">
        <v>26000</v>
      </c>
      <c r="Q677" s="130">
        <v>26000</v>
      </c>
      <c r="R677" s="130">
        <v>26000</v>
      </c>
      <c r="S677" s="130">
        <v>26000</v>
      </c>
      <c r="T677" s="130">
        <v>26000</v>
      </c>
      <c r="U677" s="130">
        <v>26000</v>
      </c>
      <c r="V677" s="130">
        <v>26000</v>
      </c>
      <c r="W677" s="130">
        <v>26000</v>
      </c>
      <c r="X677" s="130">
        <v>26000</v>
      </c>
      <c r="Y677" s="408">
        <f>26000</f>
        <v>26000</v>
      </c>
      <c r="Z677" s="452">
        <f>26000+20000</f>
        <v>46000</v>
      </c>
      <c r="AA677" s="431">
        <v>0</v>
      </c>
      <c r="AB677" s="431">
        <v>0</v>
      </c>
      <c r="AC677" s="477">
        <v>0</v>
      </c>
      <c r="AD677" s="373">
        <v>0</v>
      </c>
    </row>
    <row r="678" spans="1:35" hidden="1">
      <c r="A678" s="150">
        <v>44972</v>
      </c>
      <c r="B678" s="384">
        <v>45688</v>
      </c>
      <c r="C678" s="273">
        <v>230214</v>
      </c>
      <c r="D678" s="20" t="str">
        <f t="shared" ref="D678:D680" si="332">IF(C678="","",_xlfn.XLOOKUP(C678,社員№,派遣先,"",0,-1))</f>
        <v>高雄工業 岡山</v>
      </c>
      <c r="E678" s="20" t="str">
        <f t="shared" ref="E678:E680" si="333">IF(C678="","",_xlfn.XLOOKUP(C678,社員№,氏名,"",0,-1))</f>
        <v>VU DINH QUANG</v>
      </c>
      <c r="F678" s="20" t="str">
        <f t="shared" ref="F678:F680" si="334">IF(C678="","",_xlfn.XLOOKUP(C678,社員№,カナ,"",0,-1))</f>
        <v>ヴー　ディン　クアン</v>
      </c>
      <c r="G678" s="4"/>
      <c r="H678" s="12"/>
      <c r="I678" s="12">
        <v>17300</v>
      </c>
      <c r="J678" s="66">
        <v>26000</v>
      </c>
      <c r="K678" s="11">
        <v>26000</v>
      </c>
      <c r="L678" s="11">
        <v>26000</v>
      </c>
      <c r="M678" s="81">
        <v>26000</v>
      </c>
      <c r="N678" s="81">
        <v>26000</v>
      </c>
      <c r="O678" s="81">
        <v>26000</v>
      </c>
      <c r="P678" s="81">
        <v>26000</v>
      </c>
      <c r="Q678" s="81">
        <v>26000</v>
      </c>
      <c r="R678" s="81">
        <v>26000</v>
      </c>
      <c r="S678" s="81">
        <v>26000</v>
      </c>
      <c r="T678" s="81">
        <v>26000</v>
      </c>
      <c r="U678" s="81">
        <v>26000</v>
      </c>
      <c r="V678" s="81">
        <v>26000</v>
      </c>
      <c r="W678" s="81">
        <v>26000</v>
      </c>
      <c r="X678" s="81">
        <v>20000</v>
      </c>
      <c r="Y678" s="413">
        <v>0</v>
      </c>
      <c r="Z678" s="441">
        <v>0</v>
      </c>
      <c r="AA678" s="441">
        <v>0</v>
      </c>
      <c r="AB678" s="441">
        <v>0</v>
      </c>
      <c r="AC678" s="476"/>
    </row>
    <row r="679" spans="1:35">
      <c r="A679" s="150">
        <v>45697</v>
      </c>
      <c r="B679" s="384"/>
      <c r="C679" s="20">
        <v>250105</v>
      </c>
      <c r="D679" s="20" t="str">
        <f t="shared" si="332"/>
        <v>高雄工業 岡山</v>
      </c>
      <c r="E679" s="20" t="str">
        <f t="shared" si="333"/>
        <v>BUI TIEN DAT</v>
      </c>
      <c r="F679" s="20" t="str">
        <f t="shared" si="334"/>
        <v>ブイ　テイエン　ダット</v>
      </c>
      <c r="G679" s="4"/>
      <c r="H679" s="12"/>
      <c r="I679" s="12">
        <v>26000</v>
      </c>
      <c r="J679" s="66"/>
      <c r="O679" s="81"/>
      <c r="P679" s="81"/>
      <c r="Q679" s="81"/>
      <c r="R679" s="81"/>
      <c r="S679" s="81"/>
      <c r="T679" s="81"/>
      <c r="U679" s="81"/>
      <c r="V679" s="81"/>
      <c r="W679" s="81"/>
      <c r="X679" s="81">
        <f>5046+17643</f>
        <v>22689</v>
      </c>
      <c r="Y679" s="413">
        <v>26000</v>
      </c>
      <c r="Z679" s="441">
        <v>26000</v>
      </c>
      <c r="AA679" s="441">
        <v>26000</v>
      </c>
      <c r="AB679" s="441">
        <v>26000</v>
      </c>
      <c r="AC679" s="441">
        <v>26000</v>
      </c>
      <c r="AD679" s="441">
        <v>26000</v>
      </c>
      <c r="AE679" s="437">
        <v>26000</v>
      </c>
      <c r="AF679" s="437">
        <v>26000</v>
      </c>
      <c r="AG679" s="437">
        <v>26000</v>
      </c>
      <c r="AH679" s="437">
        <v>26000</v>
      </c>
      <c r="AI679" s="437">
        <v>26000</v>
      </c>
    </row>
    <row r="680" spans="1:35">
      <c r="A680" s="145">
        <v>45766</v>
      </c>
      <c r="B680" s="376"/>
      <c r="C680" s="20">
        <v>250410</v>
      </c>
      <c r="D680" s="20" t="str">
        <f t="shared" si="332"/>
        <v>ユアサ工機 御津</v>
      </c>
      <c r="E680" s="20" t="str">
        <f t="shared" si="333"/>
        <v>LE MINH TIEN</v>
      </c>
      <c r="F680" s="20" t="str">
        <f t="shared" si="334"/>
        <v>レ　ミン　テイエン</v>
      </c>
      <c r="G680" s="11"/>
      <c r="H680" s="11"/>
      <c r="I680" s="11">
        <v>26000</v>
      </c>
      <c r="J680" s="66"/>
      <c r="O680" s="81"/>
      <c r="P680" s="81"/>
      <c r="Q680" s="81"/>
      <c r="R680" s="81"/>
      <c r="S680" s="81"/>
      <c r="T680" s="81"/>
      <c r="U680" s="81"/>
      <c r="V680" s="81"/>
      <c r="W680" s="81"/>
      <c r="X680" s="81"/>
      <c r="Y680" s="413"/>
      <c r="Z680" s="441">
        <f>4767+9533</f>
        <v>14300</v>
      </c>
      <c r="AA680" s="441">
        <v>26000</v>
      </c>
      <c r="AB680" s="441">
        <v>26000</v>
      </c>
      <c r="AC680" s="441">
        <v>26000</v>
      </c>
      <c r="AD680" s="441">
        <v>26000</v>
      </c>
      <c r="AE680" s="437">
        <v>26000</v>
      </c>
      <c r="AF680" s="437">
        <v>26000</v>
      </c>
      <c r="AG680" s="437">
        <v>26000</v>
      </c>
      <c r="AH680" s="437">
        <v>26000</v>
      </c>
      <c r="AI680" s="437">
        <v>26000</v>
      </c>
    </row>
    <row r="681" spans="1:35">
      <c r="C681" s="47"/>
      <c r="F681" s="160"/>
      <c r="G681" s="10"/>
      <c r="H681" s="10"/>
      <c r="I681" s="10"/>
      <c r="J681" s="101"/>
      <c r="K681" s="10"/>
      <c r="L681" s="10"/>
      <c r="M681" s="88"/>
      <c r="N681" s="88"/>
      <c r="O681" s="88"/>
      <c r="P681" s="88"/>
      <c r="Q681" s="88"/>
      <c r="R681" s="88"/>
      <c r="S681" s="88"/>
      <c r="T681" s="88"/>
      <c r="U681" s="88"/>
      <c r="V681" s="88"/>
      <c r="W681" s="88"/>
      <c r="X681" s="88"/>
      <c r="Y681" s="410"/>
      <c r="Z681" s="438"/>
      <c r="AA681" s="438"/>
      <c r="AB681" s="438"/>
    </row>
    <row r="682" spans="1:35">
      <c r="A682" s="147"/>
      <c r="C682" s="126"/>
      <c r="D682" s="30"/>
      <c r="E682" s="30" t="s">
        <v>2490</v>
      </c>
      <c r="F682" s="182"/>
      <c r="G682" s="210">
        <v>37000</v>
      </c>
      <c r="H682" s="210">
        <v>37000</v>
      </c>
      <c r="I682" s="210" t="s">
        <v>582</v>
      </c>
      <c r="J682" s="74"/>
      <c r="K682" s="10"/>
      <c r="L682" s="10"/>
      <c r="M682" s="88"/>
      <c r="N682" s="88"/>
      <c r="O682" s="88"/>
      <c r="P682" s="88"/>
      <c r="Q682" s="88"/>
      <c r="R682" s="88"/>
      <c r="S682" s="88"/>
      <c r="T682" s="88"/>
      <c r="U682" s="88"/>
      <c r="V682" s="88"/>
      <c r="W682" s="88"/>
      <c r="X682" s="88"/>
      <c r="Y682" s="410"/>
      <c r="Z682" s="438"/>
      <c r="AA682" s="438"/>
      <c r="AB682" s="438"/>
    </row>
    <row r="683" spans="1:35">
      <c r="A683" s="145" t="s">
        <v>1</v>
      </c>
      <c r="B683" s="376" t="s">
        <v>529</v>
      </c>
      <c r="C683" s="7" t="s">
        <v>2</v>
      </c>
      <c r="D683" s="9" t="s">
        <v>2532</v>
      </c>
      <c r="E683" s="9" t="s">
        <v>2433</v>
      </c>
      <c r="F683" s="180"/>
      <c r="G683" s="22"/>
      <c r="H683" s="22"/>
      <c r="I683" s="22" t="s">
        <v>3</v>
      </c>
      <c r="J683" s="90"/>
      <c r="K683" s="91"/>
      <c r="L683" s="91"/>
      <c r="M683" s="92"/>
      <c r="N683" s="92"/>
      <c r="O683" s="92"/>
      <c r="P683" s="92"/>
      <c r="Q683" s="92"/>
      <c r="R683" s="92"/>
      <c r="S683" s="92"/>
      <c r="T683" s="92"/>
      <c r="U683" s="92"/>
      <c r="V683" s="92"/>
      <c r="W683" s="92"/>
      <c r="X683" s="92"/>
      <c r="Y683" s="411"/>
      <c r="Z683" s="439"/>
      <c r="AA683" s="439"/>
      <c r="AB683" s="439"/>
    </row>
    <row r="684" spans="1:35">
      <c r="A684" s="145">
        <v>45318</v>
      </c>
      <c r="B684" s="376">
        <v>46053</v>
      </c>
      <c r="C684" s="7">
        <v>230706</v>
      </c>
      <c r="D684" s="20" t="str">
        <f t="shared" si="310"/>
        <v>高雄工業 岡山</v>
      </c>
      <c r="E684" s="20" t="str">
        <f t="shared" si="311"/>
        <v>HO THI NHUNG</v>
      </c>
      <c r="F684" s="20" t="str">
        <f t="shared" si="312"/>
        <v>ホー　ティ　ニュン</v>
      </c>
      <c r="G684" s="11"/>
      <c r="H684" s="11"/>
      <c r="I684" s="11">
        <v>38000</v>
      </c>
      <c r="J684" s="65"/>
      <c r="K684" s="11">
        <v>6129</v>
      </c>
      <c r="L684" s="11">
        <v>38000</v>
      </c>
      <c r="M684" s="81">
        <v>38000</v>
      </c>
      <c r="N684" s="81">
        <v>38000</v>
      </c>
      <c r="O684" s="130">
        <v>38000</v>
      </c>
      <c r="P684" s="130">
        <v>38000</v>
      </c>
      <c r="Q684" s="130">
        <v>38000</v>
      </c>
      <c r="R684" s="130">
        <v>38000</v>
      </c>
      <c r="S684" s="130">
        <v>38000</v>
      </c>
      <c r="T684" s="130">
        <v>38000</v>
      </c>
      <c r="U684" s="130">
        <v>38000</v>
      </c>
      <c r="V684" s="130">
        <v>38000</v>
      </c>
      <c r="W684" s="130">
        <v>38000</v>
      </c>
      <c r="X684" s="130">
        <v>38000</v>
      </c>
      <c r="Y684" s="408">
        <v>38000</v>
      </c>
      <c r="Z684" s="437">
        <v>38000</v>
      </c>
      <c r="AA684" s="437">
        <v>38000</v>
      </c>
      <c r="AB684" s="437">
        <v>38000</v>
      </c>
      <c r="AC684" s="437">
        <v>38000</v>
      </c>
      <c r="AD684" s="437">
        <v>38000</v>
      </c>
      <c r="AE684" s="437">
        <v>38000</v>
      </c>
      <c r="AF684" s="437">
        <v>38000</v>
      </c>
      <c r="AG684" s="437">
        <v>38000</v>
      </c>
      <c r="AH684" s="437">
        <v>38000</v>
      </c>
      <c r="AI684" s="448">
        <v>58000</v>
      </c>
    </row>
    <row r="685" spans="1:35">
      <c r="C685" s="125"/>
      <c r="D685" s="18"/>
      <c r="E685" s="18"/>
      <c r="F685" s="181"/>
      <c r="G685" s="10"/>
      <c r="H685" s="10"/>
      <c r="I685" s="10"/>
      <c r="J685" s="97"/>
      <c r="K685" s="98"/>
      <c r="L685" s="98"/>
      <c r="M685" s="99"/>
      <c r="N685" s="99"/>
      <c r="O685" s="99"/>
      <c r="P685" s="99"/>
      <c r="Q685" s="99"/>
      <c r="R685" s="99"/>
      <c r="S685" s="99"/>
      <c r="T685" s="99"/>
      <c r="U685" s="99"/>
      <c r="V685" s="99"/>
      <c r="W685" s="99"/>
      <c r="X685" s="99"/>
      <c r="Y685" s="416"/>
      <c r="Z685" s="445"/>
      <c r="AA685" s="445"/>
      <c r="AB685" s="445"/>
    </row>
    <row r="686" spans="1:35">
      <c r="A686" s="147"/>
      <c r="C686" s="126"/>
      <c r="D686" s="30"/>
      <c r="E686" s="30" t="s">
        <v>2491</v>
      </c>
      <c r="F686" s="182"/>
      <c r="G686" s="210">
        <v>30000</v>
      </c>
      <c r="H686" s="210">
        <v>33000</v>
      </c>
      <c r="I686" s="210" t="s">
        <v>582</v>
      </c>
      <c r="J686" s="97"/>
      <c r="K686" s="98"/>
      <c r="L686" s="98"/>
      <c r="M686" s="99"/>
      <c r="N686" s="99"/>
      <c r="O686" s="99"/>
      <c r="P686" s="99"/>
      <c r="Q686" s="99"/>
      <c r="R686" s="99"/>
      <c r="S686" s="99"/>
      <c r="T686" s="99"/>
      <c r="U686" s="99"/>
      <c r="V686" s="99"/>
      <c r="W686" s="99"/>
      <c r="X686" s="99"/>
      <c r="Y686" s="416"/>
      <c r="Z686" s="445"/>
      <c r="AA686" s="445"/>
      <c r="AB686" s="445"/>
    </row>
    <row r="687" spans="1:35">
      <c r="A687" s="145" t="s">
        <v>1</v>
      </c>
      <c r="B687" s="376" t="s">
        <v>529</v>
      </c>
      <c r="C687" s="7" t="s">
        <v>2</v>
      </c>
      <c r="D687" s="9" t="s">
        <v>2532</v>
      </c>
      <c r="E687" s="9" t="s">
        <v>2433</v>
      </c>
      <c r="F687" s="180"/>
      <c r="G687" s="11"/>
      <c r="H687" s="11"/>
      <c r="I687" s="11" t="s">
        <v>3</v>
      </c>
      <c r="J687" s="65"/>
      <c r="O687" s="81"/>
      <c r="P687" s="81"/>
      <c r="Q687" s="81"/>
      <c r="R687" s="81"/>
      <c r="S687" s="81"/>
      <c r="T687" s="81"/>
      <c r="U687" s="81"/>
      <c r="V687" s="81"/>
      <c r="W687" s="81"/>
      <c r="X687" s="81"/>
      <c r="Y687" s="413"/>
      <c r="Z687" s="441"/>
      <c r="AA687" s="441"/>
      <c r="AB687" s="441"/>
    </row>
    <row r="688" spans="1:35">
      <c r="A688" s="145">
        <v>45761</v>
      </c>
      <c r="B688" s="376"/>
      <c r="C688" s="558" t="s">
        <v>2863</v>
      </c>
      <c r="D688" s="20" t="str">
        <f t="shared" ref="D688:D752" si="335">IF(C688="","",_xlfn.XLOOKUP(C688,社員№,派遣先,"",0,-1))</f>
        <v>梱包</v>
      </c>
      <c r="E688" s="20" t="str">
        <f t="shared" ref="E688:E752" si="336">IF(C688="","",_xlfn.XLOOKUP(C688,社員№,氏名,"",0,-1))</f>
        <v>RODRIGUES DE LIMA NETO RUBENS</v>
      </c>
      <c r="F688" s="20" t="str">
        <f t="shared" ref="F688:F752" si="337">IF(C688="","",_xlfn.XLOOKUP(C688,社員№,カナ,"",0,-1))</f>
        <v>ロドリゲス　デ　リマ　ネト　ルーベンス</v>
      </c>
      <c r="G688" s="11"/>
      <c r="H688" s="11"/>
      <c r="I688" s="11">
        <v>33000</v>
      </c>
      <c r="J688" s="65"/>
      <c r="O688" s="81"/>
      <c r="P688" s="81"/>
      <c r="Q688" s="81"/>
      <c r="R688" s="81"/>
      <c r="S688" s="81"/>
      <c r="T688" s="81"/>
      <c r="U688" s="81"/>
      <c r="V688" s="81"/>
      <c r="W688" s="81"/>
      <c r="X688" s="81"/>
      <c r="Y688" s="413"/>
      <c r="Z688" s="455">
        <v>18700</v>
      </c>
      <c r="AA688" s="446">
        <f>18700+33000</f>
        <v>51700</v>
      </c>
      <c r="AB688" s="446">
        <v>33000</v>
      </c>
      <c r="AC688" s="446">
        <v>33000</v>
      </c>
      <c r="AD688" s="446">
        <v>33000</v>
      </c>
      <c r="AE688" s="444">
        <v>33000</v>
      </c>
      <c r="AF688" s="444">
        <v>33000</v>
      </c>
      <c r="AG688" s="444">
        <v>33000</v>
      </c>
      <c r="AH688" s="444">
        <v>33000</v>
      </c>
      <c r="AI688" s="444">
        <v>33000</v>
      </c>
    </row>
    <row r="689" spans="1:35">
      <c r="C689" s="125"/>
      <c r="D689" s="18"/>
      <c r="E689" s="18"/>
      <c r="F689" s="181"/>
      <c r="G689" s="10"/>
      <c r="H689" s="10"/>
      <c r="I689" s="10"/>
      <c r="J689" s="97"/>
      <c r="K689" s="98"/>
      <c r="L689" s="98"/>
      <c r="M689" s="99"/>
      <c r="N689" s="99"/>
      <c r="O689" s="99"/>
      <c r="P689" s="99"/>
      <c r="Q689" s="99"/>
      <c r="R689" s="99"/>
      <c r="S689" s="99"/>
      <c r="T689" s="99"/>
      <c r="U689" s="99"/>
      <c r="V689" s="99"/>
      <c r="W689" s="99"/>
      <c r="X689" s="99"/>
      <c r="Y689" s="416"/>
      <c r="Z689" s="445"/>
      <c r="AA689" s="445"/>
      <c r="AB689" s="445"/>
    </row>
    <row r="690" spans="1:35">
      <c r="A690" s="147"/>
      <c r="C690" s="29"/>
      <c r="D690" s="29"/>
      <c r="E690" s="29" t="s">
        <v>2492</v>
      </c>
      <c r="F690" s="176"/>
      <c r="G690" s="210">
        <v>37000</v>
      </c>
      <c r="H690" s="210">
        <v>37000</v>
      </c>
      <c r="I690" s="210" t="s">
        <v>582</v>
      </c>
      <c r="J690" s="74"/>
      <c r="K690" s="10"/>
      <c r="L690" s="10"/>
      <c r="M690" s="88"/>
      <c r="N690" s="88"/>
      <c r="O690" s="88"/>
      <c r="P690" s="88"/>
      <c r="Q690" s="88"/>
      <c r="R690" s="88"/>
      <c r="S690" s="88"/>
      <c r="T690" s="88"/>
      <c r="U690" s="88"/>
      <c r="V690" s="88"/>
      <c r="W690" s="88"/>
      <c r="X690" s="88"/>
      <c r="Y690" s="410"/>
      <c r="Z690" s="438"/>
      <c r="AA690" s="438"/>
      <c r="AB690" s="438"/>
    </row>
    <row r="691" spans="1:35">
      <c r="A691" s="145" t="s">
        <v>1</v>
      </c>
      <c r="B691" s="376" t="s">
        <v>529</v>
      </c>
      <c r="C691" s="27" t="s">
        <v>2</v>
      </c>
      <c r="D691" s="27" t="s">
        <v>2532</v>
      </c>
      <c r="E691" s="27" t="s">
        <v>2433</v>
      </c>
      <c r="F691" s="165"/>
      <c r="G691" s="22"/>
      <c r="H691" s="22"/>
      <c r="I691" s="22" t="s">
        <v>3</v>
      </c>
      <c r="J691" s="90"/>
      <c r="K691" s="91"/>
      <c r="L691" s="91"/>
      <c r="M691" s="92"/>
      <c r="N691" s="92"/>
      <c r="O691" s="92"/>
      <c r="P691" s="92"/>
      <c r="Q691" s="92"/>
      <c r="R691" s="92"/>
      <c r="S691" s="92"/>
      <c r="T691" s="92"/>
      <c r="U691" s="92"/>
      <c r="V691" s="92"/>
      <c r="W691" s="92"/>
      <c r="X691" s="92"/>
      <c r="Y691" s="411"/>
      <c r="Z691" s="439"/>
      <c r="AA691" s="439"/>
      <c r="AB691" s="439"/>
    </row>
    <row r="692" spans="1:35">
      <c r="A692" s="145">
        <v>44864</v>
      </c>
      <c r="B692" s="376">
        <v>45972</v>
      </c>
      <c r="C692" s="27">
        <v>210602</v>
      </c>
      <c r="D692" s="20" t="str">
        <f t="shared" si="335"/>
        <v>高雄工業 岡山</v>
      </c>
      <c r="E692" s="20" t="str">
        <f t="shared" si="336"/>
        <v>BUI DUC KHANG</v>
      </c>
      <c r="F692" s="20" t="str">
        <f t="shared" si="337"/>
        <v>ブイ　ヅック　カン</v>
      </c>
      <c r="G692" s="11"/>
      <c r="H692" s="11"/>
      <c r="I692" s="11">
        <v>37000</v>
      </c>
      <c r="J692" s="65"/>
      <c r="K692" s="11">
        <v>37000</v>
      </c>
      <c r="L692" s="11">
        <v>37000</v>
      </c>
      <c r="M692" s="81">
        <v>37000</v>
      </c>
      <c r="N692" s="81">
        <v>37000</v>
      </c>
      <c r="O692" s="130">
        <v>37000</v>
      </c>
      <c r="P692" s="130">
        <v>37000</v>
      </c>
      <c r="Q692" s="130">
        <v>37000</v>
      </c>
      <c r="R692" s="130">
        <v>37000</v>
      </c>
      <c r="S692" s="130">
        <v>37000</v>
      </c>
      <c r="T692" s="130">
        <v>37000</v>
      </c>
      <c r="U692" s="130">
        <v>37000</v>
      </c>
      <c r="V692" s="130">
        <v>37000</v>
      </c>
      <c r="W692" s="130">
        <v>37000</v>
      </c>
      <c r="X692" s="130">
        <v>37000</v>
      </c>
      <c r="Y692" s="408">
        <v>37000</v>
      </c>
      <c r="Z692" s="437">
        <v>37000</v>
      </c>
      <c r="AA692" s="437">
        <v>37000</v>
      </c>
      <c r="AB692" s="437">
        <v>37000</v>
      </c>
      <c r="AC692" s="437">
        <v>37000</v>
      </c>
      <c r="AD692" s="437">
        <v>37000</v>
      </c>
      <c r="AE692" s="437">
        <v>37000</v>
      </c>
      <c r="AF692" s="437">
        <v>37000</v>
      </c>
      <c r="AG692" s="522">
        <v>57000</v>
      </c>
      <c r="AH692" s="508">
        <v>0</v>
      </c>
    </row>
    <row r="693" spans="1:35">
      <c r="F693" s="160"/>
      <c r="G693" s="10"/>
      <c r="H693" s="10"/>
      <c r="I693" s="10"/>
      <c r="J693" s="97"/>
      <c r="K693" s="98"/>
      <c r="L693" s="98"/>
      <c r="M693" s="99"/>
      <c r="N693" s="99"/>
      <c r="O693" s="99"/>
      <c r="P693" s="99"/>
      <c r="Q693" s="99"/>
      <c r="R693" s="99"/>
      <c r="S693" s="99"/>
      <c r="T693" s="99"/>
      <c r="U693" s="99"/>
      <c r="V693" s="99"/>
      <c r="W693" s="99"/>
      <c r="X693" s="99"/>
      <c r="Y693" s="416"/>
      <c r="Z693" s="445"/>
      <c r="AA693" s="445"/>
      <c r="AB693" s="445"/>
    </row>
    <row r="694" spans="1:35">
      <c r="C694" s="29"/>
      <c r="D694" s="29"/>
      <c r="E694" s="29" t="s">
        <v>2493</v>
      </c>
      <c r="F694" s="176"/>
      <c r="G694" s="210">
        <v>47000</v>
      </c>
      <c r="H694" s="210">
        <v>52000</v>
      </c>
      <c r="I694" s="210" t="s">
        <v>583</v>
      </c>
      <c r="J694" s="74"/>
      <c r="K694" s="10"/>
      <c r="L694" s="10"/>
      <c r="M694" s="88"/>
      <c r="N694" s="88"/>
      <c r="O694" s="88"/>
      <c r="P694" s="88"/>
      <c r="Q694" s="88"/>
      <c r="R694" s="88"/>
      <c r="S694" s="88"/>
      <c r="T694" s="88"/>
      <c r="U694" s="88"/>
      <c r="V694" s="88"/>
      <c r="W694" s="88"/>
      <c r="X694" s="88"/>
      <c r="Y694" s="410"/>
      <c r="Z694" s="438"/>
      <c r="AA694" s="438"/>
      <c r="AB694" s="438"/>
    </row>
    <row r="695" spans="1:35">
      <c r="A695" s="145" t="s">
        <v>1</v>
      </c>
      <c r="B695" s="376" t="s">
        <v>529</v>
      </c>
      <c r="C695" s="27" t="s">
        <v>2</v>
      </c>
      <c r="D695" s="27" t="s">
        <v>2532</v>
      </c>
      <c r="E695" s="27" t="s">
        <v>2433</v>
      </c>
      <c r="F695" s="165"/>
      <c r="G695" s="22"/>
      <c r="H695" s="22"/>
      <c r="I695" s="22" t="s">
        <v>3</v>
      </c>
      <c r="J695" s="90" t="s">
        <v>148</v>
      </c>
      <c r="K695" s="91"/>
      <c r="L695" s="91"/>
      <c r="M695" s="92"/>
      <c r="N695" s="92"/>
      <c r="O695" s="92"/>
      <c r="P695" s="92"/>
      <c r="Q695" s="92"/>
      <c r="R695" s="92"/>
      <c r="S695" s="92"/>
      <c r="T695" s="92"/>
      <c r="U695" s="92"/>
      <c r="V695" s="92"/>
      <c r="W695" s="92"/>
      <c r="X695" s="92"/>
      <c r="Y695" s="411"/>
      <c r="Z695" s="439"/>
      <c r="AA695" s="439"/>
      <c r="AB695" s="439"/>
    </row>
    <row r="696" spans="1:35">
      <c r="A696" s="145">
        <v>45533</v>
      </c>
      <c r="B696" s="376">
        <v>46047</v>
      </c>
      <c r="C696" s="116">
        <v>240906</v>
      </c>
      <c r="D696" s="20" t="str">
        <f t="shared" si="335"/>
        <v>高雄工業 岡山</v>
      </c>
      <c r="E696" s="20" t="str">
        <f t="shared" si="336"/>
        <v>VU HAI LONG</v>
      </c>
      <c r="F696" s="20" t="str">
        <f t="shared" si="337"/>
        <v>ヴー　ハイ　ロン</v>
      </c>
      <c r="G696" s="11"/>
      <c r="H696" s="11"/>
      <c r="I696" s="11">
        <v>26000</v>
      </c>
      <c r="J696" s="120">
        <v>17300</v>
      </c>
      <c r="O696" s="81"/>
      <c r="P696" s="81"/>
      <c r="Q696" s="81"/>
      <c r="R696" s="118">
        <v>2516</v>
      </c>
      <c r="S696" s="82">
        <f>2516+17300</f>
        <v>19816</v>
      </c>
      <c r="T696" s="82">
        <v>26000</v>
      </c>
      <c r="U696" s="82">
        <v>26000</v>
      </c>
      <c r="V696" s="82">
        <v>26000</v>
      </c>
      <c r="W696" s="82">
        <v>26000</v>
      </c>
      <c r="X696" s="82">
        <v>26000</v>
      </c>
      <c r="Y696" s="202">
        <v>26000</v>
      </c>
      <c r="Z696" s="446">
        <v>26000</v>
      </c>
      <c r="AA696" s="446">
        <v>26000</v>
      </c>
      <c r="AB696" s="446">
        <v>26000</v>
      </c>
      <c r="AC696" s="446">
        <v>26000</v>
      </c>
      <c r="AD696" s="446">
        <v>26000</v>
      </c>
      <c r="AE696" s="444">
        <v>26000</v>
      </c>
      <c r="AF696" s="444">
        <v>26000</v>
      </c>
      <c r="AG696" s="444">
        <v>26000</v>
      </c>
      <c r="AH696" s="444">
        <v>26000</v>
      </c>
      <c r="AI696" s="448">
        <v>46000</v>
      </c>
    </row>
    <row r="697" spans="1:35">
      <c r="A697" s="145">
        <v>45533</v>
      </c>
      <c r="B697" s="376">
        <v>46051</v>
      </c>
      <c r="C697" s="115">
        <v>240907</v>
      </c>
      <c r="D697" s="20" t="str">
        <f t="shared" ref="D697:D698" si="338">IF(C697="","",_xlfn.XLOOKUP(C697,社員№,派遣先,"",0,-1))</f>
        <v>高雄工業 岡山</v>
      </c>
      <c r="E697" s="20" t="str">
        <f t="shared" ref="E697:E698" si="339">IF(C697="","",_xlfn.XLOOKUP(C697,社員№,氏名,"",0,-1))</f>
        <v>DINH VAN TRUNG</v>
      </c>
      <c r="F697" s="20" t="str">
        <f t="shared" ref="F697:F698" si="340">IF(C697="","",_xlfn.XLOOKUP(C697,社員№,カナ,"",0,-1))</f>
        <v>ディン　ヴァン　チュン</v>
      </c>
      <c r="G697" s="11"/>
      <c r="H697" s="11"/>
      <c r="I697" s="11">
        <v>26000</v>
      </c>
      <c r="J697" s="120">
        <v>17300</v>
      </c>
      <c r="O697" s="81"/>
      <c r="P697" s="81"/>
      <c r="Q697" s="81"/>
      <c r="R697" s="118">
        <v>2516</v>
      </c>
      <c r="S697" s="82">
        <f>2516+17300</f>
        <v>19816</v>
      </c>
      <c r="T697" s="82">
        <v>26000</v>
      </c>
      <c r="U697" s="82">
        <v>26000</v>
      </c>
      <c r="V697" s="82">
        <v>26000</v>
      </c>
      <c r="W697" s="82">
        <v>26000</v>
      </c>
      <c r="X697" s="82">
        <v>26000</v>
      </c>
      <c r="Y697" s="202">
        <v>26000</v>
      </c>
      <c r="Z697" s="446">
        <v>26000</v>
      </c>
      <c r="AA697" s="446">
        <v>26000</v>
      </c>
      <c r="AB697" s="446">
        <v>26000</v>
      </c>
      <c r="AC697" s="446">
        <v>26000</v>
      </c>
      <c r="AD697" s="446">
        <v>26000</v>
      </c>
      <c r="AE697" s="444">
        <v>26000</v>
      </c>
      <c r="AF697" s="444">
        <v>26000</v>
      </c>
      <c r="AG697" s="444">
        <v>26000</v>
      </c>
      <c r="AH697" s="444">
        <v>26000</v>
      </c>
      <c r="AI697" s="448">
        <v>46000</v>
      </c>
    </row>
    <row r="698" spans="1:35" hidden="1">
      <c r="A698" s="145">
        <v>45536</v>
      </c>
      <c r="B698" s="376">
        <v>45565</v>
      </c>
      <c r="C698" s="27">
        <v>240905</v>
      </c>
      <c r="D698" s="20" t="str">
        <f t="shared" si="338"/>
        <v>高雄工業 岡山</v>
      </c>
      <c r="E698" s="20" t="str">
        <f t="shared" si="339"/>
        <v>TRAN VIET HOANG</v>
      </c>
      <c r="F698" s="20" t="str">
        <f t="shared" si="340"/>
        <v>チャン　ヴィエット　ホアン</v>
      </c>
      <c r="G698" s="11"/>
      <c r="H698" s="11"/>
      <c r="I698" s="11"/>
      <c r="J698" s="120">
        <v>17300</v>
      </c>
      <c r="O698" s="81"/>
      <c r="P698" s="81"/>
      <c r="Q698" s="81"/>
      <c r="R698" s="81"/>
      <c r="S698" s="81">
        <f>2565+17300</f>
        <v>19865</v>
      </c>
      <c r="T698" s="81">
        <v>0</v>
      </c>
      <c r="U698" s="81">
        <v>0</v>
      </c>
      <c r="V698" s="81">
        <v>0</v>
      </c>
      <c r="W698" s="81">
        <v>0</v>
      </c>
      <c r="X698" s="81">
        <v>0</v>
      </c>
      <c r="Y698" s="413">
        <v>0</v>
      </c>
      <c r="Z698" s="441">
        <v>0</v>
      </c>
      <c r="AA698" s="441">
        <v>0</v>
      </c>
      <c r="AB698" s="441">
        <v>0</v>
      </c>
      <c r="AG698" s="444">
        <v>26000</v>
      </c>
    </row>
    <row r="699" spans="1:35">
      <c r="F699" s="160"/>
      <c r="G699" s="10"/>
      <c r="H699" s="10"/>
      <c r="I699" s="10"/>
      <c r="J699" s="74"/>
      <c r="K699" s="10"/>
      <c r="L699" s="10"/>
      <c r="M699" s="88"/>
      <c r="N699" s="88"/>
      <c r="O699" s="88"/>
      <c r="P699" s="88"/>
      <c r="Q699" s="88"/>
      <c r="R699" s="88"/>
      <c r="S699" s="88"/>
      <c r="T699" s="88"/>
      <c r="U699" s="88"/>
      <c r="V699" s="88"/>
      <c r="W699" s="88"/>
      <c r="X699" s="88"/>
      <c r="Y699" s="410"/>
      <c r="Z699" s="438"/>
      <c r="AA699" s="438"/>
      <c r="AB699" s="438"/>
    </row>
    <row r="700" spans="1:35">
      <c r="C700" s="29"/>
      <c r="D700" s="29"/>
      <c r="E700" s="29" t="s">
        <v>2494</v>
      </c>
      <c r="F700" s="176"/>
      <c r="G700" s="210">
        <v>47000</v>
      </c>
      <c r="H700" s="210">
        <v>52000</v>
      </c>
      <c r="I700" s="210" t="s">
        <v>583</v>
      </c>
      <c r="J700" s="90"/>
      <c r="K700" s="91"/>
      <c r="L700" s="91"/>
      <c r="M700" s="92"/>
      <c r="N700" s="92"/>
      <c r="O700" s="92"/>
      <c r="P700" s="92"/>
      <c r="Q700" s="92"/>
      <c r="R700" s="92"/>
      <c r="S700" s="92"/>
      <c r="T700" s="92"/>
      <c r="U700" s="92"/>
      <c r="V700" s="92"/>
      <c r="W700" s="92"/>
      <c r="X700" s="92"/>
      <c r="Y700" s="411"/>
      <c r="Z700" s="439"/>
      <c r="AA700" s="439"/>
      <c r="AB700" s="439"/>
    </row>
    <row r="701" spans="1:35">
      <c r="A701" s="145" t="s">
        <v>1</v>
      </c>
      <c r="B701" s="376" t="s">
        <v>529</v>
      </c>
      <c r="C701" s="27" t="s">
        <v>2</v>
      </c>
      <c r="D701" s="27" t="s">
        <v>2532</v>
      </c>
      <c r="E701" s="27" t="s">
        <v>2433</v>
      </c>
      <c r="F701" s="165"/>
      <c r="G701" s="11"/>
      <c r="H701" s="11"/>
      <c r="I701" s="11" t="s">
        <v>3</v>
      </c>
      <c r="J701" s="65" t="s">
        <v>120</v>
      </c>
    </row>
    <row r="702" spans="1:35" hidden="1">
      <c r="A702" s="145">
        <v>45125</v>
      </c>
      <c r="B702" s="376">
        <v>45657</v>
      </c>
      <c r="C702" s="27">
        <v>230605</v>
      </c>
      <c r="D702" s="20" t="str">
        <f t="shared" si="335"/>
        <v>高雄工業 岡山</v>
      </c>
      <c r="E702" s="20" t="str">
        <f t="shared" si="336"/>
        <v>LE CHI VI</v>
      </c>
      <c r="F702" s="20" t="str">
        <f t="shared" si="337"/>
        <v>レー　チー　ヴィ</v>
      </c>
      <c r="G702" s="11"/>
      <c r="H702" s="11"/>
      <c r="I702" s="11">
        <v>26000</v>
      </c>
      <c r="J702" s="65">
        <v>17333</v>
      </c>
      <c r="K702" s="11">
        <v>26000</v>
      </c>
      <c r="L702" s="11">
        <v>26000</v>
      </c>
      <c r="M702" s="81">
        <v>26000</v>
      </c>
      <c r="N702" s="81">
        <v>26000</v>
      </c>
      <c r="O702" s="130">
        <v>26000</v>
      </c>
      <c r="P702" s="130">
        <v>26000</v>
      </c>
      <c r="Q702" s="130">
        <v>26000</v>
      </c>
      <c r="R702" s="130">
        <v>26000</v>
      </c>
      <c r="S702" s="130">
        <v>26000</v>
      </c>
      <c r="T702" s="130">
        <v>26000</v>
      </c>
      <c r="U702" s="130">
        <v>26000</v>
      </c>
      <c r="V702" s="130">
        <f>26000+20000</f>
        <v>46000</v>
      </c>
      <c r="W702" s="130">
        <v>0</v>
      </c>
      <c r="X702" s="130">
        <v>0</v>
      </c>
      <c r="Y702" s="408">
        <v>0</v>
      </c>
      <c r="Z702" s="437">
        <v>0</v>
      </c>
      <c r="AA702" s="437">
        <v>0</v>
      </c>
      <c r="AB702" s="437">
        <v>0</v>
      </c>
    </row>
    <row r="703" spans="1:35" hidden="1">
      <c r="A703" s="145">
        <v>45413</v>
      </c>
      <c r="B703" s="376">
        <v>45685</v>
      </c>
      <c r="C703" s="27">
        <v>230610</v>
      </c>
      <c r="D703" s="20" t="str">
        <f t="shared" ref="D703:D705" si="341">IF(C703="","",_xlfn.XLOOKUP(C703,社員№,派遣先,"",0,-1))</f>
        <v>高雄工業 岡山</v>
      </c>
      <c r="E703" s="20" t="str">
        <f t="shared" ref="E703:E705" si="342">IF(C703="","",_xlfn.XLOOKUP(C703,社員№,氏名,"",0,-1))</f>
        <v>NGUYEN QUOC THAI</v>
      </c>
      <c r="F703" s="20" t="str">
        <f t="shared" ref="F703:F705" si="343">IF(C703="","",_xlfn.XLOOKUP(C703,社員№,カナ,"",0,-1))</f>
        <v>グエン　コック　タイ</v>
      </c>
      <c r="G703" s="11"/>
      <c r="H703" s="11"/>
      <c r="I703" s="11">
        <v>26000</v>
      </c>
      <c r="J703" s="65"/>
      <c r="O703" s="81">
        <v>26000</v>
      </c>
      <c r="P703" s="81">
        <v>26000</v>
      </c>
      <c r="Q703" s="81">
        <v>26000</v>
      </c>
      <c r="R703" s="81">
        <v>26000</v>
      </c>
      <c r="S703" s="81">
        <v>26000</v>
      </c>
      <c r="T703" s="81">
        <v>26000</v>
      </c>
      <c r="U703" s="81">
        <v>26000</v>
      </c>
      <c r="V703" s="81">
        <v>26000</v>
      </c>
      <c r="W703" s="81">
        <f>16774+6139+20000</f>
        <v>42913</v>
      </c>
      <c r="X703" s="81">
        <v>0</v>
      </c>
      <c r="Y703" s="413">
        <v>0</v>
      </c>
      <c r="Z703" s="441">
        <v>0</v>
      </c>
      <c r="AA703" s="441">
        <v>0</v>
      </c>
      <c r="AB703" s="441">
        <v>0</v>
      </c>
    </row>
    <row r="704" spans="1:35">
      <c r="A704" s="145">
        <v>45678</v>
      </c>
      <c r="B704" s="376"/>
      <c r="C704" s="27">
        <v>250118</v>
      </c>
      <c r="D704" s="20" t="str">
        <f t="shared" si="341"/>
        <v>高雄工業 岡山</v>
      </c>
      <c r="E704" s="20" t="str">
        <f t="shared" si="342"/>
        <v>DUONG TUAN VIET</v>
      </c>
      <c r="F704" s="20" t="str">
        <f t="shared" si="343"/>
        <v>ズオン　トゥアン　ヴィエット</v>
      </c>
      <c r="G704" s="11"/>
      <c r="H704" s="11"/>
      <c r="I704" s="11">
        <v>17300</v>
      </c>
      <c r="J704" s="65"/>
      <c r="O704" s="81"/>
      <c r="P704" s="81"/>
      <c r="Q704" s="81"/>
      <c r="R704" s="81"/>
      <c r="S704" s="81"/>
      <c r="T704" s="81"/>
      <c r="U704" s="81"/>
      <c r="V704" s="81"/>
      <c r="W704" s="81">
        <v>6139</v>
      </c>
      <c r="X704" s="81">
        <v>26000</v>
      </c>
      <c r="Y704" s="413">
        <v>26000</v>
      </c>
      <c r="Z704" s="441">
        <v>26000</v>
      </c>
      <c r="AA704" s="441">
        <v>26000</v>
      </c>
      <c r="AB704" s="441">
        <v>26000</v>
      </c>
      <c r="AC704" s="441">
        <v>26000</v>
      </c>
      <c r="AD704" s="441">
        <v>26000</v>
      </c>
      <c r="AE704" s="437">
        <v>26000</v>
      </c>
      <c r="AF704" s="437">
        <v>26000</v>
      </c>
      <c r="AG704" s="437">
        <v>26000</v>
      </c>
      <c r="AH704" s="437">
        <v>26000</v>
      </c>
      <c r="AI704" s="437">
        <v>20700</v>
      </c>
    </row>
    <row r="705" spans="1:35">
      <c r="A705" s="145">
        <v>45678</v>
      </c>
      <c r="B705" s="376">
        <v>46022</v>
      </c>
      <c r="C705" s="27">
        <v>250119</v>
      </c>
      <c r="D705" s="20" t="str">
        <f t="shared" si="341"/>
        <v>高雄工業 岡山</v>
      </c>
      <c r="E705" s="20" t="str">
        <f t="shared" si="342"/>
        <v>LE VAN HIEU</v>
      </c>
      <c r="F705" s="20" t="str">
        <f t="shared" si="343"/>
        <v>レ　ヴァン　ヒエウ</v>
      </c>
      <c r="G705" s="11"/>
      <c r="H705" s="11"/>
      <c r="I705" s="11">
        <v>17300</v>
      </c>
      <c r="J705" s="65"/>
      <c r="O705" s="81"/>
      <c r="P705" s="81"/>
      <c r="Q705" s="81"/>
      <c r="R705" s="81"/>
      <c r="S705" s="81"/>
      <c r="T705" s="81"/>
      <c r="U705" s="81"/>
      <c r="V705" s="81"/>
      <c r="W705" s="81">
        <v>6139</v>
      </c>
      <c r="X705" s="81">
        <v>26000</v>
      </c>
      <c r="Y705" s="413">
        <v>26000</v>
      </c>
      <c r="Z705" s="441">
        <v>26000</v>
      </c>
      <c r="AA705" s="441">
        <v>26000</v>
      </c>
      <c r="AB705" s="441">
        <v>26000</v>
      </c>
      <c r="AC705" s="441">
        <v>26000</v>
      </c>
      <c r="AD705" s="441">
        <v>26000</v>
      </c>
      <c r="AE705" s="437">
        <v>26000</v>
      </c>
      <c r="AF705" s="437">
        <v>26000</v>
      </c>
      <c r="AG705" s="437">
        <v>26000</v>
      </c>
      <c r="AH705" s="437">
        <v>26000</v>
      </c>
      <c r="AI705" s="448">
        <v>0</v>
      </c>
    </row>
    <row r="706" spans="1:35">
      <c r="A706" s="145">
        <v>46035</v>
      </c>
      <c r="B706" s="376"/>
      <c r="C706" s="27">
        <v>260106</v>
      </c>
      <c r="D706" s="20" t="s">
        <v>2892</v>
      </c>
      <c r="E706" s="20" t="s">
        <v>2893</v>
      </c>
      <c r="F706" s="20" t="s">
        <v>2894</v>
      </c>
      <c r="G706" s="11"/>
      <c r="H706" s="11"/>
      <c r="I706" s="11">
        <v>17300</v>
      </c>
      <c r="J706" s="65"/>
      <c r="O706" s="81"/>
      <c r="P706" s="81"/>
      <c r="Q706" s="81"/>
      <c r="R706" s="81"/>
      <c r="S706" s="81"/>
      <c r="T706" s="81"/>
      <c r="U706" s="81"/>
      <c r="V706" s="81"/>
      <c r="W706" s="81"/>
      <c r="X706" s="81"/>
      <c r="Y706" s="413"/>
      <c r="Z706" s="441"/>
      <c r="AA706" s="441"/>
      <c r="AB706" s="441"/>
      <c r="AC706" s="441"/>
      <c r="AD706" s="441"/>
      <c r="AE706" s="441"/>
      <c r="AF706" s="437"/>
      <c r="AG706" s="437"/>
      <c r="AH706" s="437"/>
      <c r="AI706" s="448">
        <v>10603</v>
      </c>
    </row>
    <row r="707" spans="1:35">
      <c r="A707" s="145">
        <v>46035</v>
      </c>
      <c r="B707" s="376"/>
      <c r="C707" s="27">
        <v>260108</v>
      </c>
      <c r="D707" s="20" t="s">
        <v>2892</v>
      </c>
      <c r="E707" s="20" t="s">
        <v>2895</v>
      </c>
      <c r="F707" s="20" t="s">
        <v>2896</v>
      </c>
      <c r="G707" s="11"/>
      <c r="H707" s="11"/>
      <c r="I707" s="11">
        <v>17300</v>
      </c>
      <c r="J707" s="65"/>
      <c r="O707" s="81"/>
      <c r="P707" s="81"/>
      <c r="Q707" s="81"/>
      <c r="R707" s="81"/>
      <c r="S707" s="81"/>
      <c r="T707" s="81"/>
      <c r="U707" s="81"/>
      <c r="V707" s="81"/>
      <c r="W707" s="81"/>
      <c r="X707" s="81"/>
      <c r="Y707" s="413"/>
      <c r="Z707" s="441"/>
      <c r="AA707" s="441"/>
      <c r="AB707" s="441"/>
      <c r="AC707" s="441"/>
      <c r="AD707" s="441"/>
      <c r="AE707" s="441"/>
      <c r="AF707" s="437"/>
      <c r="AG707" s="437"/>
      <c r="AH707" s="437"/>
      <c r="AI707" s="448">
        <v>10603</v>
      </c>
    </row>
    <row r="708" spans="1:35">
      <c r="F708" s="160"/>
      <c r="G708" s="10"/>
      <c r="H708" s="10"/>
      <c r="I708" s="10"/>
      <c r="J708" s="74"/>
      <c r="K708" s="10"/>
      <c r="L708" s="10"/>
      <c r="M708" s="88"/>
      <c r="N708" s="88"/>
      <c r="O708" s="88"/>
      <c r="P708" s="88"/>
      <c r="Q708" s="88"/>
      <c r="R708" s="88"/>
      <c r="S708" s="88"/>
      <c r="T708" s="88"/>
      <c r="U708" s="88"/>
      <c r="V708" s="88"/>
      <c r="W708" s="88"/>
      <c r="X708" s="88"/>
      <c r="Y708" s="410"/>
      <c r="Z708" s="438"/>
      <c r="AA708" s="438"/>
      <c r="AB708" s="438"/>
    </row>
    <row r="709" spans="1:35">
      <c r="C709" s="29"/>
      <c r="D709" s="29"/>
      <c r="E709" s="29" t="s">
        <v>205</v>
      </c>
      <c r="F709" s="176"/>
      <c r="G709" s="210">
        <v>30000</v>
      </c>
      <c r="H709" s="210">
        <v>33000</v>
      </c>
      <c r="I709" s="210" t="s">
        <v>582</v>
      </c>
      <c r="J709" s="399" t="s">
        <v>980</v>
      </c>
      <c r="K709" s="10"/>
      <c r="L709" s="10"/>
      <c r="M709" s="88"/>
      <c r="N709" s="88"/>
      <c r="O709" s="88"/>
      <c r="P709" s="88"/>
      <c r="Q709" s="88"/>
      <c r="R709" s="88"/>
      <c r="S709" s="88"/>
      <c r="T709" s="88"/>
      <c r="U709" s="88"/>
      <c r="V709" s="88"/>
      <c r="W709" s="88"/>
      <c r="X709" s="88"/>
      <c r="Y709" s="410"/>
      <c r="Z709" s="438"/>
      <c r="AA709" s="438"/>
      <c r="AB709" s="438"/>
    </row>
    <row r="710" spans="1:35">
      <c r="A710" s="145" t="s">
        <v>1</v>
      </c>
      <c r="B710" s="376" t="s">
        <v>529</v>
      </c>
      <c r="C710" s="27" t="s">
        <v>2</v>
      </c>
      <c r="D710" s="27" t="s">
        <v>2532</v>
      </c>
      <c r="E710" s="27" t="s">
        <v>2433</v>
      </c>
      <c r="F710" s="165"/>
      <c r="G710" s="22"/>
      <c r="H710" s="22"/>
      <c r="I710" s="22" t="s">
        <v>3</v>
      </c>
      <c r="J710" s="90"/>
      <c r="K710" s="91"/>
      <c r="L710" s="91"/>
      <c r="M710" s="92"/>
      <c r="N710" s="92"/>
      <c r="O710" s="92"/>
      <c r="P710" s="92"/>
      <c r="Q710" s="92"/>
      <c r="R710" s="92"/>
      <c r="S710" s="92"/>
      <c r="T710" s="92"/>
      <c r="U710" s="92"/>
      <c r="V710" s="92"/>
      <c r="W710" s="92"/>
      <c r="X710" s="92"/>
      <c r="Y710" s="411"/>
      <c r="Z710" s="439"/>
      <c r="AA710" s="439"/>
      <c r="AB710" s="439"/>
    </row>
    <row r="711" spans="1:35">
      <c r="A711" s="145">
        <v>44958</v>
      </c>
      <c r="B711" s="376"/>
      <c r="C711" s="27">
        <v>220714</v>
      </c>
      <c r="D711" s="20" t="str">
        <f t="shared" si="335"/>
        <v>高雄工業 岡山</v>
      </c>
      <c r="E711" s="20" t="str">
        <f t="shared" si="336"/>
        <v>MOCHAMAD NIZAR AWALUDIN</v>
      </c>
      <c r="F711" s="20" t="str">
        <f t="shared" si="337"/>
        <v>モチャマド　ニザル　アワルディン</v>
      </c>
      <c r="G711" s="11"/>
      <c r="H711" s="11"/>
      <c r="I711" s="11">
        <v>38000</v>
      </c>
      <c r="J711" s="65"/>
      <c r="K711" s="11">
        <v>38000</v>
      </c>
      <c r="L711" s="11">
        <v>38000</v>
      </c>
      <c r="M711" s="81">
        <v>38000</v>
      </c>
      <c r="N711" s="81">
        <v>38000</v>
      </c>
      <c r="O711" s="81">
        <v>38000</v>
      </c>
      <c r="P711" s="81">
        <v>38000</v>
      </c>
      <c r="Q711" s="81">
        <v>38000</v>
      </c>
      <c r="R711" s="81">
        <v>38000</v>
      </c>
      <c r="S711" s="81">
        <v>38000</v>
      </c>
      <c r="T711" s="81">
        <v>38000</v>
      </c>
      <c r="U711" s="81">
        <v>38000</v>
      </c>
      <c r="V711" s="81">
        <v>38000</v>
      </c>
      <c r="W711" s="81">
        <v>38000</v>
      </c>
      <c r="X711" s="81">
        <v>38000</v>
      </c>
      <c r="Y711" s="413">
        <v>0</v>
      </c>
      <c r="Z711" s="441">
        <v>0</v>
      </c>
      <c r="AA711" s="441">
        <v>0</v>
      </c>
      <c r="AB711" s="441">
        <v>0</v>
      </c>
      <c r="AC711" s="448">
        <v>0</v>
      </c>
    </row>
    <row r="712" spans="1:35">
      <c r="A712" s="150">
        <v>45748</v>
      </c>
      <c r="B712" s="384">
        <v>45830</v>
      </c>
      <c r="C712" s="557" t="s">
        <v>2910</v>
      </c>
      <c r="D712" s="20" t="str">
        <f t="shared" ref="D712:D713" si="344">IF(C712="","",_xlfn.XLOOKUP(C712,社員№,派遣先,"",0,-1))</f>
        <v>梱包</v>
      </c>
      <c r="E712" s="20" t="str">
        <f t="shared" ref="E712:E713" si="345">IF(C712="","",_xlfn.XLOOKUP(C712,社員№,氏名,"",0,-1))</f>
        <v>DO TRUNG KIEN</v>
      </c>
      <c r="F712" s="20" t="str">
        <f t="shared" ref="F712:F713" si="346">IF(C712="","",_xlfn.XLOOKUP(C712,社員№,カナ,"",0,-1))</f>
        <v>ド　チュン　キエン</v>
      </c>
      <c r="G712" s="11"/>
      <c r="H712" s="11"/>
      <c r="I712" s="11">
        <v>37000</v>
      </c>
      <c r="J712" s="65"/>
      <c r="O712" s="81"/>
      <c r="P712" s="81"/>
      <c r="Q712" s="81"/>
      <c r="R712" s="81"/>
      <c r="S712" s="81"/>
      <c r="T712" s="81"/>
      <c r="U712" s="81"/>
      <c r="V712" s="81"/>
      <c r="W712" s="81"/>
      <c r="X712" s="81"/>
      <c r="Y712" s="413"/>
      <c r="Z712" s="441">
        <f>2613+37000</f>
        <v>39613</v>
      </c>
      <c r="AA712" s="441">
        <v>37000</v>
      </c>
      <c r="AB712" s="441">
        <v>0</v>
      </c>
      <c r="AC712" s="448">
        <v>0</v>
      </c>
    </row>
    <row r="713" spans="1:35">
      <c r="A713" s="145">
        <v>45839</v>
      </c>
      <c r="B713" s="376"/>
      <c r="C713" s="123">
        <v>240911</v>
      </c>
      <c r="D713" s="20" t="str">
        <f t="shared" si="344"/>
        <v>高雄工業 岡山</v>
      </c>
      <c r="E713" s="20" t="str">
        <f t="shared" si="345"/>
        <v>NGUYEN PHUONG NAM</v>
      </c>
      <c r="F713" s="20" t="str">
        <f t="shared" si="346"/>
        <v>グエン　フォン　ナム</v>
      </c>
      <c r="G713" s="11"/>
      <c r="H713" s="11"/>
      <c r="I713" s="11">
        <v>33000</v>
      </c>
      <c r="J713" s="65"/>
      <c r="O713" s="81"/>
      <c r="P713" s="81"/>
      <c r="Q713" s="81"/>
      <c r="R713" s="81"/>
      <c r="S713" s="81"/>
      <c r="T713" s="81"/>
      <c r="U713" s="81"/>
      <c r="V713" s="81"/>
      <c r="W713" s="81"/>
      <c r="X713" s="81"/>
      <c r="Y713" s="413"/>
      <c r="Z713" s="441"/>
      <c r="AA713" s="441"/>
      <c r="AB713" s="441">
        <v>0</v>
      </c>
      <c r="AC713" s="448">
        <v>33000</v>
      </c>
      <c r="AD713" s="448">
        <v>33000</v>
      </c>
      <c r="AE713" s="508">
        <v>33000</v>
      </c>
      <c r="AF713" s="508">
        <v>33000</v>
      </c>
      <c r="AG713" s="508">
        <v>33000</v>
      </c>
      <c r="AH713" s="508">
        <v>33000</v>
      </c>
      <c r="AI713" s="508">
        <v>33000</v>
      </c>
    </row>
    <row r="714" spans="1:35">
      <c r="C714" s="124"/>
      <c r="D714" s="21"/>
      <c r="E714" s="21"/>
      <c r="F714" s="397"/>
      <c r="G714" s="10"/>
      <c r="H714" s="10"/>
      <c r="I714" s="10"/>
      <c r="J714" s="74"/>
      <c r="K714" s="10"/>
      <c r="L714" s="10"/>
      <c r="M714" s="88"/>
      <c r="N714" s="88"/>
      <c r="O714" s="88"/>
      <c r="P714" s="88"/>
      <c r="Q714" s="88"/>
      <c r="R714" s="88"/>
      <c r="S714" s="88"/>
      <c r="T714" s="88"/>
      <c r="U714" s="88"/>
      <c r="V714" s="88"/>
      <c r="W714" s="88"/>
      <c r="X714" s="88"/>
      <c r="Y714" s="410"/>
      <c r="Z714" s="438"/>
      <c r="AA714" s="438"/>
      <c r="AB714" s="438"/>
    </row>
    <row r="715" spans="1:35">
      <c r="C715" s="29"/>
      <c r="D715" s="29"/>
      <c r="E715" s="29" t="s">
        <v>2495</v>
      </c>
      <c r="F715" s="176"/>
      <c r="G715" s="210">
        <v>30000</v>
      </c>
      <c r="H715" s="210">
        <v>32000</v>
      </c>
      <c r="I715" s="210" t="s">
        <v>582</v>
      </c>
      <c r="J715" s="74"/>
      <c r="K715" s="10"/>
      <c r="L715" s="10"/>
      <c r="M715" s="88"/>
      <c r="N715" s="88"/>
      <c r="O715" s="88"/>
      <c r="P715" s="88"/>
      <c r="Q715" s="88"/>
      <c r="R715" s="88"/>
      <c r="S715" s="88"/>
      <c r="T715" s="88"/>
      <c r="U715" s="88"/>
      <c r="V715" s="88"/>
      <c r="W715" s="88"/>
      <c r="X715" s="88"/>
      <c r="Y715" s="410"/>
      <c r="Z715" s="438"/>
      <c r="AA715" s="438"/>
      <c r="AB715" s="438"/>
    </row>
    <row r="716" spans="1:35">
      <c r="A716" s="228" t="s">
        <v>1</v>
      </c>
      <c r="B716" s="375" t="s">
        <v>529</v>
      </c>
      <c r="C716" s="43" t="s">
        <v>2</v>
      </c>
      <c r="D716" s="43" t="s">
        <v>2532</v>
      </c>
      <c r="E716" s="43" t="s">
        <v>2433</v>
      </c>
      <c r="F716" s="186"/>
      <c r="G716" s="111"/>
      <c r="H716" s="111"/>
      <c r="I716" s="111" t="s">
        <v>3</v>
      </c>
      <c r="J716" s="74"/>
      <c r="K716" s="10"/>
      <c r="L716" s="10"/>
      <c r="M716" s="88"/>
      <c r="N716" s="88"/>
      <c r="O716" s="88"/>
      <c r="P716" s="88"/>
      <c r="Q716" s="88"/>
      <c r="R716" s="88"/>
      <c r="S716" s="88"/>
      <c r="T716" s="88"/>
      <c r="U716" s="88"/>
      <c r="V716" s="88"/>
      <c r="W716" s="88"/>
      <c r="X716" s="88"/>
      <c r="Y716" s="410"/>
      <c r="Z716" s="438"/>
      <c r="AA716" s="438"/>
      <c r="AB716" s="438"/>
    </row>
    <row r="717" spans="1:35">
      <c r="A717" s="145">
        <v>45583</v>
      </c>
      <c r="B717" s="376"/>
      <c r="C717" s="27">
        <v>241010</v>
      </c>
      <c r="D717" s="20" t="str">
        <f t="shared" si="335"/>
        <v>高雄工業 岡山</v>
      </c>
      <c r="E717" s="20" t="str">
        <f t="shared" si="336"/>
        <v>TRAN THI LE QUYEN</v>
      </c>
      <c r="F717" s="20" t="str">
        <f t="shared" si="337"/>
        <v>チャン　テイ　レー　クエン</v>
      </c>
      <c r="G717" s="11"/>
      <c r="H717" s="11"/>
      <c r="I717" s="11">
        <v>32000</v>
      </c>
      <c r="J717" s="65"/>
      <c r="O717" s="81"/>
      <c r="P717" s="81"/>
      <c r="Q717" s="81"/>
      <c r="R717" s="81"/>
      <c r="S717" s="81"/>
      <c r="T717" s="118">
        <v>14452</v>
      </c>
      <c r="U717" s="82">
        <f>14452+32000</f>
        <v>46452</v>
      </c>
      <c r="V717" s="82">
        <v>32000</v>
      </c>
      <c r="W717" s="82">
        <v>32000</v>
      </c>
      <c r="X717" s="82">
        <v>32000</v>
      </c>
      <c r="Y717" s="202">
        <v>32000</v>
      </c>
      <c r="Z717" s="446">
        <v>32000</v>
      </c>
      <c r="AA717" s="446">
        <v>32000</v>
      </c>
      <c r="AB717" s="446">
        <v>32000</v>
      </c>
      <c r="AC717" s="446">
        <v>32000</v>
      </c>
      <c r="AD717" s="446">
        <v>32000</v>
      </c>
      <c r="AE717" s="444">
        <v>32000</v>
      </c>
      <c r="AF717" s="444">
        <v>32000</v>
      </c>
      <c r="AG717" s="444">
        <v>32000</v>
      </c>
      <c r="AH717" s="444">
        <v>32000</v>
      </c>
      <c r="AI717" s="444">
        <v>32000</v>
      </c>
    </row>
    <row r="718" spans="1:35">
      <c r="F718" s="160"/>
      <c r="G718" s="10"/>
      <c r="H718" s="10"/>
      <c r="I718" s="10"/>
      <c r="J718" s="74"/>
      <c r="K718" s="10"/>
      <c r="L718" s="10"/>
      <c r="M718" s="88"/>
      <c r="N718" s="88"/>
      <c r="O718" s="88"/>
      <c r="P718" s="88"/>
      <c r="Q718" s="88"/>
      <c r="R718" s="88"/>
      <c r="S718" s="88"/>
      <c r="T718" s="88"/>
      <c r="U718" s="88"/>
      <c r="V718" s="88"/>
      <c r="W718" s="88"/>
      <c r="X718" s="88"/>
      <c r="Y718" s="410"/>
      <c r="Z718" s="438"/>
      <c r="AA718" s="438"/>
      <c r="AB718" s="438"/>
    </row>
    <row r="719" spans="1:35">
      <c r="A719" s="146" t="s">
        <v>2897</v>
      </c>
      <c r="C719" s="29"/>
      <c r="D719" s="29"/>
      <c r="E719" s="29" t="s">
        <v>2496</v>
      </c>
      <c r="F719" s="176"/>
      <c r="G719" s="210">
        <v>30000</v>
      </c>
      <c r="H719" s="210">
        <v>35000</v>
      </c>
      <c r="I719" s="210" t="s">
        <v>582</v>
      </c>
      <c r="J719" s="74"/>
      <c r="K719" s="10"/>
      <c r="L719" s="10"/>
      <c r="M719" s="88"/>
      <c r="N719" s="88"/>
      <c r="O719" s="88"/>
      <c r="P719" s="88"/>
      <c r="Q719" s="88"/>
      <c r="R719" s="88"/>
      <c r="S719" s="88"/>
      <c r="T719" s="88"/>
      <c r="U719" s="88"/>
      <c r="V719" s="88"/>
      <c r="W719" s="88"/>
      <c r="X719" s="88"/>
      <c r="Y719" s="410"/>
      <c r="Z719" s="438"/>
      <c r="AA719" s="438"/>
      <c r="AB719" s="438"/>
    </row>
    <row r="720" spans="1:35">
      <c r="A720" s="145" t="s">
        <v>1</v>
      </c>
      <c r="B720" s="376" t="s">
        <v>529</v>
      </c>
      <c r="C720" s="27" t="s">
        <v>2</v>
      </c>
      <c r="D720" s="27" t="s">
        <v>2532</v>
      </c>
      <c r="E720" s="27" t="s">
        <v>2433</v>
      </c>
      <c r="F720" s="165"/>
      <c r="G720" s="22"/>
      <c r="H720" s="22"/>
      <c r="I720" s="22" t="s">
        <v>3</v>
      </c>
      <c r="J720" s="90"/>
      <c r="K720" s="91"/>
      <c r="L720" s="91"/>
      <c r="M720" s="92"/>
      <c r="N720" s="92"/>
      <c r="O720" s="92"/>
      <c r="P720" s="92"/>
      <c r="Q720" s="92"/>
      <c r="R720" s="92"/>
      <c r="S720" s="92"/>
      <c r="T720" s="92"/>
      <c r="U720" s="92"/>
      <c r="V720" s="92"/>
      <c r="W720" s="92"/>
      <c r="X720" s="92"/>
      <c r="Y720" s="411"/>
      <c r="Z720" s="439"/>
      <c r="AA720" s="439"/>
      <c r="AB720" s="439"/>
    </row>
    <row r="721" spans="1:35">
      <c r="A721" s="145">
        <v>45413</v>
      </c>
      <c r="B721" s="485">
        <v>45869</v>
      </c>
      <c r="C721" s="27">
        <v>230320</v>
      </c>
      <c r="D721" s="20" t="str">
        <f t="shared" si="335"/>
        <v>高雄工業 岡山</v>
      </c>
      <c r="E721" s="20" t="str">
        <f t="shared" si="336"/>
        <v>TA NGUYEN DUC</v>
      </c>
      <c r="F721" s="20" t="str">
        <f t="shared" si="337"/>
        <v>ター　グエン　ドゥック</v>
      </c>
      <c r="G721" s="11"/>
      <c r="H721" s="11"/>
      <c r="I721" s="11">
        <v>35000</v>
      </c>
      <c r="J721" s="65"/>
      <c r="O721" s="81">
        <v>37000</v>
      </c>
      <c r="P721" s="81">
        <v>35000</v>
      </c>
      <c r="Q721" s="81">
        <v>35000</v>
      </c>
      <c r="R721" s="81">
        <v>35000</v>
      </c>
      <c r="S721" s="81">
        <v>35000</v>
      </c>
      <c r="T721" s="81">
        <v>35000</v>
      </c>
      <c r="U721" s="81">
        <v>35000</v>
      </c>
      <c r="V721" s="81">
        <v>35000</v>
      </c>
      <c r="W721" s="81">
        <v>35000</v>
      </c>
      <c r="X721" s="81">
        <v>35000</v>
      </c>
      <c r="Y721" s="413">
        <v>35000</v>
      </c>
      <c r="Z721" s="441">
        <v>35000</v>
      </c>
      <c r="AA721" s="441">
        <v>35000</v>
      </c>
      <c r="AB721" s="441">
        <v>35000</v>
      </c>
      <c r="AC721" s="448">
        <v>55000</v>
      </c>
      <c r="AD721" s="1"/>
    </row>
    <row r="722" spans="1:35">
      <c r="A722" s="145">
        <v>45870</v>
      </c>
      <c r="B722" s="376">
        <v>46053</v>
      </c>
      <c r="C722" s="27">
        <v>241005</v>
      </c>
      <c r="D722" s="20" t="str">
        <f t="shared" ref="D722" si="347">IF(C722="","",_xlfn.XLOOKUP(C722,社員№,派遣先,"",0,-1))</f>
        <v>高雄工業 岡山</v>
      </c>
      <c r="E722" s="20" t="str">
        <f t="shared" ref="E722" si="348">IF(C722="","",_xlfn.XLOOKUP(C722,社員№,氏名,"",0,-1))</f>
        <v>NGUYEN DINH BAC</v>
      </c>
      <c r="F722" s="20" t="str">
        <f t="shared" ref="F722" si="349">IF(C722="","",_xlfn.XLOOKUP(C722,社員№,カナ,"",0,-1))</f>
        <v>グエン　ディン　バック</v>
      </c>
      <c r="G722" s="11"/>
      <c r="H722" s="11">
        <v>32000</v>
      </c>
      <c r="I722" s="11"/>
      <c r="J722" s="65"/>
      <c r="O722" s="81"/>
      <c r="P722" s="81"/>
      <c r="Q722" s="81"/>
      <c r="R722" s="81"/>
      <c r="S722" s="81"/>
      <c r="T722" s="81"/>
      <c r="U722" s="81"/>
      <c r="V722" s="81"/>
      <c r="W722" s="81"/>
      <c r="X722" s="81"/>
      <c r="Y722" s="413"/>
      <c r="Z722" s="441"/>
      <c r="AA722" s="441"/>
      <c r="AB722" s="441"/>
      <c r="AC722" s="448">
        <v>0</v>
      </c>
      <c r="AD722" s="500">
        <v>32000</v>
      </c>
      <c r="AE722" s="520">
        <v>32000</v>
      </c>
      <c r="AF722" s="522">
        <v>32000</v>
      </c>
      <c r="AG722" s="522">
        <v>32000</v>
      </c>
      <c r="AH722" s="522">
        <v>32000</v>
      </c>
      <c r="AI722" s="448">
        <v>52000</v>
      </c>
    </row>
    <row r="723" spans="1:35">
      <c r="F723" s="160"/>
      <c r="G723" s="10"/>
      <c r="H723" s="10"/>
      <c r="I723" s="10"/>
      <c r="J723" s="74"/>
      <c r="K723" s="10"/>
      <c r="L723" s="10"/>
      <c r="M723" s="88"/>
      <c r="N723" s="88"/>
      <c r="O723" s="88"/>
      <c r="P723" s="88"/>
      <c r="Q723" s="88"/>
      <c r="R723" s="88"/>
      <c r="S723" s="88"/>
      <c r="T723" s="88"/>
      <c r="U723" s="88"/>
      <c r="V723" s="88"/>
      <c r="W723" s="88"/>
      <c r="X723" s="88"/>
      <c r="Y723" s="410"/>
      <c r="Z723" s="438"/>
      <c r="AA723" s="438"/>
      <c r="AB723" s="438"/>
    </row>
    <row r="724" spans="1:35">
      <c r="C724" s="29"/>
      <c r="D724" s="29"/>
      <c r="E724" s="29" t="s">
        <v>2497</v>
      </c>
      <c r="F724" s="176"/>
      <c r="G724" s="210">
        <v>30000</v>
      </c>
      <c r="H724" s="210">
        <v>33000</v>
      </c>
      <c r="I724" s="210" t="s">
        <v>582</v>
      </c>
      <c r="J724" s="74"/>
      <c r="K724" s="10"/>
      <c r="L724" s="10"/>
      <c r="M724" s="88"/>
      <c r="N724" s="88"/>
      <c r="O724" s="88"/>
      <c r="P724" s="88"/>
      <c r="Q724" s="88"/>
      <c r="R724" s="88"/>
      <c r="S724" s="88"/>
      <c r="T724" s="88"/>
      <c r="U724" s="88"/>
      <c r="V724" s="88"/>
      <c r="W724" s="88"/>
      <c r="X724" s="88"/>
      <c r="Y724" s="410"/>
      <c r="Z724" s="438"/>
      <c r="AA724" s="438"/>
      <c r="AB724" s="438"/>
    </row>
    <row r="725" spans="1:35">
      <c r="A725" s="145" t="s">
        <v>1</v>
      </c>
      <c r="B725" s="376" t="s">
        <v>529</v>
      </c>
      <c r="C725" s="27" t="s">
        <v>2</v>
      </c>
      <c r="D725" s="27" t="s">
        <v>2532</v>
      </c>
      <c r="E725" s="27" t="s">
        <v>2433</v>
      </c>
      <c r="F725" s="165"/>
      <c r="G725" s="11"/>
      <c r="H725" s="11"/>
      <c r="I725" s="11" t="s">
        <v>3</v>
      </c>
      <c r="J725" s="74"/>
      <c r="K725" s="10"/>
      <c r="L725" s="10"/>
      <c r="M725" s="88"/>
      <c r="N725" s="88"/>
      <c r="O725" s="88"/>
      <c r="P725" s="88"/>
      <c r="Q725" s="88"/>
      <c r="R725" s="88"/>
      <c r="S725" s="88"/>
      <c r="T725" s="88"/>
      <c r="U725" s="88"/>
      <c r="V725" s="88"/>
      <c r="W725" s="88"/>
      <c r="X725" s="88"/>
      <c r="Y725" s="410"/>
      <c r="Z725" s="438"/>
      <c r="AA725" s="438"/>
      <c r="AB725" s="438"/>
    </row>
    <row r="726" spans="1:35">
      <c r="A726" s="145">
        <v>45793</v>
      </c>
      <c r="B726" s="376">
        <v>45838</v>
      </c>
      <c r="C726" s="555" t="s">
        <v>2859</v>
      </c>
      <c r="D726" s="20" t="str">
        <f t="shared" si="335"/>
        <v>梱包</v>
      </c>
      <c r="E726" s="20" t="str">
        <f t="shared" si="336"/>
        <v>HUNG HIEU TRUNG KIEN</v>
      </c>
      <c r="F726" s="20" t="str">
        <f t="shared" si="337"/>
        <v>フン　ヒエウ　チュン　キエン</v>
      </c>
      <c r="G726" s="11"/>
      <c r="H726" s="11" t="s">
        <v>965</v>
      </c>
      <c r="I726" s="11">
        <v>18500</v>
      </c>
      <c r="J726" s="11"/>
      <c r="M726" s="11"/>
      <c r="N726" s="11"/>
      <c r="O726" s="11"/>
      <c r="P726" s="11"/>
      <c r="Q726" s="11"/>
      <c r="R726" s="11"/>
      <c r="S726" s="11"/>
      <c r="T726" s="11"/>
      <c r="U726" s="11"/>
      <c r="V726" s="11"/>
      <c r="W726" s="11"/>
      <c r="X726" s="11"/>
      <c r="Y726" s="230"/>
      <c r="Z726" s="456"/>
      <c r="AA726" s="473">
        <v>6348</v>
      </c>
      <c r="AB726" s="473">
        <f>6348+18500</f>
        <v>24848</v>
      </c>
      <c r="AC726" s="486">
        <v>0</v>
      </c>
    </row>
    <row r="727" spans="1:35">
      <c r="A727" s="145">
        <v>45793</v>
      </c>
      <c r="B727" s="376">
        <v>45809</v>
      </c>
      <c r="C727" s="555" t="s">
        <v>2861</v>
      </c>
      <c r="D727" s="20" t="str">
        <f t="shared" ref="D727:D729" si="350">IF(C727="","",_xlfn.XLOOKUP(C727,社員№,派遣先,"",0,-1))</f>
        <v>梱包</v>
      </c>
      <c r="E727" s="20" t="str">
        <f t="shared" ref="E727:E729" si="351">IF(C727="","",_xlfn.XLOOKUP(C727,社員№,氏名,"",0,-1))</f>
        <v>NGUYEN QUOC DUY</v>
      </c>
      <c r="F727" s="20" t="str">
        <f t="shared" ref="F727:F729" si="352">IF(C727="","",_xlfn.XLOOKUP(C727,社員№,カナ,"",0,-1))</f>
        <v>グエン　クオック　ズイ</v>
      </c>
      <c r="G727" s="11"/>
      <c r="H727" s="11" t="s">
        <v>965</v>
      </c>
      <c r="I727" s="11">
        <v>18500</v>
      </c>
      <c r="J727" s="11"/>
      <c r="M727" s="11"/>
      <c r="N727" s="11"/>
      <c r="O727" s="11"/>
      <c r="P727" s="11"/>
      <c r="Q727" s="11"/>
      <c r="R727" s="11"/>
      <c r="S727" s="11"/>
      <c r="T727" s="11"/>
      <c r="U727" s="11"/>
      <c r="V727" s="11"/>
      <c r="W727" s="11"/>
      <c r="X727" s="11"/>
      <c r="Y727" s="230"/>
      <c r="Z727" s="456"/>
      <c r="AA727" s="473">
        <v>6348</v>
      </c>
      <c r="AB727" s="473">
        <v>0</v>
      </c>
      <c r="AC727" s="486">
        <v>0</v>
      </c>
    </row>
    <row r="728" spans="1:35">
      <c r="A728" s="145">
        <v>45793</v>
      </c>
      <c r="B728" s="376">
        <v>45838</v>
      </c>
      <c r="C728" s="555" t="s">
        <v>2860</v>
      </c>
      <c r="D728" s="20" t="str">
        <f t="shared" si="350"/>
        <v>梱包</v>
      </c>
      <c r="E728" s="20" t="str">
        <f t="shared" si="351"/>
        <v>NGUYEN TRONG TINH</v>
      </c>
      <c r="F728" s="20" t="str">
        <f t="shared" si="352"/>
        <v>グエン　チョン　ティン</v>
      </c>
      <c r="G728" s="11"/>
      <c r="H728" s="11" t="s">
        <v>965</v>
      </c>
      <c r="I728" s="11">
        <v>12300</v>
      </c>
      <c r="J728" s="11"/>
      <c r="M728" s="11"/>
      <c r="N728" s="11"/>
      <c r="O728" s="11"/>
      <c r="P728" s="11"/>
      <c r="Q728" s="11"/>
      <c r="R728" s="11"/>
      <c r="S728" s="11"/>
      <c r="T728" s="11"/>
      <c r="U728" s="11"/>
      <c r="V728" s="11"/>
      <c r="W728" s="11"/>
      <c r="X728" s="11"/>
      <c r="Y728" s="230"/>
      <c r="Z728" s="456"/>
      <c r="AA728" s="473">
        <v>6348</v>
      </c>
      <c r="AB728" s="473">
        <f>6348+18500</f>
        <v>24848</v>
      </c>
      <c r="AC728" s="486">
        <v>0</v>
      </c>
    </row>
    <row r="729" spans="1:35">
      <c r="A729" s="145">
        <v>45839</v>
      </c>
      <c r="B729" s="376"/>
      <c r="C729" s="123">
        <v>240912</v>
      </c>
      <c r="D729" s="20" t="str">
        <f t="shared" si="350"/>
        <v>高雄工業 岡山</v>
      </c>
      <c r="E729" s="20" t="str">
        <f t="shared" si="351"/>
        <v>VU DINH HIEU</v>
      </c>
      <c r="F729" s="20" t="str">
        <f t="shared" si="352"/>
        <v>ヴー　ディン　ヒエウ</v>
      </c>
      <c r="G729" s="11"/>
      <c r="H729" s="11"/>
      <c r="I729" s="11">
        <v>33000</v>
      </c>
      <c r="J729" s="11"/>
      <c r="M729" s="11"/>
      <c r="N729" s="11"/>
      <c r="O729" s="11"/>
      <c r="P729" s="11"/>
      <c r="Q729" s="11"/>
      <c r="R729" s="11"/>
      <c r="S729" s="11"/>
      <c r="T729" s="11"/>
      <c r="U729" s="11"/>
      <c r="V729" s="11"/>
      <c r="W729" s="11"/>
      <c r="X729" s="11"/>
      <c r="Y729" s="230"/>
      <c r="Z729" s="456"/>
      <c r="AA729" s="473"/>
      <c r="AB729" s="473">
        <v>0</v>
      </c>
      <c r="AC729" s="486">
        <v>33000</v>
      </c>
      <c r="AD729" s="486">
        <v>33000</v>
      </c>
      <c r="AE729" s="521">
        <v>33000</v>
      </c>
      <c r="AF729" s="521">
        <v>33000</v>
      </c>
      <c r="AG729" s="521">
        <v>33000</v>
      </c>
      <c r="AH729" s="521">
        <v>33000</v>
      </c>
      <c r="AI729" s="521">
        <v>33000</v>
      </c>
    </row>
    <row r="730" spans="1:35">
      <c r="F730" s="160"/>
      <c r="G730" s="10"/>
      <c r="H730" s="10"/>
      <c r="I730" s="10"/>
      <c r="J730" s="74"/>
      <c r="K730" s="10"/>
      <c r="L730" s="10"/>
      <c r="M730" s="88"/>
      <c r="N730" s="88"/>
      <c r="O730" s="88"/>
      <c r="P730" s="88"/>
      <c r="Q730" s="88"/>
      <c r="R730" s="88"/>
      <c r="S730" s="88"/>
      <c r="T730" s="88"/>
      <c r="U730" s="88"/>
      <c r="V730" s="88"/>
      <c r="W730" s="88"/>
      <c r="X730" s="88"/>
      <c r="Y730" s="410"/>
      <c r="Z730" s="438"/>
      <c r="AA730" s="438"/>
      <c r="AB730" s="438"/>
    </row>
    <row r="731" spans="1:35">
      <c r="C731" s="29"/>
      <c r="D731" s="29"/>
      <c r="E731" s="29" t="s">
        <v>2498</v>
      </c>
      <c r="F731" s="176"/>
      <c r="G731" s="210">
        <v>30000</v>
      </c>
      <c r="H731" s="210">
        <v>33000</v>
      </c>
      <c r="I731" s="210" t="s">
        <v>582</v>
      </c>
      <c r="J731" s="74"/>
      <c r="K731" s="10"/>
      <c r="L731" s="10"/>
      <c r="M731" s="88"/>
      <c r="N731" s="88"/>
      <c r="O731" s="88"/>
      <c r="P731" s="88"/>
      <c r="Q731" s="88"/>
      <c r="R731" s="88"/>
      <c r="S731" s="88"/>
      <c r="T731" s="88"/>
      <c r="U731" s="88"/>
      <c r="V731" s="88"/>
      <c r="W731" s="88"/>
      <c r="X731" s="88"/>
      <c r="Y731" s="410"/>
      <c r="Z731" s="438"/>
      <c r="AA731" s="438"/>
      <c r="AB731" s="438"/>
    </row>
    <row r="732" spans="1:35">
      <c r="A732" s="145" t="s">
        <v>1</v>
      </c>
      <c r="B732" s="376" t="s">
        <v>529</v>
      </c>
      <c r="C732" s="27" t="s">
        <v>2</v>
      </c>
      <c r="D732" s="27" t="s">
        <v>2532</v>
      </c>
      <c r="E732" s="27" t="s">
        <v>2433</v>
      </c>
      <c r="F732" s="165"/>
      <c r="G732" s="11"/>
      <c r="H732" s="11"/>
      <c r="I732" s="11" t="s">
        <v>3</v>
      </c>
      <c r="J732" s="74"/>
      <c r="K732" s="10"/>
      <c r="L732" s="10"/>
      <c r="M732" s="88"/>
      <c r="N732" s="88"/>
      <c r="O732" s="88"/>
      <c r="P732" s="88"/>
      <c r="Q732" s="88"/>
      <c r="R732" s="88"/>
      <c r="S732" s="88"/>
      <c r="T732" s="88"/>
      <c r="U732" s="88"/>
      <c r="V732" s="88"/>
      <c r="W732" s="88"/>
      <c r="X732" s="88"/>
      <c r="Y732" s="410"/>
      <c r="Z732" s="438"/>
      <c r="AA732" s="438"/>
      <c r="AB732" s="438"/>
    </row>
    <row r="733" spans="1:35">
      <c r="A733" s="145">
        <v>45457</v>
      </c>
      <c r="B733" s="376">
        <v>45863</v>
      </c>
      <c r="C733" s="27">
        <v>230213</v>
      </c>
      <c r="D733" s="20" t="str">
        <f t="shared" si="335"/>
        <v>高雄工業 岡山</v>
      </c>
      <c r="E733" s="20" t="str">
        <f t="shared" si="336"/>
        <v>NGUYEN DINH QUYEN</v>
      </c>
      <c r="F733" s="20" t="str">
        <f t="shared" si="337"/>
        <v>グエン　ディン　クエン</v>
      </c>
      <c r="G733" s="11"/>
      <c r="H733" s="11"/>
      <c r="I733" s="11">
        <v>32000</v>
      </c>
      <c r="J733" s="11"/>
      <c r="M733" s="11"/>
      <c r="N733" s="11"/>
      <c r="O733" s="11"/>
      <c r="P733" s="11">
        <v>27400</v>
      </c>
      <c r="Q733" s="11">
        <v>27400</v>
      </c>
      <c r="R733" s="11">
        <v>27400</v>
      </c>
      <c r="S733" s="11">
        <v>27400</v>
      </c>
      <c r="T733" s="11">
        <f>(4600*3)+32000</f>
        <v>45800</v>
      </c>
      <c r="U733" s="11">
        <v>32000</v>
      </c>
      <c r="V733" s="11">
        <v>32000</v>
      </c>
      <c r="W733" s="11">
        <v>32000</v>
      </c>
      <c r="X733" s="11">
        <v>32000</v>
      </c>
      <c r="Y733" s="230">
        <v>32000</v>
      </c>
      <c r="Z733" s="456">
        <v>32000</v>
      </c>
      <c r="AA733" s="456">
        <v>32000</v>
      </c>
      <c r="AB733" s="456">
        <v>32000</v>
      </c>
      <c r="AC733" s="448">
        <v>52000</v>
      </c>
    </row>
    <row r="734" spans="1:35">
      <c r="A734" s="145">
        <v>45866</v>
      </c>
      <c r="B734" s="376"/>
      <c r="C734" s="555" t="s">
        <v>2855</v>
      </c>
      <c r="D734" s="20" t="str">
        <f t="shared" ref="D734" si="353">IF(C734="","",_xlfn.XLOOKUP(C734,社員№,派遣先,"",0,-1))</f>
        <v>梱包</v>
      </c>
      <c r="E734" s="20" t="str">
        <f t="shared" ref="E734" si="354">IF(C734="","",_xlfn.XLOOKUP(C734,社員№,氏名,"",0,-1))</f>
        <v>NGUYEN HOANG HIEP</v>
      </c>
      <c r="F734" s="20" t="str">
        <f t="shared" ref="F734" si="355">IF(C734="","",_xlfn.XLOOKUP(C734,社員№,カナ,"",0,-1))</f>
        <v>グエン　ホアン　ヒエップ</v>
      </c>
      <c r="G734" s="11">
        <v>30000</v>
      </c>
      <c r="H734" s="11">
        <v>33000</v>
      </c>
      <c r="I734" s="11"/>
      <c r="J734" s="65"/>
      <c r="O734" s="81"/>
      <c r="P734" s="81"/>
      <c r="Q734" s="81"/>
      <c r="R734" s="81"/>
      <c r="S734" s="81"/>
      <c r="T734" s="81"/>
      <c r="U734" s="81"/>
      <c r="V734" s="81"/>
      <c r="W734" s="81"/>
      <c r="X734" s="81"/>
      <c r="Y734" s="413"/>
      <c r="Z734" s="441"/>
      <c r="AA734" s="441"/>
      <c r="AB734" s="441"/>
      <c r="AC734" s="448">
        <v>27776</v>
      </c>
      <c r="AD734" s="500">
        <v>33000</v>
      </c>
      <c r="AE734" s="520">
        <v>33000</v>
      </c>
      <c r="AF734" s="522">
        <v>33000</v>
      </c>
      <c r="AG734" s="522">
        <v>33000</v>
      </c>
      <c r="AH734" s="522">
        <v>33000</v>
      </c>
      <c r="AI734" s="522">
        <v>33000</v>
      </c>
    </row>
    <row r="735" spans="1:35">
      <c r="A735" s="147"/>
      <c r="F735" s="160"/>
      <c r="G735" s="10"/>
      <c r="H735" s="10"/>
      <c r="I735" s="10"/>
      <c r="J735" s="74"/>
      <c r="K735" s="10"/>
      <c r="L735" s="10"/>
      <c r="M735" s="88"/>
      <c r="N735" s="88"/>
      <c r="O735" s="88"/>
      <c r="P735" s="88"/>
      <c r="Q735" s="88"/>
      <c r="R735" s="88"/>
      <c r="S735" s="88"/>
      <c r="T735" s="88"/>
      <c r="U735" s="88"/>
      <c r="V735" s="88"/>
      <c r="W735" s="88"/>
      <c r="X735" s="88"/>
      <c r="Y735" s="410"/>
      <c r="Z735" s="438"/>
      <c r="AA735" s="438"/>
      <c r="AB735" s="438"/>
    </row>
    <row r="736" spans="1:35">
      <c r="A736" s="147"/>
      <c r="C736" s="29"/>
      <c r="D736" s="29"/>
      <c r="E736" s="29" t="s">
        <v>556</v>
      </c>
      <c r="F736" s="176"/>
      <c r="G736" s="210">
        <v>30000</v>
      </c>
      <c r="H736" s="210">
        <v>32000</v>
      </c>
      <c r="I736" s="210" t="s">
        <v>582</v>
      </c>
      <c r="J736" s="74"/>
      <c r="K736" s="10"/>
      <c r="L736" s="10"/>
      <c r="M736" s="88"/>
      <c r="N736" s="88"/>
      <c r="O736" s="88"/>
      <c r="P736" s="88"/>
      <c r="Q736" s="88"/>
      <c r="R736" s="88"/>
      <c r="S736" s="88"/>
      <c r="T736" s="88"/>
      <c r="U736" s="88"/>
      <c r="V736" s="88"/>
      <c r="W736" s="88"/>
      <c r="X736" s="88"/>
      <c r="Y736" s="410"/>
      <c r="Z736" s="438"/>
      <c r="AA736" s="438"/>
      <c r="AB736" s="438"/>
    </row>
    <row r="737" spans="1:35">
      <c r="A737" s="148" t="s">
        <v>1</v>
      </c>
      <c r="B737" s="377" t="s">
        <v>529</v>
      </c>
      <c r="C737" s="27" t="s">
        <v>2</v>
      </c>
      <c r="D737" s="27" t="s">
        <v>2532</v>
      </c>
      <c r="E737" s="27" t="s">
        <v>2433</v>
      </c>
      <c r="F737" s="165"/>
      <c r="G737" s="22"/>
      <c r="H737" s="22"/>
      <c r="I737" s="22" t="s">
        <v>3</v>
      </c>
      <c r="J737" s="90"/>
      <c r="K737" s="91"/>
      <c r="L737" s="91"/>
      <c r="M737" s="92"/>
      <c r="N737" s="92"/>
      <c r="O737" s="92"/>
      <c r="P737" s="92"/>
      <c r="Q737" s="92"/>
      <c r="R737" s="92"/>
      <c r="S737" s="92"/>
      <c r="T737" s="92"/>
      <c r="U737" s="92"/>
      <c r="V737" s="92"/>
      <c r="W737" s="92"/>
      <c r="X737" s="92"/>
      <c r="Y737" s="411"/>
      <c r="Z737" s="439"/>
      <c r="AA737" s="439"/>
      <c r="AB737" s="439"/>
    </row>
    <row r="738" spans="1:35">
      <c r="A738" s="150">
        <v>45479</v>
      </c>
      <c r="B738" s="376">
        <v>46013</v>
      </c>
      <c r="C738" s="27">
        <v>231221</v>
      </c>
      <c r="D738" s="20" t="str">
        <f t="shared" si="335"/>
        <v>高雄工業 岡山</v>
      </c>
      <c r="E738" s="20" t="str">
        <f t="shared" si="336"/>
        <v>ADHITYA LUNDIKA</v>
      </c>
      <c r="F738" s="20" t="str">
        <f t="shared" si="337"/>
        <v>アディティア　ルンディカ</v>
      </c>
      <c r="G738" s="11"/>
      <c r="H738" s="11"/>
      <c r="I738" s="11">
        <v>32000</v>
      </c>
      <c r="J738" s="65"/>
      <c r="Q738" s="130">
        <f>5613+26839</f>
        <v>32452</v>
      </c>
      <c r="R738" s="130">
        <v>32000</v>
      </c>
      <c r="S738" s="130">
        <v>32000</v>
      </c>
      <c r="T738" s="130">
        <v>32000</v>
      </c>
      <c r="U738" s="130">
        <v>32000</v>
      </c>
      <c r="V738" s="130">
        <v>32000</v>
      </c>
      <c r="W738" s="130">
        <v>32000</v>
      </c>
      <c r="X738" s="130">
        <v>32000</v>
      </c>
      <c r="Y738" s="408">
        <v>32000</v>
      </c>
      <c r="Z738" s="437">
        <v>32000</v>
      </c>
      <c r="AA738" s="437">
        <v>32000</v>
      </c>
      <c r="AB738" s="437">
        <v>32000</v>
      </c>
      <c r="AC738" s="437">
        <v>32000</v>
      </c>
      <c r="AD738" s="437">
        <v>32000</v>
      </c>
      <c r="AE738" s="437">
        <v>32000</v>
      </c>
      <c r="AF738" s="437">
        <v>32000</v>
      </c>
      <c r="AG738" s="437">
        <v>32000</v>
      </c>
      <c r="AH738" s="508">
        <v>0</v>
      </c>
    </row>
    <row r="739" spans="1:35">
      <c r="A739" s="145">
        <v>46022</v>
      </c>
      <c r="B739" s="376"/>
      <c r="C739" s="27">
        <v>250119</v>
      </c>
      <c r="D739" s="27" t="s">
        <v>178</v>
      </c>
      <c r="E739" s="27" t="s">
        <v>342</v>
      </c>
      <c r="F739" s="27" t="s">
        <v>909</v>
      </c>
      <c r="G739" s="11"/>
      <c r="H739" s="11"/>
      <c r="I739" s="11"/>
      <c r="J739" s="65"/>
      <c r="O739" s="81"/>
      <c r="P739" s="81"/>
      <c r="Q739" s="81"/>
      <c r="R739" s="81"/>
      <c r="S739" s="81"/>
      <c r="T739" s="81"/>
      <c r="U739" s="81"/>
      <c r="V739" s="81"/>
      <c r="W739" s="81"/>
      <c r="X739" s="81"/>
      <c r="Y739" s="413"/>
      <c r="Z739" s="441"/>
      <c r="AA739" s="441"/>
      <c r="AB739" s="441"/>
      <c r="AC739" s="448"/>
      <c r="AD739" s="1"/>
      <c r="AE739" s="1"/>
      <c r="AF739" s="27"/>
      <c r="AG739" s="1"/>
      <c r="AI739" s="448">
        <v>33000</v>
      </c>
    </row>
    <row r="740" spans="1:35">
      <c r="F740" s="160"/>
      <c r="G740" s="10"/>
      <c r="H740" s="10"/>
      <c r="I740" s="10"/>
      <c r="J740" s="74"/>
      <c r="K740" s="10"/>
      <c r="L740" s="10"/>
      <c r="M740" s="88"/>
      <c r="N740" s="88"/>
      <c r="O740" s="88"/>
      <c r="P740" s="88"/>
      <c r="Q740" s="88"/>
      <c r="R740" s="88"/>
      <c r="S740" s="88"/>
      <c r="T740" s="88"/>
      <c r="U740" s="88"/>
      <c r="V740" s="88"/>
      <c r="W740" s="88"/>
      <c r="X740" s="88"/>
      <c r="Y740" s="410"/>
      <c r="Z740" s="438"/>
      <c r="AA740" s="438"/>
      <c r="AB740" s="438"/>
      <c r="AF740" s="538"/>
      <c r="AG740" s="544"/>
      <c r="AH740" s="550"/>
    </row>
    <row r="741" spans="1:35">
      <c r="C741" s="29"/>
      <c r="D741" s="29"/>
      <c r="E741" s="29" t="s">
        <v>2499</v>
      </c>
      <c r="F741" s="176"/>
      <c r="G741" s="210">
        <v>40000</v>
      </c>
      <c r="H741" s="210">
        <v>42000</v>
      </c>
      <c r="I741" s="210" t="s">
        <v>582</v>
      </c>
      <c r="J741" s="74"/>
      <c r="K741" s="10"/>
      <c r="L741" s="10"/>
      <c r="M741" s="88"/>
      <c r="N741" s="88"/>
      <c r="O741" s="88"/>
      <c r="P741" s="88"/>
      <c r="Q741" s="88"/>
      <c r="R741" s="88"/>
      <c r="S741" s="88"/>
      <c r="T741" s="88"/>
      <c r="U741" s="88"/>
      <c r="V741" s="88"/>
      <c r="W741" s="88"/>
      <c r="X741" s="88"/>
      <c r="Y741" s="410"/>
      <c r="Z741" s="438"/>
      <c r="AA741" s="438"/>
      <c r="AB741" s="438"/>
    </row>
    <row r="742" spans="1:35">
      <c r="A742" s="145" t="s">
        <v>1</v>
      </c>
      <c r="B742" s="376" t="s">
        <v>529</v>
      </c>
      <c r="C742" s="27" t="s">
        <v>2</v>
      </c>
      <c r="D742" s="27" t="s">
        <v>2532</v>
      </c>
      <c r="E742" s="27" t="s">
        <v>2433</v>
      </c>
      <c r="F742" s="165"/>
      <c r="G742" s="22"/>
      <c r="H742" s="22"/>
      <c r="I742" s="22" t="s">
        <v>3</v>
      </c>
      <c r="J742" s="90"/>
      <c r="K742" s="91"/>
      <c r="L742" s="91"/>
      <c r="M742" s="92"/>
      <c r="N742" s="92"/>
      <c r="O742" s="92"/>
      <c r="P742" s="92"/>
      <c r="Q742" s="92"/>
      <c r="R742" s="92"/>
      <c r="S742" s="92"/>
      <c r="T742" s="92"/>
      <c r="U742" s="92"/>
      <c r="V742" s="92"/>
      <c r="W742" s="92"/>
      <c r="X742" s="92"/>
      <c r="Y742" s="411"/>
      <c r="Z742" s="439"/>
      <c r="AA742" s="439"/>
      <c r="AB742" s="439"/>
    </row>
    <row r="743" spans="1:35">
      <c r="A743" s="145">
        <v>45283</v>
      </c>
      <c r="B743" s="376"/>
      <c r="C743" s="27">
        <v>220709</v>
      </c>
      <c r="D743" s="20" t="str">
        <f t="shared" si="335"/>
        <v>高雄工業 岡山</v>
      </c>
      <c r="E743" s="20" t="str">
        <f t="shared" si="336"/>
        <v>ILHAM</v>
      </c>
      <c r="F743" s="20" t="str">
        <f t="shared" si="337"/>
        <v>イルハム</v>
      </c>
      <c r="G743" s="11"/>
      <c r="H743" s="11"/>
      <c r="I743" s="11">
        <v>42000</v>
      </c>
      <c r="J743" s="65"/>
      <c r="K743" s="11">
        <v>42000</v>
      </c>
      <c r="L743" s="11">
        <v>42000</v>
      </c>
      <c r="M743" s="81">
        <v>42000</v>
      </c>
      <c r="N743" s="81">
        <v>42000</v>
      </c>
      <c r="O743" s="130">
        <v>42000</v>
      </c>
      <c r="P743" s="130">
        <v>42000</v>
      </c>
      <c r="Q743" s="130">
        <v>42000</v>
      </c>
      <c r="R743" s="130">
        <v>42000</v>
      </c>
      <c r="S743" s="130">
        <v>42000</v>
      </c>
      <c r="T743" s="130">
        <v>42000</v>
      </c>
      <c r="U743" s="130">
        <v>42000</v>
      </c>
      <c r="V743" s="130">
        <v>42000</v>
      </c>
      <c r="W743" s="130">
        <v>42000</v>
      </c>
      <c r="X743" s="130">
        <v>42000</v>
      </c>
      <c r="Y743" s="408">
        <v>42000</v>
      </c>
      <c r="Z743" s="437">
        <v>42000</v>
      </c>
      <c r="AA743" s="437">
        <v>42000</v>
      </c>
      <c r="AB743" s="437">
        <v>42000</v>
      </c>
      <c r="AC743" s="437">
        <v>42000</v>
      </c>
      <c r="AD743" s="437">
        <v>42000</v>
      </c>
      <c r="AE743" s="437">
        <v>42000</v>
      </c>
      <c r="AF743" s="437">
        <v>42000</v>
      </c>
      <c r="AG743" s="437">
        <v>42000</v>
      </c>
      <c r="AH743" s="437">
        <v>42000</v>
      </c>
      <c r="AI743" s="437">
        <v>42000</v>
      </c>
    </row>
    <row r="744" spans="1:35">
      <c r="F744" s="160"/>
      <c r="G744" s="10"/>
      <c r="H744" s="10"/>
      <c r="I744" s="10"/>
      <c r="J744" s="97"/>
      <c r="K744" s="98"/>
      <c r="L744" s="98"/>
      <c r="M744" s="99"/>
      <c r="N744" s="99"/>
      <c r="O744" s="99"/>
      <c r="P744" s="99"/>
      <c r="Q744" s="99"/>
      <c r="R744" s="99"/>
      <c r="S744" s="99"/>
      <c r="T744" s="99"/>
      <c r="U744" s="99"/>
      <c r="V744" s="99"/>
      <c r="W744" s="99"/>
      <c r="X744" s="99"/>
      <c r="Y744" s="416"/>
      <c r="Z744" s="445"/>
      <c r="AA744" s="445"/>
      <c r="AB744" s="445"/>
    </row>
    <row r="745" spans="1:35">
      <c r="A745" s="147"/>
      <c r="C745" s="29"/>
      <c r="D745" s="29"/>
      <c r="E745" s="29" t="s">
        <v>2500</v>
      </c>
      <c r="F745" s="176"/>
      <c r="G745" s="225">
        <v>53000</v>
      </c>
      <c r="H745" s="225">
        <v>58000</v>
      </c>
      <c r="I745" s="225" t="s">
        <v>574</v>
      </c>
      <c r="J745" s="102"/>
      <c r="K745" s="91"/>
      <c r="L745" s="91"/>
      <c r="M745" s="92"/>
      <c r="N745" s="92"/>
      <c r="O745" s="92"/>
      <c r="P745" s="92"/>
      <c r="Q745" s="92"/>
      <c r="R745" s="92"/>
      <c r="S745" s="92"/>
      <c r="T745" s="92"/>
      <c r="U745" s="92"/>
      <c r="V745" s="92"/>
      <c r="W745" s="92"/>
      <c r="X745" s="92"/>
      <c r="Y745" s="411"/>
      <c r="Z745" s="439"/>
      <c r="AA745" s="439"/>
      <c r="AB745" s="439"/>
    </row>
    <row r="746" spans="1:35">
      <c r="A746" s="148" t="s">
        <v>1</v>
      </c>
      <c r="B746" s="377" t="s">
        <v>529</v>
      </c>
      <c r="C746" s="27" t="s">
        <v>2</v>
      </c>
      <c r="D746" s="27" t="s">
        <v>2532</v>
      </c>
      <c r="E746" s="27" t="s">
        <v>2433</v>
      </c>
      <c r="F746" s="165"/>
      <c r="G746" s="12"/>
      <c r="H746" s="12"/>
      <c r="I746" s="12" t="s">
        <v>143</v>
      </c>
      <c r="J746" s="77" t="s">
        <v>120</v>
      </c>
    </row>
    <row r="747" spans="1:35">
      <c r="A747" s="148">
        <v>44717</v>
      </c>
      <c r="B747" s="377"/>
      <c r="C747" s="27">
        <v>220605</v>
      </c>
      <c r="D747" s="20" t="str">
        <f t="shared" si="335"/>
        <v>高雄工業 岡山</v>
      </c>
      <c r="E747" s="20" t="str">
        <f t="shared" si="336"/>
        <v>FERRYANTO PASCA MARIS UPPUN</v>
      </c>
      <c r="F747" s="20" t="str">
        <f t="shared" si="337"/>
        <v>フェリヤント　パスチャ　マリス　ウップン</v>
      </c>
      <c r="G747" s="11"/>
      <c r="H747" s="11"/>
      <c r="I747" s="11">
        <v>29000</v>
      </c>
      <c r="J747" s="77">
        <v>19333</v>
      </c>
      <c r="K747" s="11">
        <v>29000</v>
      </c>
      <c r="L747" s="11">
        <v>29000</v>
      </c>
      <c r="M747" s="81">
        <v>29000</v>
      </c>
      <c r="N747" s="81">
        <v>29000</v>
      </c>
      <c r="O747" s="130">
        <v>29000</v>
      </c>
      <c r="P747" s="130">
        <v>29000</v>
      </c>
      <c r="Q747" s="130">
        <v>29000</v>
      </c>
      <c r="R747" s="130">
        <v>29000</v>
      </c>
      <c r="S747" s="130">
        <v>29000</v>
      </c>
      <c r="T747" s="130">
        <v>29000</v>
      </c>
      <c r="U747" s="130">
        <v>29000</v>
      </c>
      <c r="V747" s="130">
        <v>29000</v>
      </c>
      <c r="W747" s="130">
        <v>29000</v>
      </c>
      <c r="X747" s="130">
        <v>29000</v>
      </c>
      <c r="Y747" s="408">
        <v>29000</v>
      </c>
      <c r="Z747" s="437">
        <v>29000</v>
      </c>
      <c r="AA747" s="437">
        <v>29000</v>
      </c>
      <c r="AB747" s="437">
        <v>29000</v>
      </c>
      <c r="AC747" s="437">
        <v>29000</v>
      </c>
      <c r="AD747" s="437">
        <v>29000</v>
      </c>
      <c r="AE747" s="437">
        <v>29000</v>
      </c>
      <c r="AF747" s="437">
        <v>29000</v>
      </c>
      <c r="AG747" s="437">
        <v>29000</v>
      </c>
      <c r="AH747" s="437">
        <v>29000</v>
      </c>
      <c r="AI747" s="437">
        <v>29000</v>
      </c>
    </row>
    <row r="748" spans="1:35">
      <c r="A748" s="148">
        <v>44737</v>
      </c>
      <c r="B748" s="377"/>
      <c r="C748" s="555" t="s">
        <v>2864</v>
      </c>
      <c r="D748" s="20" t="str">
        <f t="shared" ref="D748" si="356">IF(C748="","",_xlfn.XLOOKUP(C748,社員№,派遣先,"",0,-1))</f>
        <v>梱包</v>
      </c>
      <c r="E748" s="20" t="str">
        <f t="shared" ref="E748" si="357">IF(C748="","",_xlfn.XLOOKUP(C748,社員№,氏名,"",0,-1))</f>
        <v>WINARDI SARINAL PUTRA</v>
      </c>
      <c r="F748" s="20" t="str">
        <f t="shared" ref="F748" si="358">IF(C748="","",_xlfn.XLOOKUP(C748,社員№,カナ,"",0,-1))</f>
        <v>ウイナルディ　サリナル　プトラ</v>
      </c>
      <c r="G748" s="11"/>
      <c r="H748" s="11"/>
      <c r="I748" s="11">
        <v>29000</v>
      </c>
      <c r="J748" s="77">
        <v>19333</v>
      </c>
      <c r="K748" s="11">
        <v>29000</v>
      </c>
      <c r="L748" s="11">
        <v>29000</v>
      </c>
      <c r="M748" s="81">
        <v>29000</v>
      </c>
      <c r="N748" s="81">
        <v>29000</v>
      </c>
      <c r="O748" s="130">
        <v>29000</v>
      </c>
      <c r="P748" s="130">
        <v>29000</v>
      </c>
      <c r="Q748" s="130">
        <v>29000</v>
      </c>
      <c r="R748" s="130">
        <v>29000</v>
      </c>
      <c r="S748" s="130">
        <v>29000</v>
      </c>
      <c r="T748" s="130">
        <v>29000</v>
      </c>
      <c r="U748" s="130">
        <v>29000</v>
      </c>
      <c r="V748" s="130">
        <v>29000</v>
      </c>
      <c r="W748" s="130">
        <v>29000</v>
      </c>
      <c r="X748" s="130">
        <v>29000</v>
      </c>
      <c r="Y748" s="408">
        <v>29000</v>
      </c>
      <c r="Z748" s="437">
        <v>29000</v>
      </c>
      <c r="AA748" s="437">
        <v>29000</v>
      </c>
      <c r="AB748" s="437">
        <v>29000</v>
      </c>
      <c r="AC748" s="437">
        <v>29000</v>
      </c>
      <c r="AD748" s="437">
        <v>29000</v>
      </c>
      <c r="AE748" s="437">
        <v>29000</v>
      </c>
      <c r="AF748" s="437">
        <v>29000</v>
      </c>
      <c r="AG748" s="437">
        <v>29000</v>
      </c>
      <c r="AH748" s="437">
        <v>29000</v>
      </c>
      <c r="AI748" s="437">
        <v>29000</v>
      </c>
    </row>
    <row r="749" spans="1:35">
      <c r="F749" s="160"/>
      <c r="G749" s="10"/>
      <c r="H749" s="10"/>
      <c r="I749" s="10"/>
      <c r="J749" s="110"/>
      <c r="K749" s="98"/>
      <c r="L749" s="98"/>
      <c r="M749" s="99"/>
      <c r="N749" s="99"/>
      <c r="O749" s="99"/>
      <c r="P749" s="99"/>
      <c r="Q749" s="99"/>
      <c r="R749" s="99"/>
      <c r="S749" s="99"/>
      <c r="T749" s="99"/>
      <c r="U749" s="99"/>
      <c r="V749" s="99"/>
      <c r="W749" s="99"/>
      <c r="X749" s="99"/>
      <c r="Y749" s="416"/>
      <c r="Z749" s="445"/>
      <c r="AA749" s="445"/>
      <c r="AB749" s="445"/>
    </row>
    <row r="750" spans="1:35">
      <c r="C750" s="29"/>
      <c r="D750" s="29"/>
      <c r="E750" s="29" t="s">
        <v>2501</v>
      </c>
      <c r="F750" s="176"/>
      <c r="G750" s="225">
        <v>53000</v>
      </c>
      <c r="H750" s="225">
        <v>58000</v>
      </c>
      <c r="I750" s="225" t="s">
        <v>574</v>
      </c>
      <c r="K750" s="10"/>
      <c r="L750" s="10"/>
      <c r="M750" s="88"/>
      <c r="N750" s="88"/>
      <c r="O750" s="88"/>
      <c r="P750" s="88"/>
      <c r="Q750" s="88"/>
      <c r="R750" s="88"/>
      <c r="S750" s="88"/>
      <c r="T750" s="88"/>
      <c r="U750" s="88"/>
      <c r="V750" s="88"/>
      <c r="W750" s="88"/>
      <c r="X750" s="88"/>
      <c r="Y750" s="410"/>
      <c r="Z750" s="438"/>
      <c r="AA750" s="438"/>
      <c r="AB750" s="438"/>
    </row>
    <row r="751" spans="1:35">
      <c r="A751" s="145" t="s">
        <v>1</v>
      </c>
      <c r="B751" s="376" t="s">
        <v>529</v>
      </c>
      <c r="C751" s="27" t="s">
        <v>2</v>
      </c>
      <c r="D751" s="27" t="s">
        <v>2532</v>
      </c>
      <c r="E751" s="27" t="s">
        <v>2433</v>
      </c>
      <c r="F751" s="165"/>
      <c r="G751" s="22"/>
      <c r="H751" s="22"/>
      <c r="I751" s="22" t="s">
        <v>3</v>
      </c>
      <c r="J751" s="107"/>
      <c r="K751" s="91"/>
      <c r="L751" s="91"/>
      <c r="M751" s="92"/>
      <c r="N751" s="92"/>
      <c r="O751" s="92"/>
      <c r="P751" s="92"/>
      <c r="Q751" s="92"/>
      <c r="R751" s="92"/>
      <c r="S751" s="92"/>
      <c r="T751" s="92"/>
      <c r="U751" s="92"/>
      <c r="V751" s="92"/>
      <c r="W751" s="92"/>
      <c r="X751" s="92"/>
      <c r="Y751" s="411"/>
      <c r="Z751" s="439"/>
      <c r="AA751" s="439"/>
      <c r="AB751" s="439"/>
    </row>
    <row r="752" spans="1:35" hidden="1">
      <c r="A752" s="145">
        <v>45283</v>
      </c>
      <c r="B752" s="376">
        <v>45688</v>
      </c>
      <c r="C752" s="27">
        <v>231104</v>
      </c>
      <c r="D752" s="20" t="str">
        <f t="shared" si="335"/>
        <v>高雄工業 岡山</v>
      </c>
      <c r="E752" s="20" t="str">
        <f t="shared" si="336"/>
        <v>BUI XUAN DAT</v>
      </c>
      <c r="F752" s="20" t="str">
        <f t="shared" si="337"/>
        <v>ブイ　スアン　ダット</v>
      </c>
      <c r="G752" s="11"/>
      <c r="H752" s="11"/>
      <c r="I752" s="11">
        <v>29000</v>
      </c>
      <c r="J752" s="64"/>
      <c r="K752" s="11">
        <v>29000</v>
      </c>
      <c r="L752" s="11">
        <v>29000</v>
      </c>
      <c r="M752" s="81">
        <v>29000</v>
      </c>
      <c r="N752" s="81">
        <v>29000</v>
      </c>
      <c r="O752" s="81">
        <v>29000</v>
      </c>
      <c r="P752" s="81">
        <v>29000</v>
      </c>
      <c r="Q752" s="81">
        <v>29000</v>
      </c>
      <c r="R752" s="81">
        <v>29000</v>
      </c>
      <c r="S752" s="81">
        <v>29000</v>
      </c>
      <c r="T752" s="81">
        <v>29000</v>
      </c>
      <c r="U752" s="81">
        <v>29000</v>
      </c>
      <c r="V752" s="81">
        <v>29000</v>
      </c>
      <c r="W752" s="81">
        <f>8419+13697+20000</f>
        <v>42116</v>
      </c>
      <c r="X752" s="81">
        <v>0</v>
      </c>
      <c r="Y752" s="413">
        <v>0</v>
      </c>
      <c r="Z752" s="441">
        <v>0</v>
      </c>
      <c r="AA752" s="441">
        <v>0</v>
      </c>
      <c r="AB752" s="441">
        <v>0</v>
      </c>
    </row>
    <row r="753" spans="1:35" hidden="1">
      <c r="A753" s="145">
        <v>45418</v>
      </c>
      <c r="B753" s="376">
        <v>45657</v>
      </c>
      <c r="C753" s="129">
        <v>220802</v>
      </c>
      <c r="D753" s="20" t="str">
        <f t="shared" ref="D753:D755" si="359">IF(C753="","",_xlfn.XLOOKUP(C753,社員№,派遣先,"",0,-1))</f>
        <v>コーリツ 州の崎</v>
      </c>
      <c r="E753" s="20" t="str">
        <f t="shared" ref="E753:E755" si="360">IF(C753="","",_xlfn.XLOOKUP(C753,社員№,氏名,"",0,-1))</f>
        <v>NGUYEN DUY THANG</v>
      </c>
      <c r="F753" s="20" t="str">
        <f t="shared" ref="F753:F755" si="361">IF(C753="","",_xlfn.XLOOKUP(C753,社員№,カナ,"",0,-1))</f>
        <v>グエン　ズイ　タン</v>
      </c>
      <c r="G753" s="11"/>
      <c r="H753" s="11"/>
      <c r="I753" s="11">
        <v>29000</v>
      </c>
      <c r="J753" s="64"/>
      <c r="O753" s="81">
        <f>4742+24323</f>
        <v>29065</v>
      </c>
      <c r="P753" s="81">
        <v>29000</v>
      </c>
      <c r="Q753" s="81">
        <v>29000</v>
      </c>
      <c r="R753" s="81">
        <v>29000</v>
      </c>
      <c r="S753" s="81">
        <v>29000</v>
      </c>
      <c r="T753" s="81">
        <v>29000</v>
      </c>
      <c r="U753" s="81">
        <v>29000</v>
      </c>
      <c r="V753" s="81">
        <f>29000+20000</f>
        <v>49000</v>
      </c>
      <c r="W753" s="81">
        <v>0</v>
      </c>
      <c r="X753" s="81">
        <v>0</v>
      </c>
      <c r="Y753" s="413">
        <v>0</v>
      </c>
      <c r="Z753" s="441">
        <v>0</v>
      </c>
      <c r="AA753" s="441">
        <v>0</v>
      </c>
      <c r="AB753" s="441">
        <v>0</v>
      </c>
    </row>
    <row r="754" spans="1:35">
      <c r="A754" s="145">
        <v>45667</v>
      </c>
      <c r="B754" s="376"/>
      <c r="C754" s="27">
        <v>250112</v>
      </c>
      <c r="D754" s="20" t="str">
        <f t="shared" si="359"/>
        <v>高雄工業 岡山</v>
      </c>
      <c r="E754" s="20" t="str">
        <f t="shared" si="360"/>
        <v>NGUYEN NGOC HAI</v>
      </c>
      <c r="F754" s="20" t="str">
        <f t="shared" si="361"/>
        <v>グエン　ゴック　ハイ</v>
      </c>
      <c r="G754" s="11"/>
      <c r="H754" s="11"/>
      <c r="I754" s="11">
        <v>29000</v>
      </c>
      <c r="J754" s="64"/>
      <c r="O754" s="81"/>
      <c r="P754" s="81"/>
      <c r="Q754" s="81"/>
      <c r="R754" s="81"/>
      <c r="S754" s="81"/>
      <c r="T754" s="81"/>
      <c r="U754" s="81"/>
      <c r="V754" s="81"/>
      <c r="W754" s="81">
        <v>13697</v>
      </c>
      <c r="X754" s="81">
        <v>29000</v>
      </c>
      <c r="Y754" s="413">
        <v>29000</v>
      </c>
      <c r="Z754" s="441">
        <v>29000</v>
      </c>
      <c r="AA754" s="441">
        <v>29000</v>
      </c>
      <c r="AB754" s="441">
        <v>29000</v>
      </c>
      <c r="AC754" s="441">
        <v>29000</v>
      </c>
      <c r="AD754" s="441">
        <v>29000</v>
      </c>
      <c r="AE754" s="437">
        <v>29000</v>
      </c>
      <c r="AF754" s="437">
        <v>29000</v>
      </c>
      <c r="AG754" s="437">
        <v>29000</v>
      </c>
      <c r="AH754" s="437">
        <v>29000</v>
      </c>
      <c r="AI754" s="437">
        <v>29000</v>
      </c>
    </row>
    <row r="755" spans="1:35">
      <c r="A755" s="145">
        <v>45667</v>
      </c>
      <c r="B755" s="376"/>
      <c r="C755" s="27">
        <v>250113</v>
      </c>
      <c r="D755" s="20" t="str">
        <f t="shared" si="359"/>
        <v>高雄工業 岡山</v>
      </c>
      <c r="E755" s="20" t="str">
        <f t="shared" si="360"/>
        <v>PHAM KHANH DUY</v>
      </c>
      <c r="F755" s="20" t="str">
        <f t="shared" si="361"/>
        <v>ファム　カン　ズイ</v>
      </c>
      <c r="G755" s="11"/>
      <c r="H755" s="11"/>
      <c r="I755" s="11">
        <v>29000</v>
      </c>
      <c r="J755" s="64"/>
      <c r="O755" s="81"/>
      <c r="P755" s="81"/>
      <c r="Q755" s="81"/>
      <c r="R755" s="81"/>
      <c r="S755" s="81"/>
      <c r="T755" s="81"/>
      <c r="U755" s="81"/>
      <c r="V755" s="81"/>
      <c r="W755" s="81">
        <v>13697</v>
      </c>
      <c r="X755" s="81">
        <v>29000</v>
      </c>
      <c r="Y755" s="413">
        <v>29000</v>
      </c>
      <c r="Z755" s="441">
        <v>29000</v>
      </c>
      <c r="AA755" s="441">
        <v>29000</v>
      </c>
      <c r="AB755" s="441">
        <v>29000</v>
      </c>
      <c r="AC755" s="441">
        <v>29000</v>
      </c>
      <c r="AD755" s="441">
        <v>29000</v>
      </c>
      <c r="AE755" s="437">
        <v>29000</v>
      </c>
      <c r="AF755" s="437">
        <v>29000</v>
      </c>
      <c r="AG755" s="437">
        <v>29000</v>
      </c>
      <c r="AH755" s="437">
        <v>29000</v>
      </c>
      <c r="AI755" s="437">
        <v>29000</v>
      </c>
    </row>
    <row r="756" spans="1:35">
      <c r="F756" s="160"/>
      <c r="G756" s="10"/>
      <c r="H756" s="10"/>
      <c r="I756" s="10"/>
      <c r="K756" s="10"/>
      <c r="L756" s="10"/>
      <c r="M756" s="88"/>
      <c r="N756" s="88"/>
      <c r="O756" s="88"/>
      <c r="P756" s="88"/>
      <c r="Q756" s="88"/>
      <c r="R756" s="88"/>
      <c r="S756" s="88"/>
      <c r="T756" s="88"/>
      <c r="U756" s="88"/>
      <c r="V756" s="88"/>
      <c r="W756" s="88"/>
      <c r="X756" s="88"/>
      <c r="Y756" s="410"/>
      <c r="Z756" s="438"/>
      <c r="AA756" s="438"/>
      <c r="AB756" s="438"/>
    </row>
    <row r="757" spans="1:35">
      <c r="C757" s="29"/>
      <c r="D757" s="29"/>
      <c r="E757" s="29" t="s">
        <v>2502</v>
      </c>
      <c r="F757" s="176"/>
      <c r="G757" s="225">
        <v>51000</v>
      </c>
      <c r="H757" s="225">
        <v>58000</v>
      </c>
      <c r="I757" s="225" t="s">
        <v>574</v>
      </c>
      <c r="K757" s="10"/>
      <c r="L757" s="10"/>
      <c r="M757" s="88"/>
      <c r="N757" s="88"/>
      <c r="O757" s="88"/>
      <c r="P757" s="88"/>
      <c r="Q757" s="88"/>
      <c r="R757" s="88"/>
      <c r="S757" s="88"/>
      <c r="T757" s="88"/>
      <c r="U757" s="88"/>
      <c r="V757" s="88"/>
      <c r="W757" s="88"/>
      <c r="X757" s="88"/>
      <c r="Y757" s="410"/>
      <c r="Z757" s="438"/>
      <c r="AA757" s="438"/>
      <c r="AB757" s="438"/>
    </row>
    <row r="758" spans="1:35">
      <c r="A758" s="145" t="s">
        <v>1</v>
      </c>
      <c r="B758" s="376" t="s">
        <v>529</v>
      </c>
      <c r="C758" s="27" t="s">
        <v>2</v>
      </c>
      <c r="D758" s="27" t="s">
        <v>2532</v>
      </c>
      <c r="E758" s="27" t="s">
        <v>2433</v>
      </c>
      <c r="F758" s="165"/>
      <c r="G758" s="22"/>
      <c r="H758" s="22"/>
      <c r="I758" s="22" t="s">
        <v>3</v>
      </c>
      <c r="J758" s="107"/>
      <c r="K758" s="91"/>
      <c r="L758" s="91"/>
      <c r="M758" s="92"/>
      <c r="N758" s="92"/>
      <c r="O758" s="92"/>
      <c r="P758" s="92"/>
      <c r="Q758" s="92"/>
      <c r="R758" s="92"/>
      <c r="S758" s="92"/>
      <c r="T758" s="92"/>
      <c r="U758" s="92"/>
      <c r="V758" s="92"/>
      <c r="W758" s="92"/>
      <c r="X758" s="92"/>
      <c r="Y758" s="411"/>
      <c r="Z758" s="439"/>
      <c r="AA758" s="439"/>
      <c r="AB758" s="439"/>
    </row>
    <row r="759" spans="1:35">
      <c r="A759" s="145">
        <v>45481</v>
      </c>
      <c r="B759" s="376"/>
      <c r="C759" s="27">
        <v>240706</v>
      </c>
      <c r="D759" s="20" t="str">
        <f t="shared" ref="D759:D806" si="362">IF(C759="","",_xlfn.XLOOKUP(C759,社員№,派遣先,"",0,-1))</f>
        <v>高雄工業 岡山</v>
      </c>
      <c r="E759" s="20" t="str">
        <f t="shared" ref="E759:E806" si="363">IF(C759="","",_xlfn.XLOOKUP(C759,社員№,氏名,"",0,-1))</f>
        <v>NGUYEN VAN DAT</v>
      </c>
      <c r="F759" s="20" t="str">
        <f t="shared" ref="F759:F806" si="364">IF(C759="","",_xlfn.XLOOKUP(C759,社員№,カナ,"",0,-1))</f>
        <v>グエン　ヴァン　ダット</v>
      </c>
      <c r="G759" s="11"/>
      <c r="H759" s="11"/>
      <c r="I759" s="11">
        <v>28000</v>
      </c>
      <c r="J759" s="141"/>
      <c r="N759" s="82"/>
      <c r="O759" s="82"/>
      <c r="P759" s="82"/>
      <c r="Q759" s="82">
        <f>3484+22452</f>
        <v>25936</v>
      </c>
      <c r="R759" s="82">
        <v>28000</v>
      </c>
      <c r="S759" s="82">
        <v>28000</v>
      </c>
      <c r="T759" s="82">
        <v>28000</v>
      </c>
      <c r="U759" s="82">
        <v>28000</v>
      </c>
      <c r="V759" s="82">
        <v>28000</v>
      </c>
      <c r="W759" s="82">
        <v>28000</v>
      </c>
      <c r="X759" s="82">
        <v>28000</v>
      </c>
      <c r="Y759" s="202">
        <v>28000</v>
      </c>
      <c r="Z759" s="446">
        <v>28000</v>
      </c>
      <c r="AA759" s="446">
        <v>28000</v>
      </c>
      <c r="AB759" s="446">
        <v>28000</v>
      </c>
      <c r="AC759" s="446">
        <v>28000</v>
      </c>
      <c r="AD759" s="446">
        <v>28000</v>
      </c>
      <c r="AE759" s="444">
        <v>28000</v>
      </c>
      <c r="AF759" s="444">
        <v>28000</v>
      </c>
      <c r="AG759" s="444">
        <v>28000</v>
      </c>
      <c r="AH759" s="444">
        <v>28000</v>
      </c>
      <c r="AI759" s="444">
        <v>28000</v>
      </c>
    </row>
    <row r="760" spans="1:35">
      <c r="A760" s="145">
        <v>45481</v>
      </c>
      <c r="B760" s="484">
        <v>45941</v>
      </c>
      <c r="C760" s="27">
        <v>240707</v>
      </c>
      <c r="D760" s="20" t="str">
        <f t="shared" ref="D760:D761" si="365">IF(C760="","",_xlfn.XLOOKUP(C760,社員№,派遣先,"",0,-1))</f>
        <v>高雄工業 岡山</v>
      </c>
      <c r="E760" s="20" t="str">
        <f t="shared" ref="E760:E761" si="366">IF(C760="","",_xlfn.XLOOKUP(C760,社員№,氏名,"",0,-1))</f>
        <v>NGUYEN CONG NAM</v>
      </c>
      <c r="F760" s="20" t="str">
        <f t="shared" ref="F760:F761" si="367">IF(C760="","",_xlfn.XLOOKUP(C760,社員№,カナ,"",0,-1))</f>
        <v>グエン　コン　ナム</v>
      </c>
      <c r="G760" s="11"/>
      <c r="H760" s="11"/>
      <c r="I760" s="11">
        <v>28000</v>
      </c>
      <c r="J760" s="141"/>
      <c r="N760" s="82"/>
      <c r="O760" s="82"/>
      <c r="P760" s="82"/>
      <c r="Q760" s="82">
        <f>3484+22452</f>
        <v>25936</v>
      </c>
      <c r="R760" s="82">
        <v>28000</v>
      </c>
      <c r="S760" s="82">
        <v>28000</v>
      </c>
      <c r="T760" s="82">
        <v>28000</v>
      </c>
      <c r="U760" s="82">
        <v>28000</v>
      </c>
      <c r="V760" s="82">
        <v>28000</v>
      </c>
      <c r="W760" s="82">
        <v>28000</v>
      </c>
      <c r="X760" s="82">
        <v>28000</v>
      </c>
      <c r="Y760" s="202">
        <v>28000</v>
      </c>
      <c r="Z760" s="446">
        <v>28000</v>
      </c>
      <c r="AA760" s="446">
        <v>28000</v>
      </c>
      <c r="AB760" s="446">
        <v>28000</v>
      </c>
      <c r="AC760" s="446">
        <v>28000</v>
      </c>
      <c r="AD760" s="446">
        <v>28000</v>
      </c>
      <c r="AE760" s="446">
        <v>28000</v>
      </c>
      <c r="AF760" s="446">
        <v>48000</v>
      </c>
    </row>
    <row r="761" spans="1:35">
      <c r="A761" s="145">
        <v>45966</v>
      </c>
      <c r="B761" s="376">
        <v>45995</v>
      </c>
      <c r="C761" s="27">
        <v>251202</v>
      </c>
      <c r="D761" s="20" t="str">
        <f t="shared" si="365"/>
        <v>高雄工業 本社</v>
      </c>
      <c r="E761" s="20" t="str">
        <f t="shared" si="366"/>
        <v>LE DUC MANH</v>
      </c>
      <c r="F761" s="20" t="str">
        <f t="shared" si="367"/>
        <v>レー　ドゥック　マイン</v>
      </c>
      <c r="G761" s="11"/>
      <c r="H761" s="11"/>
      <c r="I761" s="11"/>
      <c r="J761" s="141"/>
      <c r="N761" s="82"/>
      <c r="O761" s="82"/>
      <c r="P761" s="82"/>
      <c r="Q761" s="82"/>
      <c r="R761" s="82"/>
      <c r="S761" s="82"/>
      <c r="T761" s="82"/>
      <c r="U761" s="82"/>
      <c r="V761" s="82"/>
      <c r="W761" s="82"/>
      <c r="X761" s="82"/>
      <c r="Y761" s="202"/>
      <c r="Z761" s="446"/>
      <c r="AA761" s="446"/>
      <c r="AB761" s="446"/>
      <c r="AC761" s="446"/>
      <c r="AD761" s="446"/>
      <c r="AE761" s="446"/>
      <c r="AF761" s="446"/>
      <c r="AG761" s="522">
        <v>24300</v>
      </c>
      <c r="AH761" s="508">
        <v>0</v>
      </c>
    </row>
    <row r="762" spans="1:35">
      <c r="A762" s="145">
        <v>46035</v>
      </c>
      <c r="B762" s="376"/>
      <c r="C762" s="27">
        <v>260107</v>
      </c>
      <c r="D762" s="20" t="s">
        <v>2892</v>
      </c>
      <c r="E762" s="20" t="s">
        <v>2898</v>
      </c>
      <c r="F762" s="20" t="s">
        <v>2899</v>
      </c>
      <c r="G762" s="11"/>
      <c r="H762" s="11"/>
      <c r="I762" s="11"/>
      <c r="J762" s="141"/>
      <c r="N762" s="82"/>
      <c r="O762" s="82"/>
      <c r="P762" s="82"/>
      <c r="Q762" s="82"/>
      <c r="R762" s="82"/>
      <c r="S762" s="82"/>
      <c r="T762" s="82"/>
      <c r="U762" s="82"/>
      <c r="V762" s="82"/>
      <c r="W762" s="82"/>
      <c r="X762" s="82"/>
      <c r="Y762" s="202"/>
      <c r="Z762" s="446"/>
      <c r="AA762" s="446"/>
      <c r="AB762" s="446"/>
      <c r="AC762" s="446"/>
      <c r="AD762" s="446"/>
      <c r="AE762" s="446"/>
      <c r="AF762" s="446"/>
      <c r="AG762" s="537"/>
      <c r="AI762" s="448">
        <v>17160</v>
      </c>
    </row>
    <row r="763" spans="1:35">
      <c r="C763" s="538"/>
      <c r="D763" s="389"/>
      <c r="E763" s="538"/>
      <c r="F763" s="542"/>
      <c r="G763" s="10"/>
      <c r="H763" s="10"/>
      <c r="I763" s="10"/>
      <c r="J763" s="142"/>
      <c r="K763" s="10"/>
      <c r="L763" s="10"/>
      <c r="M763" s="88"/>
      <c r="N763" s="140"/>
      <c r="O763" s="140"/>
      <c r="P763" s="140"/>
      <c r="Q763" s="140"/>
      <c r="R763" s="140"/>
      <c r="S763" s="140"/>
      <c r="T763" s="140"/>
      <c r="U763" s="140"/>
      <c r="V763" s="140"/>
      <c r="W763" s="140"/>
      <c r="X763" s="140"/>
      <c r="Y763" s="419"/>
      <c r="Z763" s="449"/>
      <c r="AA763" s="449"/>
      <c r="AB763" s="449"/>
      <c r="AF763" s="538"/>
      <c r="AG763" s="544"/>
    </row>
    <row r="764" spans="1:35">
      <c r="A764" s="147"/>
      <c r="C764" s="57"/>
      <c r="D764" s="58"/>
      <c r="E764" s="57" t="s">
        <v>160</v>
      </c>
      <c r="F764" s="185"/>
      <c r="G764" s="226">
        <v>53000</v>
      </c>
      <c r="H764" s="226">
        <v>55000</v>
      </c>
      <c r="I764" s="226" t="s">
        <v>584</v>
      </c>
      <c r="J764" s="74"/>
      <c r="K764" s="10"/>
      <c r="L764" s="10"/>
      <c r="M764" s="88"/>
      <c r="N764" s="88"/>
      <c r="O764" s="88"/>
      <c r="P764" s="88"/>
      <c r="Q764" s="88"/>
      <c r="R764" s="88"/>
      <c r="S764" s="88"/>
      <c r="T764" s="88"/>
      <c r="U764" s="88"/>
      <c r="V764" s="88"/>
      <c r="W764" s="88"/>
      <c r="X764" s="88"/>
      <c r="Y764" s="410"/>
      <c r="Z764" s="438"/>
      <c r="AA764" s="438"/>
      <c r="AB764" s="438"/>
    </row>
    <row r="765" spans="1:35">
      <c r="A765" s="151" t="s">
        <v>1</v>
      </c>
      <c r="B765" s="379" t="s">
        <v>529</v>
      </c>
      <c r="C765" s="43" t="s">
        <v>2</v>
      </c>
      <c r="D765" s="43" t="s">
        <v>2532</v>
      </c>
      <c r="E765" s="43" t="s">
        <v>2433</v>
      </c>
      <c r="F765" s="186"/>
      <c r="G765" s="98"/>
      <c r="H765" s="98" t="s">
        <v>2649</v>
      </c>
      <c r="I765" s="98" t="s">
        <v>2650</v>
      </c>
      <c r="J765" s="90"/>
      <c r="K765" s="91"/>
      <c r="L765" s="91"/>
      <c r="M765" s="92"/>
      <c r="N765" s="92"/>
      <c r="O765" s="92"/>
      <c r="P765" s="92"/>
      <c r="Q765" s="92"/>
      <c r="R765" s="92"/>
      <c r="S765" s="92"/>
      <c r="T765" s="92"/>
      <c r="U765" s="92"/>
      <c r="V765" s="92"/>
      <c r="W765" s="92"/>
      <c r="X765" s="92"/>
      <c r="Y765" s="411"/>
      <c r="Z765" s="439"/>
      <c r="AA765" s="439"/>
      <c r="AB765" s="439"/>
    </row>
    <row r="766" spans="1:35">
      <c r="A766" s="145">
        <v>45716</v>
      </c>
      <c r="B766" s="376"/>
      <c r="C766" s="555" t="s">
        <v>2865</v>
      </c>
      <c r="D766" s="20" t="str">
        <f t="shared" ref="D766:D770" si="368">IF(C766="","",_xlfn.XLOOKUP(C766,社員№,派遣先,"",0,-1))</f>
        <v>切粉回収</v>
      </c>
      <c r="E766" s="20" t="str">
        <f t="shared" ref="E766:E770" si="369">IF(C766="","",_xlfn.XLOOKUP(C766,社員№,氏名,"",0,-1))</f>
        <v>RYAN AJI PAMUNGKAS</v>
      </c>
      <c r="F766" s="20" t="str">
        <f t="shared" ref="F766:F770" si="370">IF(C766="","",_xlfn.XLOOKUP(C766,社員№,カナ,"",0,-1))</f>
        <v>リャン　アジ　パムンカス</v>
      </c>
      <c r="G766" s="4"/>
      <c r="H766" s="4">
        <v>18300</v>
      </c>
      <c r="I766" s="4">
        <v>13750</v>
      </c>
      <c r="J766" s="65"/>
      <c r="O766" s="81"/>
      <c r="P766" s="81"/>
      <c r="Q766" s="81"/>
      <c r="R766" s="81"/>
      <c r="S766" s="81"/>
      <c r="T766" s="81"/>
      <c r="U766" s="81"/>
      <c r="V766" s="81"/>
      <c r="W766" s="81"/>
      <c r="X766" s="81"/>
      <c r="Y766" s="413">
        <f t="shared" ref="Y766:Y768" si="371">327+9166</f>
        <v>9493</v>
      </c>
      <c r="Z766" s="437">
        <v>9166</v>
      </c>
      <c r="AA766" s="437">
        <v>10600</v>
      </c>
      <c r="AB766" s="437">
        <v>18300</v>
      </c>
      <c r="AC766" s="437">
        <v>18300</v>
      </c>
      <c r="AD766" s="437">
        <v>18300</v>
      </c>
      <c r="AE766" s="437">
        <v>18300</v>
      </c>
      <c r="AF766" s="437">
        <v>18300</v>
      </c>
      <c r="AG766" s="522">
        <v>15722</v>
      </c>
      <c r="AH766" s="508">
        <v>13750</v>
      </c>
      <c r="AI766" s="448">
        <v>13750</v>
      </c>
    </row>
    <row r="767" spans="1:35">
      <c r="A767" s="145">
        <v>45716</v>
      </c>
      <c r="B767" s="376"/>
      <c r="C767" s="555" t="s">
        <v>2866</v>
      </c>
      <c r="D767" s="20" t="str">
        <f t="shared" si="368"/>
        <v>切粉回収</v>
      </c>
      <c r="E767" s="20" t="str">
        <f t="shared" si="369"/>
        <v>DICKY ARDYA</v>
      </c>
      <c r="F767" s="20" t="str">
        <f t="shared" si="370"/>
        <v>ディッキー　アルディヤ</v>
      </c>
      <c r="G767" s="4"/>
      <c r="H767" s="4">
        <v>18300</v>
      </c>
      <c r="I767" s="4">
        <v>13750</v>
      </c>
      <c r="J767" s="65"/>
      <c r="O767" s="81"/>
      <c r="P767" s="81"/>
      <c r="Q767" s="81"/>
      <c r="R767" s="81"/>
      <c r="S767" s="81"/>
      <c r="T767" s="81"/>
      <c r="U767" s="81"/>
      <c r="V767" s="81"/>
      <c r="W767" s="81"/>
      <c r="X767" s="81"/>
      <c r="Y767" s="413">
        <f t="shared" si="371"/>
        <v>9493</v>
      </c>
      <c r="Z767" s="437">
        <v>9166</v>
      </c>
      <c r="AA767" s="437">
        <v>10600</v>
      </c>
      <c r="AB767" s="437">
        <v>18300</v>
      </c>
      <c r="AC767" s="437">
        <v>18300</v>
      </c>
      <c r="AD767" s="437">
        <v>18300</v>
      </c>
      <c r="AE767" s="437">
        <v>18300</v>
      </c>
      <c r="AF767" s="437">
        <v>18300</v>
      </c>
      <c r="AG767" s="522">
        <v>15722</v>
      </c>
      <c r="AH767" s="508">
        <v>13750</v>
      </c>
      <c r="AI767" s="448">
        <v>13750</v>
      </c>
    </row>
    <row r="768" spans="1:35">
      <c r="A768" s="145">
        <v>45716</v>
      </c>
      <c r="B768" s="376"/>
      <c r="C768" s="555" t="s">
        <v>2867</v>
      </c>
      <c r="D768" s="20" t="str">
        <f t="shared" si="368"/>
        <v>切粉回収</v>
      </c>
      <c r="E768" s="20" t="str">
        <f t="shared" si="369"/>
        <v>DICKY TRIATMOKO</v>
      </c>
      <c r="F768" s="20" t="str">
        <f t="shared" si="370"/>
        <v>ディッキー　トリアトモコ</v>
      </c>
      <c r="G768" s="4"/>
      <c r="H768" s="4">
        <v>18300</v>
      </c>
      <c r="I768" s="4">
        <v>13750</v>
      </c>
      <c r="J768" s="65"/>
      <c r="O768" s="81"/>
      <c r="P768" s="81"/>
      <c r="Q768" s="81"/>
      <c r="R768" s="81"/>
      <c r="S768" s="81"/>
      <c r="T768" s="81"/>
      <c r="U768" s="81"/>
      <c r="V768" s="81"/>
      <c r="W768" s="81"/>
      <c r="X768" s="81"/>
      <c r="Y768" s="413">
        <f t="shared" si="371"/>
        <v>9493</v>
      </c>
      <c r="Z768" s="437">
        <v>9166</v>
      </c>
      <c r="AA768" s="437">
        <v>10600</v>
      </c>
      <c r="AB768" s="437">
        <v>18300</v>
      </c>
      <c r="AC768" s="437">
        <v>18300</v>
      </c>
      <c r="AD768" s="437">
        <v>18300</v>
      </c>
      <c r="AE768" s="437">
        <v>18300</v>
      </c>
      <c r="AF768" s="437">
        <v>18300</v>
      </c>
      <c r="AG768" s="522">
        <v>15722</v>
      </c>
      <c r="AH768" s="508">
        <v>13750</v>
      </c>
      <c r="AI768" s="448">
        <v>13750</v>
      </c>
    </row>
    <row r="769" spans="1:36">
      <c r="A769" s="145">
        <v>45975</v>
      </c>
      <c r="B769" s="376">
        <v>46049</v>
      </c>
      <c r="C769" s="555" t="s">
        <v>2868</v>
      </c>
      <c r="D769" s="20" t="str">
        <f t="shared" si="368"/>
        <v>全般</v>
      </c>
      <c r="E769" s="20" t="str">
        <f t="shared" si="369"/>
        <v>NOFAL ADAM PRADITA</v>
      </c>
      <c r="F769" s="20" t="str">
        <f t="shared" si="370"/>
        <v>ノファル　アダム　プラディタ</v>
      </c>
      <c r="G769" s="4"/>
      <c r="H769" s="4"/>
      <c r="I769" s="4">
        <v>13750</v>
      </c>
      <c r="J769" s="65"/>
      <c r="O769" s="81"/>
      <c r="P769" s="81"/>
      <c r="Q769" s="81"/>
      <c r="R769" s="81"/>
      <c r="S769" s="81"/>
      <c r="T769" s="81"/>
      <c r="U769" s="81"/>
      <c r="V769" s="81"/>
      <c r="W769" s="81"/>
      <c r="X769" s="81"/>
      <c r="Y769" s="413"/>
      <c r="Z769" s="441"/>
      <c r="AA769" s="441"/>
      <c r="AB769" s="441"/>
      <c r="AC769" s="441"/>
      <c r="AD769" s="441"/>
      <c r="AE769" s="441"/>
      <c r="AF769" s="441"/>
      <c r="AG769" s="522">
        <v>0</v>
      </c>
      <c r="AH769" s="551">
        <v>21542</v>
      </c>
      <c r="AI769" s="448">
        <v>0</v>
      </c>
    </row>
    <row r="770" spans="1:36">
      <c r="A770" s="145">
        <v>46049</v>
      </c>
      <c r="B770" s="376"/>
      <c r="C770" s="27" t="s">
        <v>2840</v>
      </c>
      <c r="D770" s="20" t="str">
        <f t="shared" si="368"/>
        <v>全般</v>
      </c>
      <c r="E770" s="20" t="str">
        <f t="shared" si="369"/>
        <v>ANDREA ZAKKY AMANDHITA</v>
      </c>
      <c r="F770" s="20" t="str">
        <f t="shared" si="370"/>
        <v>アンドレア　ザッキー　アマンディタ</v>
      </c>
      <c r="G770" s="4"/>
      <c r="H770" s="4"/>
      <c r="I770" s="4"/>
      <c r="J770" s="65"/>
      <c r="O770" s="81"/>
      <c r="P770" s="81"/>
      <c r="Q770" s="81"/>
      <c r="R770" s="81"/>
      <c r="S770" s="81"/>
      <c r="T770" s="81"/>
      <c r="U770" s="81"/>
      <c r="V770" s="81"/>
      <c r="W770" s="81"/>
      <c r="X770" s="81"/>
      <c r="Y770" s="413"/>
      <c r="Z770" s="441"/>
      <c r="AA770" s="441"/>
      <c r="AB770" s="441"/>
      <c r="AC770" s="448"/>
      <c r="AD770" s="1"/>
      <c r="AE770" s="1"/>
      <c r="AF770" s="27"/>
      <c r="AG770" s="544"/>
      <c r="AI770" s="561">
        <v>14536</v>
      </c>
    </row>
    <row r="771" spans="1:36">
      <c r="A771" s="147"/>
      <c r="F771" s="160"/>
      <c r="G771" s="5"/>
      <c r="H771" s="5"/>
      <c r="I771" s="5"/>
      <c r="J771" s="74"/>
      <c r="K771" s="10"/>
      <c r="L771" s="10"/>
      <c r="M771" s="88"/>
      <c r="N771" s="88"/>
      <c r="O771" s="88"/>
      <c r="P771" s="88"/>
      <c r="Q771" s="88"/>
      <c r="R771" s="88"/>
      <c r="S771" s="88"/>
      <c r="T771" s="88"/>
      <c r="U771" s="88"/>
      <c r="V771" s="88"/>
      <c r="W771" s="88"/>
      <c r="X771" s="88"/>
      <c r="Y771" s="410"/>
      <c r="Z771" s="438"/>
      <c r="AA771" s="438"/>
      <c r="AB771" s="438"/>
      <c r="AF771" s="538"/>
      <c r="AG771" s="544"/>
    </row>
    <row r="772" spans="1:36">
      <c r="A772" s="147"/>
      <c r="C772" s="53"/>
      <c r="D772" s="54"/>
      <c r="E772" s="53" t="s">
        <v>161</v>
      </c>
      <c r="F772" s="187"/>
      <c r="G772" s="224">
        <v>53000</v>
      </c>
      <c r="H772" s="224">
        <v>55000</v>
      </c>
      <c r="I772" s="224" t="s">
        <v>584</v>
      </c>
      <c r="J772" s="74"/>
      <c r="K772" s="10"/>
      <c r="L772" s="10"/>
      <c r="M772" s="88"/>
      <c r="N772" s="88"/>
      <c r="O772" s="88"/>
      <c r="P772" s="88"/>
      <c r="Q772" s="88"/>
      <c r="R772" s="88"/>
      <c r="S772" s="88"/>
      <c r="T772" s="88"/>
      <c r="U772" s="88"/>
      <c r="V772" s="88"/>
      <c r="W772" s="88"/>
      <c r="X772" s="88"/>
      <c r="Y772" s="410"/>
      <c r="Z772" s="438"/>
      <c r="AA772" s="438"/>
      <c r="AB772" s="438"/>
    </row>
    <row r="773" spans="1:36">
      <c r="A773" s="148" t="s">
        <v>1</v>
      </c>
      <c r="B773" s="379" t="s">
        <v>529</v>
      </c>
      <c r="C773" s="43" t="s">
        <v>2</v>
      </c>
      <c r="D773" s="27" t="s">
        <v>2532</v>
      </c>
      <c r="E773" s="27" t="s">
        <v>2433</v>
      </c>
      <c r="F773" s="165"/>
      <c r="G773" s="23"/>
      <c r="H773" s="23" t="s">
        <v>2649</v>
      </c>
      <c r="I773" s="23" t="s">
        <v>2650</v>
      </c>
      <c r="J773" s="90"/>
      <c r="K773" s="91"/>
      <c r="L773" s="91"/>
      <c r="M773" s="92"/>
      <c r="N773" s="92"/>
      <c r="O773" s="92"/>
      <c r="P773" s="92"/>
      <c r="Q773" s="92"/>
      <c r="R773" s="92"/>
      <c r="S773" s="92"/>
      <c r="T773" s="92"/>
      <c r="U773" s="92"/>
      <c r="V773" s="92"/>
      <c r="W773" s="92"/>
      <c r="X773" s="92"/>
      <c r="Y773" s="411"/>
      <c r="Z773" s="439"/>
      <c r="AA773" s="439"/>
      <c r="AB773" s="439"/>
    </row>
    <row r="774" spans="1:36">
      <c r="A774" s="145">
        <v>45716</v>
      </c>
      <c r="B774" s="376"/>
      <c r="C774" s="555" t="s">
        <v>2869</v>
      </c>
      <c r="D774" s="20" t="str">
        <f t="shared" ref="D774:D777" si="372">IF(C774="","",_xlfn.XLOOKUP(C774,社員№,派遣先,"",0,-1))</f>
        <v>切粉回収</v>
      </c>
      <c r="E774" s="20" t="str">
        <f t="shared" ref="E774:E777" si="373">IF(C774="","",_xlfn.XLOOKUP(C774,社員№,氏名,"",0,-1))</f>
        <v>DODIT DOS PRIAWAN</v>
      </c>
      <c r="F774" s="20" t="str">
        <f t="shared" ref="F774:F777" si="374">IF(C774="","",_xlfn.XLOOKUP(C774,社員№,カナ,"",0,-1))</f>
        <v>ドディト　ドス　プリアワン</v>
      </c>
      <c r="G774" s="4"/>
      <c r="H774" s="4">
        <v>18300</v>
      </c>
      <c r="I774" s="4">
        <v>13750</v>
      </c>
      <c r="J774" s="65"/>
      <c r="O774" s="81"/>
      <c r="P774" s="81"/>
      <c r="Q774" s="81"/>
      <c r="R774" s="81"/>
      <c r="S774" s="81"/>
      <c r="T774" s="81"/>
      <c r="U774" s="81"/>
      <c r="V774" s="81"/>
      <c r="W774" s="81"/>
      <c r="X774" s="81"/>
      <c r="Y774" s="413">
        <f t="shared" ref="Y774:Y776" si="375">327+9166</f>
        <v>9493</v>
      </c>
      <c r="Z774" s="437">
        <v>9166</v>
      </c>
      <c r="AA774" s="437">
        <v>9166</v>
      </c>
      <c r="AB774" s="437">
        <v>18300</v>
      </c>
      <c r="AC774" s="437">
        <v>18300</v>
      </c>
      <c r="AD774" s="437">
        <v>18300</v>
      </c>
      <c r="AE774" s="437">
        <v>18300</v>
      </c>
      <c r="AF774" s="437">
        <v>18300</v>
      </c>
      <c r="AG774" s="522">
        <v>15722</v>
      </c>
      <c r="AH774" s="508">
        <v>13750</v>
      </c>
      <c r="AI774" s="448">
        <v>13750</v>
      </c>
    </row>
    <row r="775" spans="1:36">
      <c r="A775" s="145">
        <v>45716</v>
      </c>
      <c r="B775" s="376"/>
      <c r="C775" s="555" t="s">
        <v>2870</v>
      </c>
      <c r="D775" s="20" t="str">
        <f t="shared" si="372"/>
        <v>切粉回収</v>
      </c>
      <c r="E775" s="20" t="str">
        <f t="shared" si="373"/>
        <v>ALFINAS YUDI ATMOJO</v>
      </c>
      <c r="F775" s="20" t="str">
        <f t="shared" si="374"/>
        <v>アルフィナス　ユディ　アトモジョ</v>
      </c>
      <c r="G775" s="4"/>
      <c r="H775" s="4">
        <v>18300</v>
      </c>
      <c r="I775" s="4">
        <v>13750</v>
      </c>
      <c r="J775" s="65"/>
      <c r="O775" s="81"/>
      <c r="P775" s="81"/>
      <c r="Q775" s="81"/>
      <c r="R775" s="81"/>
      <c r="S775" s="81"/>
      <c r="T775" s="81"/>
      <c r="U775" s="81"/>
      <c r="V775" s="81"/>
      <c r="W775" s="81"/>
      <c r="X775" s="81"/>
      <c r="Y775" s="413">
        <f t="shared" si="375"/>
        <v>9493</v>
      </c>
      <c r="Z775" s="437">
        <v>9166</v>
      </c>
      <c r="AA775" s="437">
        <v>9166</v>
      </c>
      <c r="AB775" s="437">
        <v>18300</v>
      </c>
      <c r="AC775" s="437">
        <v>18300</v>
      </c>
      <c r="AD775" s="437">
        <v>18300</v>
      </c>
      <c r="AE775" s="437">
        <v>18300</v>
      </c>
      <c r="AF775" s="437">
        <v>18300</v>
      </c>
      <c r="AG775" s="522">
        <v>15722</v>
      </c>
      <c r="AH775" s="508">
        <v>13750</v>
      </c>
      <c r="AI775" s="448">
        <v>13750</v>
      </c>
      <c r="AJ775" s="448"/>
    </row>
    <row r="776" spans="1:36">
      <c r="A776" s="145">
        <v>45716</v>
      </c>
      <c r="B776" s="376"/>
      <c r="C776" s="555" t="s">
        <v>2871</v>
      </c>
      <c r="D776" s="20" t="str">
        <f t="shared" si="372"/>
        <v>切粉回収</v>
      </c>
      <c r="E776" s="20" t="str">
        <f t="shared" si="373"/>
        <v>MUHAMMAD KHOIRUL FIRMANSYAH</v>
      </c>
      <c r="F776" s="20" t="str">
        <f t="shared" si="374"/>
        <v>ムハンマド　コイルル　フィルマンジャー</v>
      </c>
      <c r="G776" s="4"/>
      <c r="H776" s="4">
        <v>18300</v>
      </c>
      <c r="I776" s="4">
        <v>13750</v>
      </c>
      <c r="J776" s="65"/>
      <c r="O776" s="81"/>
      <c r="P776" s="81"/>
      <c r="Q776" s="81"/>
      <c r="R776" s="81"/>
      <c r="S776" s="81"/>
      <c r="T776" s="81"/>
      <c r="U776" s="81"/>
      <c r="V776" s="81"/>
      <c r="W776" s="81"/>
      <c r="X776" s="81"/>
      <c r="Y776" s="413">
        <f t="shared" si="375"/>
        <v>9493</v>
      </c>
      <c r="Z776" s="437">
        <v>9166</v>
      </c>
      <c r="AA776" s="437">
        <v>9166</v>
      </c>
      <c r="AB776" s="437">
        <v>18300</v>
      </c>
      <c r="AC776" s="437">
        <v>18300</v>
      </c>
      <c r="AD776" s="437">
        <v>18300</v>
      </c>
      <c r="AE776" s="437">
        <v>18300</v>
      </c>
      <c r="AF776" s="437">
        <v>18300</v>
      </c>
      <c r="AG776" s="522">
        <v>15722</v>
      </c>
      <c r="AH776" s="508">
        <v>13750</v>
      </c>
      <c r="AI776" s="448">
        <v>13750</v>
      </c>
    </row>
    <row r="777" spans="1:36">
      <c r="A777" s="145">
        <v>45975</v>
      </c>
      <c r="B777" s="376">
        <v>46049</v>
      </c>
      <c r="C777" s="555" t="s">
        <v>2872</v>
      </c>
      <c r="D777" s="20" t="str">
        <f t="shared" si="372"/>
        <v>全般</v>
      </c>
      <c r="E777" s="20" t="str">
        <f t="shared" si="373"/>
        <v>NABIL ARYA SAPUTRA</v>
      </c>
      <c r="F777" s="20" t="str">
        <f t="shared" si="374"/>
        <v>ナビル　アリャ　サプトラ</v>
      </c>
      <c r="G777" s="4"/>
      <c r="H777" s="4">
        <v>18300</v>
      </c>
      <c r="I777" s="4">
        <v>13750</v>
      </c>
      <c r="J777" s="65"/>
      <c r="O777" s="81"/>
      <c r="P777" s="81"/>
      <c r="Q777" s="81"/>
      <c r="R777" s="81"/>
      <c r="S777" s="81"/>
      <c r="T777" s="81"/>
      <c r="U777" s="81"/>
      <c r="V777" s="81"/>
      <c r="W777" s="81"/>
      <c r="X777" s="81"/>
      <c r="Y777" s="413"/>
      <c r="Z777" s="441"/>
      <c r="AA777" s="441"/>
      <c r="AB777" s="441"/>
      <c r="AC777" s="441"/>
      <c r="AD777" s="441"/>
      <c r="AE777" s="441"/>
      <c r="AF777" s="441"/>
      <c r="AG777" s="522">
        <v>0</v>
      </c>
      <c r="AH777" s="551">
        <v>21542</v>
      </c>
      <c r="AI777" s="448">
        <v>0</v>
      </c>
    </row>
    <row r="778" spans="1:36">
      <c r="A778" s="145">
        <v>46049</v>
      </c>
      <c r="B778" s="376"/>
      <c r="C778" s="555" t="s">
        <v>2839</v>
      </c>
      <c r="D778" s="20" t="s">
        <v>2900</v>
      </c>
      <c r="E778" s="20" t="s">
        <v>2689</v>
      </c>
      <c r="F778" s="20" t="s">
        <v>2690</v>
      </c>
      <c r="G778" s="4"/>
      <c r="H778" s="4"/>
      <c r="I778" s="4"/>
      <c r="J778" s="65"/>
      <c r="O778" s="81"/>
      <c r="P778" s="81"/>
      <c r="Q778" s="81"/>
      <c r="R778" s="81"/>
      <c r="S778" s="81"/>
      <c r="T778" s="81"/>
      <c r="U778" s="81"/>
      <c r="V778" s="81"/>
      <c r="W778" s="81"/>
      <c r="X778" s="81"/>
      <c r="Y778" s="413"/>
      <c r="Z778" s="441"/>
      <c r="AA778" s="441"/>
      <c r="AB778" s="441"/>
      <c r="AC778" s="441"/>
      <c r="AD778" s="441"/>
      <c r="AE778" s="441"/>
      <c r="AF778" s="440"/>
      <c r="AG778" s="537"/>
      <c r="AI778" s="561">
        <v>14536</v>
      </c>
    </row>
    <row r="779" spans="1:36">
      <c r="A779" s="147"/>
      <c r="F779" s="160"/>
      <c r="G779" s="5"/>
      <c r="H779" s="5"/>
      <c r="I779" s="5"/>
      <c r="J779" s="74"/>
      <c r="K779" s="10"/>
      <c r="L779" s="10"/>
      <c r="M779" s="88"/>
      <c r="N779" s="88"/>
      <c r="O779" s="88"/>
      <c r="P779" s="88"/>
      <c r="Q779" s="88"/>
      <c r="R779" s="88"/>
      <c r="S779" s="88"/>
      <c r="T779" s="88"/>
      <c r="U779" s="88"/>
      <c r="V779" s="88"/>
      <c r="W779" s="88"/>
      <c r="X779" s="88"/>
      <c r="Y779" s="410"/>
      <c r="Z779" s="438"/>
      <c r="AA779" s="438"/>
      <c r="AB779" s="438"/>
      <c r="AF779" s="538"/>
      <c r="AG779" s="544"/>
    </row>
    <row r="780" spans="1:36">
      <c r="A780" s="147"/>
      <c r="C780" s="55"/>
      <c r="D780" s="56"/>
      <c r="E780" s="55" t="s">
        <v>159</v>
      </c>
      <c r="F780" s="188"/>
      <c r="G780" s="227">
        <v>53000</v>
      </c>
      <c r="H780" s="227">
        <v>54999</v>
      </c>
      <c r="I780" s="227" t="s">
        <v>584</v>
      </c>
      <c r="J780" s="74"/>
      <c r="K780" s="10"/>
      <c r="L780" s="10"/>
      <c r="M780" s="88"/>
      <c r="N780" s="88"/>
      <c r="O780" s="88"/>
      <c r="P780" s="88"/>
      <c r="Q780" s="88"/>
      <c r="R780" s="88"/>
      <c r="S780" s="88"/>
      <c r="T780" s="88"/>
      <c r="U780" s="88"/>
      <c r="V780" s="88"/>
      <c r="W780" s="88"/>
      <c r="X780" s="88"/>
      <c r="Y780" s="410"/>
      <c r="Z780" s="438"/>
      <c r="AA780" s="438"/>
      <c r="AB780" s="438"/>
    </row>
    <row r="781" spans="1:36">
      <c r="A781" s="148" t="s">
        <v>1</v>
      </c>
      <c r="B781" s="377" t="s">
        <v>529</v>
      </c>
      <c r="C781" s="27" t="s">
        <v>2</v>
      </c>
      <c r="D781" s="27" t="s">
        <v>2532</v>
      </c>
      <c r="E781" s="27" t="s">
        <v>2433</v>
      </c>
      <c r="F781" s="165"/>
      <c r="G781" s="109"/>
      <c r="H781" s="109" t="s">
        <v>2649</v>
      </c>
      <c r="I781" s="109" t="s">
        <v>2650</v>
      </c>
      <c r="J781" s="90"/>
      <c r="K781" s="91"/>
      <c r="L781" s="91"/>
      <c r="M781" s="92"/>
      <c r="N781" s="92"/>
      <c r="O781" s="92"/>
      <c r="P781" s="92"/>
      <c r="Q781" s="92"/>
      <c r="R781" s="92"/>
      <c r="S781" s="92"/>
      <c r="T781" s="92"/>
      <c r="U781" s="92"/>
      <c r="V781" s="92"/>
      <c r="W781" s="92"/>
      <c r="X781" s="92"/>
      <c r="Y781" s="411"/>
      <c r="Z781" s="439"/>
      <c r="AA781" s="439"/>
      <c r="AB781" s="439"/>
    </row>
    <row r="782" spans="1:36">
      <c r="A782" s="145">
        <v>45716</v>
      </c>
      <c r="B782" s="376"/>
      <c r="C782" s="555" t="s">
        <v>2873</v>
      </c>
      <c r="D782" s="20" t="str">
        <f t="shared" ref="D782:D785" si="376">IF(C782="","",_xlfn.XLOOKUP(C782,社員№,派遣先,"",0,-1))</f>
        <v>切粉回収</v>
      </c>
      <c r="E782" s="20" t="str">
        <f t="shared" ref="E782:E785" si="377">IF(C782="","",_xlfn.XLOOKUP(C782,社員№,氏名,"",0,-1))</f>
        <v>NICKY HUDHA WIBOWO</v>
      </c>
      <c r="F782" s="20" t="str">
        <f t="shared" ref="F782:F785" si="378">IF(C782="","",_xlfn.XLOOKUP(C782,社員№,カナ,"",0,-1))</f>
        <v>ニッキー　フダ　ウィボウォ</v>
      </c>
      <c r="G782" s="4"/>
      <c r="H782" s="4">
        <v>18300</v>
      </c>
      <c r="I782" s="4">
        <v>13750</v>
      </c>
      <c r="J782" s="65"/>
      <c r="O782" s="81"/>
      <c r="P782" s="81"/>
      <c r="Q782" s="81"/>
      <c r="R782" s="81"/>
      <c r="S782" s="81"/>
      <c r="T782" s="81"/>
      <c r="U782" s="81"/>
      <c r="V782" s="81"/>
      <c r="W782" s="81"/>
      <c r="X782" s="81"/>
      <c r="Y782" s="413">
        <f t="shared" ref="Y782:Y784" si="379">327+9166</f>
        <v>9493</v>
      </c>
      <c r="Z782" s="437">
        <v>9166</v>
      </c>
      <c r="AA782" s="437">
        <v>10600</v>
      </c>
      <c r="AB782" s="437">
        <v>18300</v>
      </c>
      <c r="AC782" s="437">
        <v>18300</v>
      </c>
      <c r="AD782" s="437">
        <v>18300</v>
      </c>
      <c r="AE782" s="437">
        <v>18300</v>
      </c>
      <c r="AF782" s="437">
        <v>18300</v>
      </c>
      <c r="AG782" s="522">
        <v>15722</v>
      </c>
      <c r="AH782" s="508">
        <v>13750</v>
      </c>
      <c r="AI782" s="448">
        <v>13750</v>
      </c>
    </row>
    <row r="783" spans="1:36">
      <c r="A783" s="145">
        <v>45716</v>
      </c>
      <c r="B783" s="376"/>
      <c r="C783" s="555" t="s">
        <v>2874</v>
      </c>
      <c r="D783" s="20" t="str">
        <f t="shared" si="376"/>
        <v>切粉回収</v>
      </c>
      <c r="E783" s="20" t="str">
        <f t="shared" si="377"/>
        <v>SATRIA ARDIANTO</v>
      </c>
      <c r="F783" s="20" t="str">
        <f t="shared" si="378"/>
        <v>サトリア　アルディアント</v>
      </c>
      <c r="G783" s="4"/>
      <c r="H783" s="4">
        <v>18300</v>
      </c>
      <c r="I783" s="4">
        <v>13750</v>
      </c>
      <c r="J783" s="65"/>
      <c r="O783" s="81"/>
      <c r="P783" s="81"/>
      <c r="Q783" s="81"/>
      <c r="R783" s="81"/>
      <c r="S783" s="81"/>
      <c r="T783" s="81"/>
      <c r="U783" s="81"/>
      <c r="V783" s="81"/>
      <c r="W783" s="81"/>
      <c r="X783" s="81"/>
      <c r="Y783" s="413">
        <f t="shared" si="379"/>
        <v>9493</v>
      </c>
      <c r="Z783" s="437">
        <v>9166</v>
      </c>
      <c r="AA783" s="437">
        <v>10600</v>
      </c>
      <c r="AB783" s="437">
        <v>18300</v>
      </c>
      <c r="AC783" s="437">
        <v>18300</v>
      </c>
      <c r="AD783" s="437">
        <v>18300</v>
      </c>
      <c r="AE783" s="437">
        <v>18300</v>
      </c>
      <c r="AF783" s="437">
        <v>18300</v>
      </c>
      <c r="AG783" s="522">
        <v>15722</v>
      </c>
      <c r="AH783" s="508">
        <v>13750</v>
      </c>
      <c r="AI783" s="448">
        <v>13750</v>
      </c>
    </row>
    <row r="784" spans="1:36">
      <c r="A784" s="145">
        <v>45716</v>
      </c>
      <c r="B784" s="376"/>
      <c r="C784" s="555" t="s">
        <v>2875</v>
      </c>
      <c r="D784" s="20" t="str">
        <f t="shared" si="376"/>
        <v>切粉回収</v>
      </c>
      <c r="E784" s="20" t="str">
        <f t="shared" si="377"/>
        <v>ALFARIDHO NUR RIZQI YULIANO</v>
      </c>
      <c r="F784" s="20" t="str">
        <f t="shared" si="378"/>
        <v>アルファリド　ヌル　リズキ　ユリアノ</v>
      </c>
      <c r="G784" s="4"/>
      <c r="H784" s="4">
        <v>18300</v>
      </c>
      <c r="I784" s="4">
        <v>13750</v>
      </c>
      <c r="J784" s="65"/>
      <c r="O784" s="81"/>
      <c r="P784" s="81"/>
      <c r="Q784" s="81"/>
      <c r="R784" s="81"/>
      <c r="S784" s="81"/>
      <c r="T784" s="81"/>
      <c r="U784" s="81"/>
      <c r="V784" s="81"/>
      <c r="W784" s="81"/>
      <c r="X784" s="81"/>
      <c r="Y784" s="413">
        <f t="shared" si="379"/>
        <v>9493</v>
      </c>
      <c r="Z784" s="437">
        <v>9166</v>
      </c>
      <c r="AA784" s="437">
        <v>10600</v>
      </c>
      <c r="AB784" s="437">
        <v>18300</v>
      </c>
      <c r="AC784" s="437">
        <v>18300</v>
      </c>
      <c r="AD784" s="437">
        <v>18300</v>
      </c>
      <c r="AE784" s="437">
        <v>18300</v>
      </c>
      <c r="AF784" s="437">
        <v>18300</v>
      </c>
      <c r="AG784" s="522">
        <v>15722</v>
      </c>
      <c r="AH784" s="508">
        <v>13750</v>
      </c>
      <c r="AI784" s="448">
        <v>13750</v>
      </c>
    </row>
    <row r="785" spans="1:35">
      <c r="A785" s="145">
        <v>45975</v>
      </c>
      <c r="B785" s="376">
        <v>46049</v>
      </c>
      <c r="C785" s="555" t="s">
        <v>2876</v>
      </c>
      <c r="D785" s="20" t="str">
        <f t="shared" si="376"/>
        <v>全般</v>
      </c>
      <c r="E785" s="20" t="str">
        <f t="shared" si="377"/>
        <v>DATUKA LEO SAPUTRA</v>
      </c>
      <c r="F785" s="20" t="str">
        <f t="shared" si="378"/>
        <v>ダトゥカ　レオ　サプトラ</v>
      </c>
      <c r="G785" s="4"/>
      <c r="H785" s="4">
        <v>18300</v>
      </c>
      <c r="I785" s="4">
        <v>13750</v>
      </c>
      <c r="J785" s="65"/>
      <c r="O785" s="81"/>
      <c r="P785" s="81"/>
      <c r="Q785" s="81"/>
      <c r="R785" s="81"/>
      <c r="S785" s="81"/>
      <c r="T785" s="81"/>
      <c r="U785" s="81"/>
      <c r="V785" s="81"/>
      <c r="W785" s="81"/>
      <c r="X785" s="81"/>
      <c r="Y785" s="413"/>
      <c r="Z785" s="441"/>
      <c r="AA785" s="441"/>
      <c r="AB785" s="441"/>
      <c r="AC785" s="441"/>
      <c r="AD785" s="441"/>
      <c r="AE785" s="441"/>
      <c r="AF785" s="441"/>
      <c r="AG785" s="522">
        <v>0</v>
      </c>
      <c r="AH785" s="551">
        <v>21542</v>
      </c>
      <c r="AI785" s="448">
        <v>0</v>
      </c>
    </row>
    <row r="786" spans="1:35">
      <c r="A786" s="145">
        <v>46049</v>
      </c>
      <c r="B786" s="376"/>
      <c r="C786" s="555" t="s">
        <v>2911</v>
      </c>
      <c r="D786" s="20" t="s">
        <v>2900</v>
      </c>
      <c r="E786" s="20" t="s">
        <v>2687</v>
      </c>
      <c r="F786" s="20" t="s">
        <v>2688</v>
      </c>
      <c r="G786" s="4"/>
      <c r="H786" s="4"/>
      <c r="I786" s="4"/>
      <c r="J786" s="65"/>
      <c r="O786" s="81"/>
      <c r="P786" s="81"/>
      <c r="Q786" s="81"/>
      <c r="R786" s="81"/>
      <c r="S786" s="81"/>
      <c r="T786" s="81"/>
      <c r="U786" s="81"/>
      <c r="V786" s="81"/>
      <c r="W786" s="81"/>
      <c r="X786" s="81"/>
      <c r="Y786" s="413"/>
      <c r="Z786" s="441"/>
      <c r="AA786" s="441"/>
      <c r="AB786" s="441"/>
      <c r="AC786" s="441"/>
      <c r="AD786" s="441"/>
      <c r="AE786" s="441"/>
      <c r="AF786" s="440"/>
      <c r="AG786" s="522"/>
      <c r="AI786" s="561">
        <v>14536</v>
      </c>
    </row>
    <row r="787" spans="1:35">
      <c r="A787" s="147"/>
      <c r="F787" s="160"/>
      <c r="G787" s="5"/>
      <c r="H787" s="5"/>
      <c r="I787" s="5"/>
      <c r="J787" s="74"/>
      <c r="K787" s="10"/>
      <c r="L787" s="10"/>
      <c r="M787" s="88"/>
      <c r="N787" s="88"/>
      <c r="O787" s="88"/>
      <c r="P787" s="88"/>
      <c r="Q787" s="88"/>
      <c r="R787" s="88"/>
      <c r="S787" s="88"/>
      <c r="T787" s="88"/>
      <c r="U787" s="88"/>
      <c r="V787" s="88"/>
      <c r="W787" s="88"/>
      <c r="X787" s="88"/>
      <c r="Y787" s="410"/>
      <c r="Z787" s="438"/>
      <c r="AA787" s="438"/>
      <c r="AB787" s="438"/>
      <c r="AF787" s="538"/>
    </row>
    <row r="788" spans="1:35">
      <c r="A788" s="515" t="s">
        <v>2657</v>
      </c>
      <c r="C788" s="29"/>
      <c r="D788" s="29"/>
      <c r="E788" s="29" t="s">
        <v>636</v>
      </c>
      <c r="F788" s="176"/>
      <c r="G788" s="224">
        <v>48000</v>
      </c>
      <c r="H788" s="224">
        <v>53000</v>
      </c>
      <c r="I788" s="224" t="s">
        <v>584</v>
      </c>
      <c r="J788" s="90"/>
      <c r="K788" s="91"/>
      <c r="L788" s="91"/>
      <c r="M788" s="92"/>
      <c r="N788" s="92"/>
      <c r="O788" s="92"/>
      <c r="P788" s="92"/>
      <c r="Q788" s="92"/>
      <c r="R788" s="92"/>
      <c r="S788" s="92"/>
      <c r="T788" s="92"/>
      <c r="U788" s="92"/>
      <c r="V788" s="92"/>
      <c r="W788" s="92"/>
      <c r="X788" s="92"/>
      <c r="Y788" s="411"/>
      <c r="Z788" s="439"/>
      <c r="AA788" s="439"/>
      <c r="AB788" s="439"/>
    </row>
    <row r="789" spans="1:35">
      <c r="A789" s="145" t="s">
        <v>1</v>
      </c>
      <c r="B789" s="376" t="s">
        <v>529</v>
      </c>
      <c r="C789" s="27" t="s">
        <v>2</v>
      </c>
      <c r="D789" s="27" t="s">
        <v>2532</v>
      </c>
      <c r="E789" s="27" t="s">
        <v>2433</v>
      </c>
      <c r="F789" s="165"/>
      <c r="G789" s="4"/>
      <c r="H789" s="4"/>
      <c r="I789" s="4" t="s">
        <v>3</v>
      </c>
      <c r="J789" s="65" t="s">
        <v>154</v>
      </c>
    </row>
    <row r="790" spans="1:35">
      <c r="A790" s="145">
        <v>45222</v>
      </c>
      <c r="B790" s="376">
        <v>45977</v>
      </c>
      <c r="C790" s="555" t="s">
        <v>2877</v>
      </c>
      <c r="D790" s="20" t="str">
        <f t="shared" si="362"/>
        <v>梱包</v>
      </c>
      <c r="E790" s="20" t="str">
        <f t="shared" si="363"/>
        <v>LE VO HUU TOAN</v>
      </c>
      <c r="F790" s="20" t="str">
        <f t="shared" si="364"/>
        <v>レー　ヴォ　フウ　トアン</v>
      </c>
      <c r="G790" s="4"/>
      <c r="H790" s="4"/>
      <c r="I790" s="4">
        <v>26500</v>
      </c>
      <c r="J790" s="65">
        <v>17600</v>
      </c>
      <c r="K790" s="11">
        <v>26500</v>
      </c>
      <c r="L790" s="11">
        <v>26500</v>
      </c>
      <c r="M790" s="81">
        <v>26500</v>
      </c>
      <c r="N790" s="81">
        <v>26500</v>
      </c>
      <c r="O790" s="130">
        <v>26500</v>
      </c>
      <c r="P790" s="130">
        <v>26500</v>
      </c>
      <c r="Q790" s="130">
        <f>5110+18806</f>
        <v>23916</v>
      </c>
      <c r="R790" s="130">
        <v>26500</v>
      </c>
      <c r="S790" s="130">
        <v>17600</v>
      </c>
      <c r="T790" s="130">
        <v>26500</v>
      </c>
      <c r="U790" s="130">
        <v>26500</v>
      </c>
      <c r="V790" s="130">
        <v>26500</v>
      </c>
      <c r="W790" s="130">
        <v>26500</v>
      </c>
      <c r="X790" s="130">
        <v>26500</v>
      </c>
      <c r="Y790" s="408">
        <v>26500</v>
      </c>
      <c r="Z790" s="437">
        <v>26500</v>
      </c>
      <c r="AA790" s="437">
        <v>26500</v>
      </c>
      <c r="AB790" s="437">
        <v>26500</v>
      </c>
      <c r="AC790" s="437">
        <v>26500</v>
      </c>
      <c r="AD790" s="437">
        <v>26500</v>
      </c>
      <c r="AE790" s="437">
        <v>26500</v>
      </c>
      <c r="AF790" s="437">
        <v>26500</v>
      </c>
      <c r="AG790" s="522">
        <v>46500</v>
      </c>
      <c r="AH790" s="508">
        <v>0</v>
      </c>
    </row>
    <row r="791" spans="1:35">
      <c r="A791" s="145">
        <v>45566</v>
      </c>
      <c r="B791" s="376">
        <v>45991</v>
      </c>
      <c r="C791" s="123">
        <v>240905</v>
      </c>
      <c r="D791" s="20" t="str">
        <f t="shared" ref="D791" si="380">IF(C791="","",_xlfn.XLOOKUP(C791,社員№,派遣先,"",0,-1))</f>
        <v>高雄工業 岡山</v>
      </c>
      <c r="E791" s="20" t="str">
        <f t="shared" ref="E791" si="381">IF(C791="","",_xlfn.XLOOKUP(C791,社員№,氏名,"",0,-1))</f>
        <v>TRAN VIET HOANG</v>
      </c>
      <c r="F791" s="20" t="str">
        <f t="shared" ref="F791" si="382">IF(C791="","",_xlfn.XLOOKUP(C791,社員№,カナ,"",0,-1))</f>
        <v>チャン　ヴィエット　ホアン</v>
      </c>
      <c r="G791" s="4"/>
      <c r="H791" s="4"/>
      <c r="I791" s="4">
        <v>26500</v>
      </c>
      <c r="J791" s="65"/>
      <c r="O791" s="81"/>
      <c r="P791" s="81"/>
      <c r="Q791" s="144"/>
      <c r="R791" s="202"/>
      <c r="S791" s="202"/>
      <c r="T791" s="202">
        <v>26500</v>
      </c>
      <c r="U791" s="202">
        <v>26500</v>
      </c>
      <c r="V791" s="202">
        <v>26500</v>
      </c>
      <c r="W791" s="202">
        <v>26500</v>
      </c>
      <c r="X791" s="202">
        <v>26500</v>
      </c>
      <c r="Y791" s="202">
        <v>26500</v>
      </c>
      <c r="Z791" s="446">
        <v>26500</v>
      </c>
      <c r="AA791" s="446">
        <v>26500</v>
      </c>
      <c r="AB791" s="446">
        <v>26500</v>
      </c>
      <c r="AC791" s="437">
        <v>26500</v>
      </c>
      <c r="AD791" s="437">
        <v>26500</v>
      </c>
      <c r="AE791" s="437">
        <v>26500</v>
      </c>
      <c r="AF791" s="437">
        <v>26500</v>
      </c>
      <c r="AG791" s="522">
        <v>26500</v>
      </c>
      <c r="AH791" s="508">
        <v>0</v>
      </c>
    </row>
    <row r="792" spans="1:35">
      <c r="F792" s="160"/>
      <c r="G792" s="5"/>
      <c r="H792" s="5"/>
      <c r="I792" s="5"/>
      <c r="J792" s="74"/>
      <c r="K792" s="10"/>
      <c r="L792" s="10"/>
      <c r="M792" s="88"/>
      <c r="N792" s="88"/>
      <c r="O792" s="88"/>
      <c r="P792" s="88"/>
      <c r="Q792" s="88"/>
      <c r="R792" s="88"/>
      <c r="S792" s="88"/>
      <c r="T792" s="88"/>
      <c r="U792" s="88"/>
      <c r="V792" s="88"/>
      <c r="W792" s="88"/>
      <c r="X792" s="88"/>
      <c r="Y792" s="410"/>
      <c r="Z792" s="438"/>
      <c r="AA792" s="438"/>
      <c r="AB792" s="438"/>
    </row>
    <row r="793" spans="1:35">
      <c r="C793" s="29"/>
      <c r="D793" s="29"/>
      <c r="E793" s="29" t="s">
        <v>516</v>
      </c>
      <c r="F793" s="176"/>
      <c r="G793" s="224">
        <v>48000</v>
      </c>
      <c r="H793" s="224">
        <v>48000</v>
      </c>
      <c r="I793" s="224" t="s">
        <v>584</v>
      </c>
      <c r="J793" s="74"/>
      <c r="K793" s="10"/>
      <c r="L793" s="10"/>
      <c r="M793" s="88"/>
      <c r="N793" s="88"/>
      <c r="O793" s="88"/>
      <c r="P793" s="88"/>
      <c r="Q793" s="88"/>
      <c r="R793" s="88"/>
      <c r="S793" s="88"/>
      <c r="T793" s="88"/>
      <c r="U793" s="88"/>
      <c r="V793" s="88"/>
      <c r="W793" s="88"/>
      <c r="X793" s="88"/>
      <c r="Y793" s="410"/>
      <c r="Z793" s="438"/>
      <c r="AA793" s="438"/>
      <c r="AB793" s="438"/>
    </row>
    <row r="794" spans="1:35">
      <c r="A794" s="145" t="s">
        <v>1</v>
      </c>
      <c r="B794" s="376" t="s">
        <v>529</v>
      </c>
      <c r="C794" s="27" t="s">
        <v>2</v>
      </c>
      <c r="D794" s="27" t="s">
        <v>2532</v>
      </c>
      <c r="E794" s="27" t="s">
        <v>2433</v>
      </c>
      <c r="F794" s="165"/>
      <c r="G794" s="109"/>
      <c r="H794" s="109"/>
      <c r="I794" s="109" t="s">
        <v>3</v>
      </c>
      <c r="J794" s="90"/>
      <c r="K794" s="91"/>
      <c r="L794" s="91"/>
      <c r="M794" s="92"/>
      <c r="N794" s="92"/>
      <c r="O794" s="92"/>
      <c r="P794" s="92"/>
      <c r="Q794" s="92"/>
      <c r="R794" s="92"/>
      <c r="S794" s="92"/>
      <c r="T794" s="92"/>
      <c r="U794" s="92"/>
      <c r="V794" s="92"/>
      <c r="W794" s="92"/>
      <c r="X794" s="92"/>
      <c r="Y794" s="411"/>
      <c r="Z794" s="439"/>
      <c r="AA794" s="439"/>
      <c r="AB794" s="439"/>
    </row>
    <row r="795" spans="1:35">
      <c r="A795" s="145">
        <v>45383</v>
      </c>
      <c r="B795" s="376"/>
      <c r="C795" s="555" t="s">
        <v>2878</v>
      </c>
      <c r="D795" s="20" t="str">
        <f t="shared" si="362"/>
        <v>切粉回収</v>
      </c>
      <c r="E795" s="20" t="str">
        <f t="shared" si="363"/>
        <v>LINTANG AJI WISESA</v>
      </c>
      <c r="F795" s="20" t="str">
        <f t="shared" si="364"/>
        <v>リンタン  アジ  ウィセサ</v>
      </c>
      <c r="G795" s="4"/>
      <c r="H795" s="4"/>
      <c r="I795" s="4">
        <v>16000</v>
      </c>
      <c r="J795" s="65"/>
      <c r="M795" s="81">
        <v>0</v>
      </c>
      <c r="N795" s="4">
        <v>16000</v>
      </c>
      <c r="O795" s="109">
        <v>16000</v>
      </c>
      <c r="P795" s="109">
        <v>16000</v>
      </c>
      <c r="Q795" s="109">
        <v>16000</v>
      </c>
      <c r="R795" s="109">
        <v>16000</v>
      </c>
      <c r="S795" s="109">
        <v>16000</v>
      </c>
      <c r="T795" s="109">
        <v>16000</v>
      </c>
      <c r="U795" s="109">
        <v>16000</v>
      </c>
      <c r="V795" s="109">
        <v>16000</v>
      </c>
      <c r="W795" s="109">
        <v>16000</v>
      </c>
      <c r="X795" s="109">
        <v>16000</v>
      </c>
      <c r="Y795" s="424">
        <v>16000</v>
      </c>
      <c r="Z795" s="457">
        <v>16000</v>
      </c>
      <c r="AA795" s="457">
        <v>16000</v>
      </c>
      <c r="AB795" s="457">
        <v>16000</v>
      </c>
      <c r="AC795" s="457">
        <v>16000</v>
      </c>
      <c r="AD795" s="457">
        <v>16000</v>
      </c>
      <c r="AE795" s="457">
        <v>16000</v>
      </c>
      <c r="AF795" s="457">
        <v>16000</v>
      </c>
      <c r="AG795" s="457">
        <v>16000</v>
      </c>
      <c r="AH795" s="457">
        <v>16000</v>
      </c>
      <c r="AI795" s="457">
        <v>16000</v>
      </c>
    </row>
    <row r="796" spans="1:35">
      <c r="A796" s="145">
        <v>45383</v>
      </c>
      <c r="B796" s="376"/>
      <c r="C796" s="555" t="s">
        <v>2879</v>
      </c>
      <c r="D796" s="20" t="str">
        <f t="shared" ref="D796:D797" si="383">IF(C796="","",_xlfn.XLOOKUP(C796,社員№,派遣先,"",0,-1))</f>
        <v>切粉回収</v>
      </c>
      <c r="E796" s="20" t="str">
        <f t="shared" ref="E796:E797" si="384">IF(C796="","",_xlfn.XLOOKUP(C796,社員№,氏名,"",0,-1))</f>
        <v>NANANG ABDUL AZIS</v>
      </c>
      <c r="F796" s="20" t="str">
        <f t="shared" ref="F796:F797" si="385">IF(C796="","",_xlfn.XLOOKUP(C796,社員№,カナ,"",0,-1))</f>
        <v>ナナン　アブドゥル　アジス</v>
      </c>
      <c r="G796" s="4"/>
      <c r="H796" s="4"/>
      <c r="I796" s="4">
        <v>16000</v>
      </c>
      <c r="J796" s="65"/>
      <c r="M796" s="81">
        <v>0</v>
      </c>
      <c r="N796" s="4">
        <v>16000</v>
      </c>
      <c r="O796" s="109">
        <v>16000</v>
      </c>
      <c r="P796" s="109">
        <v>16000</v>
      </c>
      <c r="Q796" s="109">
        <v>16000</v>
      </c>
      <c r="R796" s="109">
        <v>16000</v>
      </c>
      <c r="S796" s="109">
        <v>16000</v>
      </c>
      <c r="T796" s="109">
        <v>16000</v>
      </c>
      <c r="U796" s="109">
        <v>16000</v>
      </c>
      <c r="V796" s="109">
        <v>16000</v>
      </c>
      <c r="W796" s="109">
        <v>16000</v>
      </c>
      <c r="X796" s="109">
        <v>16000</v>
      </c>
      <c r="Y796" s="424">
        <v>16000</v>
      </c>
      <c r="Z796" s="457">
        <v>16000</v>
      </c>
      <c r="AA796" s="457">
        <v>16000</v>
      </c>
      <c r="AB796" s="457">
        <v>16000</v>
      </c>
      <c r="AC796" s="457">
        <v>16000</v>
      </c>
      <c r="AD796" s="457">
        <v>16000</v>
      </c>
      <c r="AE796" s="457">
        <v>16000</v>
      </c>
      <c r="AF796" s="457">
        <v>16000</v>
      </c>
      <c r="AG796" s="457">
        <v>16000</v>
      </c>
      <c r="AH796" s="457">
        <v>16000</v>
      </c>
      <c r="AI796" s="457">
        <v>16000</v>
      </c>
    </row>
    <row r="797" spans="1:35">
      <c r="A797" s="145">
        <v>45383</v>
      </c>
      <c r="B797" s="376"/>
      <c r="C797" s="555" t="s">
        <v>2880</v>
      </c>
      <c r="D797" s="20" t="str">
        <f t="shared" si="383"/>
        <v>切粉回収</v>
      </c>
      <c r="E797" s="20" t="str">
        <f t="shared" si="384"/>
        <v>ASLAM ADILA BOY NOYA</v>
      </c>
      <c r="F797" s="20" t="str">
        <f t="shared" si="385"/>
        <v>アスラム　アディラ　ボイ ノヤ</v>
      </c>
      <c r="G797" s="4"/>
      <c r="H797" s="4"/>
      <c r="I797" s="4">
        <v>16000</v>
      </c>
      <c r="J797" s="65"/>
      <c r="M797" s="81">
        <v>0</v>
      </c>
      <c r="N797" s="4">
        <v>16000</v>
      </c>
      <c r="O797" s="109">
        <v>16000</v>
      </c>
      <c r="P797" s="109">
        <v>16000</v>
      </c>
      <c r="Q797" s="109">
        <v>16000</v>
      </c>
      <c r="R797" s="109">
        <v>16000</v>
      </c>
      <c r="S797" s="109">
        <v>16000</v>
      </c>
      <c r="T797" s="109">
        <v>16000</v>
      </c>
      <c r="U797" s="109">
        <v>16000</v>
      </c>
      <c r="V797" s="109">
        <v>16000</v>
      </c>
      <c r="W797" s="109">
        <v>16000</v>
      </c>
      <c r="X797" s="109">
        <v>16000</v>
      </c>
      <c r="Y797" s="424">
        <v>16000</v>
      </c>
      <c r="Z797" s="457">
        <v>16000</v>
      </c>
      <c r="AA797" s="457">
        <v>16000</v>
      </c>
      <c r="AB797" s="457">
        <v>16000</v>
      </c>
      <c r="AC797" s="457">
        <v>16000</v>
      </c>
      <c r="AD797" s="457">
        <v>16000</v>
      </c>
      <c r="AE797" s="457">
        <v>16000</v>
      </c>
      <c r="AF797" s="457">
        <v>16000</v>
      </c>
      <c r="AG797" s="457">
        <v>16000</v>
      </c>
      <c r="AH797" s="457">
        <v>16000</v>
      </c>
      <c r="AI797" s="457">
        <v>16000</v>
      </c>
    </row>
    <row r="798" spans="1:35">
      <c r="F798" s="160"/>
      <c r="G798" s="5"/>
      <c r="H798" s="5"/>
      <c r="I798" s="5"/>
      <c r="J798" s="97"/>
      <c r="K798" s="98"/>
      <c r="L798" s="98"/>
      <c r="M798" s="99"/>
      <c r="N798" s="99"/>
      <c r="O798" s="99"/>
      <c r="P798" s="99"/>
      <c r="Q798" s="99"/>
      <c r="R798" s="99"/>
      <c r="S798" s="99"/>
      <c r="T798" s="99"/>
      <c r="U798" s="99"/>
      <c r="V798" s="99"/>
      <c r="W798" s="99"/>
      <c r="X798" s="99"/>
      <c r="Y798" s="416"/>
      <c r="Z798" s="445"/>
      <c r="AA798" s="445"/>
      <c r="AB798" s="445"/>
    </row>
    <row r="799" spans="1:35">
      <c r="C799" s="29"/>
      <c r="D799" s="29"/>
      <c r="E799" s="29" t="s">
        <v>515</v>
      </c>
      <c r="F799" s="176"/>
      <c r="G799" s="224">
        <v>48000</v>
      </c>
      <c r="H799" s="224">
        <v>48000</v>
      </c>
      <c r="I799" s="224" t="s">
        <v>584</v>
      </c>
      <c r="J799" s="74"/>
      <c r="K799" s="10"/>
      <c r="L799" s="10"/>
      <c r="M799" s="88"/>
      <c r="N799" s="88"/>
      <c r="O799" s="88"/>
      <c r="P799" s="88"/>
      <c r="Q799" s="88"/>
      <c r="R799" s="88"/>
      <c r="S799" s="88"/>
      <c r="T799" s="88"/>
      <c r="U799" s="88"/>
      <c r="V799" s="88"/>
      <c r="W799" s="88"/>
      <c r="X799" s="88"/>
      <c r="Y799" s="410"/>
      <c r="Z799" s="438"/>
      <c r="AA799" s="438"/>
      <c r="AB799" s="438"/>
    </row>
    <row r="800" spans="1:35">
      <c r="A800" s="145" t="s">
        <v>1</v>
      </c>
      <c r="B800" s="376" t="s">
        <v>529</v>
      </c>
      <c r="C800" s="27" t="s">
        <v>2</v>
      </c>
      <c r="D800" s="27" t="s">
        <v>2532</v>
      </c>
      <c r="E800" s="27" t="s">
        <v>2433</v>
      </c>
      <c r="F800" s="165"/>
      <c r="G800" s="109"/>
      <c r="H800" s="109"/>
      <c r="I800" s="109" t="s">
        <v>3</v>
      </c>
      <c r="J800" s="90"/>
      <c r="K800" s="91"/>
      <c r="L800" s="91"/>
      <c r="M800" s="92"/>
      <c r="N800" s="92"/>
      <c r="O800" s="92"/>
      <c r="P800" s="92"/>
      <c r="Q800" s="92"/>
      <c r="R800" s="92"/>
      <c r="S800" s="92"/>
      <c r="T800" s="92"/>
      <c r="U800" s="92"/>
      <c r="V800" s="92"/>
      <c r="W800" s="92"/>
      <c r="X800" s="92"/>
      <c r="Y800" s="411"/>
      <c r="Z800" s="439"/>
      <c r="AA800" s="439"/>
      <c r="AB800" s="439"/>
    </row>
    <row r="801" spans="1:35">
      <c r="A801" s="145">
        <v>45357</v>
      </c>
      <c r="B801" s="376"/>
      <c r="C801" s="555" t="s">
        <v>2881</v>
      </c>
      <c r="D801" s="20" t="str">
        <f t="shared" si="362"/>
        <v>切粉回収</v>
      </c>
      <c r="E801" s="20" t="str">
        <f t="shared" si="363"/>
        <v>IRFAN FEBRIANTO</v>
      </c>
      <c r="F801" s="20" t="str">
        <f t="shared" si="364"/>
        <v>イルファン　フェブリアント</v>
      </c>
      <c r="G801" s="4"/>
      <c r="H801" s="4"/>
      <c r="I801" s="4">
        <v>24000</v>
      </c>
      <c r="J801" s="65" t="s">
        <v>531</v>
      </c>
      <c r="M801" s="81">
        <v>8052</v>
      </c>
      <c r="N801" s="81">
        <v>24000</v>
      </c>
      <c r="O801" s="130">
        <v>24000</v>
      </c>
      <c r="P801" s="130">
        <v>24000</v>
      </c>
      <c r="Q801" s="130">
        <v>24000</v>
      </c>
      <c r="R801" s="130">
        <v>24000</v>
      </c>
      <c r="S801" s="130">
        <v>24000</v>
      </c>
      <c r="T801" s="130">
        <v>24000</v>
      </c>
      <c r="U801" s="130">
        <v>24000</v>
      </c>
      <c r="V801" s="130">
        <v>24000</v>
      </c>
      <c r="W801" s="130">
        <v>24000</v>
      </c>
      <c r="X801" s="130">
        <v>24000</v>
      </c>
      <c r="Y801" s="408">
        <v>24000</v>
      </c>
      <c r="Z801" s="437">
        <v>24000</v>
      </c>
      <c r="AA801" s="437">
        <v>24000</v>
      </c>
      <c r="AB801" s="437">
        <v>24000</v>
      </c>
      <c r="AC801" s="437">
        <v>24000</v>
      </c>
      <c r="AD801" s="437">
        <v>24000</v>
      </c>
      <c r="AE801" s="437">
        <v>24000</v>
      </c>
      <c r="AF801" s="437">
        <v>24000</v>
      </c>
      <c r="AG801" s="437">
        <v>24000</v>
      </c>
      <c r="AH801" s="437">
        <v>24000</v>
      </c>
      <c r="AI801" s="437">
        <v>24000</v>
      </c>
    </row>
    <row r="802" spans="1:35">
      <c r="A802" s="145">
        <v>45357</v>
      </c>
      <c r="B802" s="376"/>
      <c r="C802" s="555" t="s">
        <v>2882</v>
      </c>
      <c r="D802" s="20" t="str">
        <f t="shared" ref="D802" si="386">IF(C802="","",_xlfn.XLOOKUP(C802,社員№,派遣先,"",0,-1))</f>
        <v>切粉回収</v>
      </c>
      <c r="E802" s="20" t="str">
        <f t="shared" ref="E802" si="387">IF(C802="","",_xlfn.XLOOKUP(C802,社員№,氏名,"",0,-1))</f>
        <v>THOMAS ARDA KRISTIAN</v>
      </c>
      <c r="F802" s="20" t="str">
        <f t="shared" ref="F802" si="388">IF(C802="","",_xlfn.XLOOKUP(C802,社員№,カナ,"",0,-1))</f>
        <v>トマス　アルダ　クリスティアン</v>
      </c>
      <c r="G802" s="4"/>
      <c r="H802" s="4"/>
      <c r="I802" s="4">
        <v>24000</v>
      </c>
      <c r="J802" s="65" t="s">
        <v>531</v>
      </c>
      <c r="M802" s="81">
        <v>8052</v>
      </c>
      <c r="N802" s="81">
        <v>24000</v>
      </c>
      <c r="O802" s="130">
        <v>24000</v>
      </c>
      <c r="P802" s="130">
        <v>24000</v>
      </c>
      <c r="Q802" s="130">
        <v>24000</v>
      </c>
      <c r="R802" s="130">
        <v>24000</v>
      </c>
      <c r="S802" s="130">
        <v>24000</v>
      </c>
      <c r="T802" s="130">
        <v>24000</v>
      </c>
      <c r="U802" s="130">
        <v>24000</v>
      </c>
      <c r="V802" s="130">
        <v>24000</v>
      </c>
      <c r="W802" s="130">
        <v>24000</v>
      </c>
      <c r="X802" s="130">
        <v>24000</v>
      </c>
      <c r="Y802" s="408">
        <v>24000</v>
      </c>
      <c r="Z802" s="437">
        <v>24000</v>
      </c>
      <c r="AA802" s="437">
        <v>24000</v>
      </c>
      <c r="AB802" s="437">
        <v>24000</v>
      </c>
      <c r="AC802" s="437">
        <v>24000</v>
      </c>
      <c r="AD802" s="437">
        <v>24000</v>
      </c>
      <c r="AE802" s="437">
        <v>24000</v>
      </c>
      <c r="AF802" s="437">
        <v>24000</v>
      </c>
      <c r="AG802" s="437">
        <v>24000</v>
      </c>
      <c r="AH802" s="437">
        <v>24000</v>
      </c>
      <c r="AI802" s="437">
        <v>24000</v>
      </c>
    </row>
    <row r="803" spans="1:35">
      <c r="E803" s="79"/>
      <c r="F803" s="189"/>
      <c r="G803" s="5"/>
      <c r="H803" s="5"/>
      <c r="I803" s="5"/>
      <c r="J803" s="97"/>
      <c r="K803" s="98"/>
      <c r="L803" s="98"/>
      <c r="M803" s="99"/>
      <c r="N803" s="99"/>
      <c r="O803" s="99"/>
      <c r="P803" s="99"/>
      <c r="Q803" s="99"/>
      <c r="R803" s="99"/>
      <c r="S803" s="99"/>
      <c r="T803" s="99"/>
      <c r="U803" s="99"/>
      <c r="V803" s="99"/>
      <c r="W803" s="99"/>
      <c r="X803" s="99"/>
      <c r="Y803" s="416"/>
      <c r="Z803" s="445"/>
      <c r="AA803" s="445"/>
      <c r="AB803" s="445"/>
    </row>
    <row r="804" spans="1:35">
      <c r="C804" s="29"/>
      <c r="D804" s="29"/>
      <c r="E804" s="29" t="s">
        <v>268</v>
      </c>
      <c r="F804" s="176"/>
      <c r="G804" s="224">
        <v>48000</v>
      </c>
      <c r="H804" s="224">
        <v>48000</v>
      </c>
      <c r="I804" s="224" t="s">
        <v>584</v>
      </c>
      <c r="J804" s="74"/>
      <c r="K804" s="10"/>
      <c r="L804" s="10"/>
      <c r="M804" s="88"/>
      <c r="N804" s="88"/>
      <c r="O804" s="88"/>
      <c r="P804" s="88"/>
      <c r="Q804" s="88"/>
      <c r="R804" s="88"/>
      <c r="S804" s="88"/>
      <c r="T804" s="88"/>
      <c r="U804" s="88"/>
      <c r="V804" s="88"/>
      <c r="W804" s="88"/>
      <c r="X804" s="88"/>
      <c r="Y804" s="410"/>
      <c r="Z804" s="438"/>
      <c r="AA804" s="438"/>
      <c r="AB804" s="438"/>
    </row>
    <row r="805" spans="1:35">
      <c r="A805" s="145" t="s">
        <v>1</v>
      </c>
      <c r="B805" s="376" t="s">
        <v>529</v>
      </c>
      <c r="C805" s="27" t="s">
        <v>2</v>
      </c>
      <c r="D805" s="27" t="s">
        <v>2532</v>
      </c>
      <c r="E805" s="27" t="s">
        <v>2433</v>
      </c>
      <c r="F805" s="165"/>
      <c r="G805" s="109"/>
      <c r="H805" s="109"/>
      <c r="I805" s="109" t="s">
        <v>3</v>
      </c>
      <c r="J805" s="90"/>
      <c r="K805" s="91"/>
      <c r="L805" s="91"/>
      <c r="M805" s="92"/>
      <c r="N805" s="92"/>
      <c r="O805" s="92"/>
      <c r="P805" s="92"/>
      <c r="Q805" s="92"/>
      <c r="R805" s="92"/>
      <c r="S805" s="92"/>
      <c r="T805" s="92"/>
      <c r="U805" s="92"/>
      <c r="V805" s="92"/>
      <c r="W805" s="92"/>
      <c r="X805" s="92"/>
      <c r="Y805" s="411"/>
      <c r="Z805" s="439"/>
      <c r="AA805" s="439"/>
      <c r="AB805" s="439"/>
    </row>
    <row r="806" spans="1:35">
      <c r="A806" s="145">
        <v>45029</v>
      </c>
      <c r="B806" s="376">
        <v>46049</v>
      </c>
      <c r="C806" s="555" t="s">
        <v>2883</v>
      </c>
      <c r="D806" s="20" t="str">
        <f t="shared" si="362"/>
        <v>切粉回収</v>
      </c>
      <c r="E806" s="20" t="str">
        <f t="shared" si="363"/>
        <v>AMAL ROSUL</v>
      </c>
      <c r="F806" s="20" t="str">
        <f t="shared" si="364"/>
        <v>アマル　ロスル</v>
      </c>
      <c r="G806" s="4"/>
      <c r="H806" s="4"/>
      <c r="I806" s="4">
        <v>16000</v>
      </c>
      <c r="J806" s="65"/>
      <c r="K806" s="11">
        <v>16000</v>
      </c>
      <c r="L806" s="11">
        <v>16000</v>
      </c>
      <c r="M806" s="81">
        <v>16000</v>
      </c>
      <c r="N806" s="81">
        <v>16000</v>
      </c>
      <c r="O806" s="130">
        <v>16000</v>
      </c>
      <c r="P806" s="130">
        <v>16000</v>
      </c>
      <c r="Q806" s="130">
        <v>16000</v>
      </c>
      <c r="R806" s="130">
        <v>16000</v>
      </c>
      <c r="S806" s="130">
        <v>16000</v>
      </c>
      <c r="T806" s="130">
        <v>16000</v>
      </c>
      <c r="U806" s="130">
        <v>16000</v>
      </c>
      <c r="V806" s="130">
        <v>16000</v>
      </c>
      <c r="W806" s="130">
        <v>16000</v>
      </c>
      <c r="X806" s="130">
        <v>16000</v>
      </c>
      <c r="Y806" s="408">
        <v>16000</v>
      </c>
      <c r="Z806" s="437">
        <v>16000</v>
      </c>
      <c r="AA806" s="437">
        <v>16000</v>
      </c>
      <c r="AB806" s="437">
        <v>16000</v>
      </c>
      <c r="AC806" s="437">
        <v>16000</v>
      </c>
      <c r="AD806" s="437">
        <v>16000</v>
      </c>
      <c r="AE806" s="437">
        <v>16000</v>
      </c>
      <c r="AF806" s="437">
        <v>16000</v>
      </c>
      <c r="AG806" s="437">
        <v>16000</v>
      </c>
      <c r="AH806" s="437">
        <v>16000</v>
      </c>
      <c r="AI806" s="448">
        <v>0</v>
      </c>
    </row>
    <row r="807" spans="1:35">
      <c r="A807" s="145">
        <v>45029</v>
      </c>
      <c r="B807" s="376">
        <v>46049</v>
      </c>
      <c r="C807" s="555" t="s">
        <v>2884</v>
      </c>
      <c r="D807" s="20" t="str">
        <f t="shared" ref="D807:D808" si="389">IF(C807="","",_xlfn.XLOOKUP(C807,社員№,派遣先,"",0,-1))</f>
        <v>切粉回収</v>
      </c>
      <c r="E807" s="20" t="str">
        <f t="shared" ref="E807:E808" si="390">IF(C807="","",_xlfn.XLOOKUP(C807,社員№,氏名,"",0,-1))</f>
        <v>AREL ZUANFARKHAN IFRONI</v>
      </c>
      <c r="F807" s="20" t="str">
        <f t="shared" ref="F807" si="391">IF(C807="","",_xlfn.XLOOKUP(C807,社員№,カナ,"",0,-1))</f>
        <v>アレル　ズアンファルカン　イフロニ</v>
      </c>
      <c r="G807" s="4"/>
      <c r="H807" s="4"/>
      <c r="I807" s="4">
        <v>16000</v>
      </c>
      <c r="J807" s="65"/>
      <c r="K807" s="11">
        <v>16000</v>
      </c>
      <c r="L807" s="11">
        <v>16000</v>
      </c>
      <c r="M807" s="81">
        <v>16000</v>
      </c>
      <c r="N807" s="81">
        <v>16000</v>
      </c>
      <c r="O807" s="130">
        <v>16000</v>
      </c>
      <c r="P807" s="130">
        <v>16000</v>
      </c>
      <c r="Q807" s="130">
        <v>16000</v>
      </c>
      <c r="R807" s="130">
        <v>16000</v>
      </c>
      <c r="S807" s="130">
        <v>16000</v>
      </c>
      <c r="T807" s="130">
        <v>16000</v>
      </c>
      <c r="U807" s="130">
        <v>16000</v>
      </c>
      <c r="V807" s="130">
        <v>16000</v>
      </c>
      <c r="W807" s="130">
        <v>16000</v>
      </c>
      <c r="X807" s="130">
        <v>16000</v>
      </c>
      <c r="Y807" s="408">
        <v>16000</v>
      </c>
      <c r="Z807" s="437">
        <v>16000</v>
      </c>
      <c r="AA807" s="437">
        <v>16000</v>
      </c>
      <c r="AB807" s="437">
        <v>16000</v>
      </c>
      <c r="AC807" s="437">
        <v>16000</v>
      </c>
      <c r="AD807" s="437">
        <v>16000</v>
      </c>
      <c r="AE807" s="437">
        <v>16000</v>
      </c>
      <c r="AF807" s="437">
        <v>16000</v>
      </c>
      <c r="AG807" s="437">
        <v>16000</v>
      </c>
      <c r="AH807" s="437">
        <v>16000</v>
      </c>
      <c r="AI807" s="448">
        <v>36000</v>
      </c>
    </row>
    <row r="808" spans="1:35">
      <c r="A808" s="145">
        <v>45029</v>
      </c>
      <c r="B808" s="376">
        <v>46049</v>
      </c>
      <c r="C808" s="555" t="s">
        <v>2885</v>
      </c>
      <c r="D808" s="20" t="str">
        <f t="shared" si="389"/>
        <v>切粉回収</v>
      </c>
      <c r="E808" s="20" t="str">
        <f t="shared" si="390"/>
        <v>RAHARDIYAN ARYA GILANG ARMANDA</v>
      </c>
      <c r="F808" s="20" t="str">
        <f>IF(C808="","",_xlfn.XLOOKUP(C808,社員№,カナ,"",0,-1))</f>
        <v>ラハルディヤン　アルヤ　ギラン　アルマンダ</v>
      </c>
      <c r="G808" s="4"/>
      <c r="H808" s="4"/>
      <c r="I808" s="4">
        <v>16000</v>
      </c>
      <c r="J808" s="65"/>
      <c r="K808" s="11">
        <v>16000</v>
      </c>
      <c r="L808" s="11">
        <v>16000</v>
      </c>
      <c r="M808" s="81">
        <v>16000</v>
      </c>
      <c r="N808" s="81">
        <v>16000</v>
      </c>
      <c r="O808" s="81">
        <v>16000</v>
      </c>
      <c r="P808" s="81">
        <v>16000</v>
      </c>
      <c r="Q808" s="81">
        <v>16000</v>
      </c>
      <c r="R808" s="81">
        <v>16000</v>
      </c>
      <c r="S808" s="81">
        <v>16000</v>
      </c>
      <c r="T808" s="81">
        <v>16000</v>
      </c>
      <c r="U808" s="81">
        <v>16000</v>
      </c>
      <c r="V808" s="81">
        <v>16000</v>
      </c>
      <c r="W808" s="81">
        <v>16000</v>
      </c>
      <c r="X808" s="81">
        <v>16000</v>
      </c>
      <c r="Y808" s="413">
        <v>16000</v>
      </c>
      <c r="Z808" s="441">
        <v>16000</v>
      </c>
      <c r="AA808" s="441">
        <v>16000</v>
      </c>
      <c r="AB808" s="441">
        <v>16000</v>
      </c>
      <c r="AC808" s="441">
        <v>16000</v>
      </c>
      <c r="AD808" s="441">
        <v>16000</v>
      </c>
      <c r="AE808" s="441">
        <v>16000</v>
      </c>
      <c r="AF808" s="441">
        <v>16000</v>
      </c>
      <c r="AG808" s="441">
        <v>16000</v>
      </c>
      <c r="AH808" s="441">
        <v>16000</v>
      </c>
      <c r="AI808" s="448">
        <v>36000</v>
      </c>
    </row>
    <row r="809" spans="1:35">
      <c r="A809" s="145">
        <v>46049</v>
      </c>
      <c r="B809" s="376"/>
      <c r="C809" s="27" t="s">
        <v>2835</v>
      </c>
      <c r="D809" s="27" t="s">
        <v>2585</v>
      </c>
      <c r="E809" s="27" t="s">
        <v>2651</v>
      </c>
      <c r="F809" s="27" t="s">
        <v>2652</v>
      </c>
      <c r="G809" s="4"/>
      <c r="H809" s="4"/>
      <c r="I809" s="4">
        <v>16000</v>
      </c>
      <c r="J809" s="65"/>
      <c r="O809" s="81"/>
      <c r="P809" s="81"/>
      <c r="Q809" s="81"/>
      <c r="R809" s="81"/>
      <c r="S809" s="81"/>
      <c r="T809" s="81"/>
      <c r="U809" s="81"/>
      <c r="V809" s="81"/>
      <c r="W809" s="81"/>
      <c r="X809" s="81"/>
      <c r="Y809" s="413"/>
      <c r="Z809" s="441"/>
      <c r="AA809" s="441"/>
      <c r="AB809" s="441"/>
      <c r="AC809" s="448"/>
      <c r="AD809" s="1"/>
      <c r="AE809" s="1"/>
      <c r="AF809" s="27"/>
      <c r="AG809" s="1"/>
      <c r="AH809" s="448"/>
      <c r="AI809" s="448">
        <v>14113</v>
      </c>
    </row>
    <row r="810" spans="1:35">
      <c r="A810" s="145">
        <v>46049</v>
      </c>
      <c r="B810" s="376"/>
      <c r="C810" s="27" t="s">
        <v>2836</v>
      </c>
      <c r="D810" s="27" t="s">
        <v>2585</v>
      </c>
      <c r="E810" s="27" t="s">
        <v>2655</v>
      </c>
      <c r="F810" s="27" t="s">
        <v>2656</v>
      </c>
      <c r="G810" s="4"/>
      <c r="H810" s="4"/>
      <c r="I810" s="4">
        <v>16000</v>
      </c>
      <c r="J810" s="65"/>
      <c r="O810" s="81"/>
      <c r="P810" s="81"/>
      <c r="Q810" s="81"/>
      <c r="R810" s="81"/>
      <c r="S810" s="81"/>
      <c r="T810" s="81"/>
      <c r="U810" s="81"/>
      <c r="V810" s="81"/>
      <c r="W810" s="81"/>
      <c r="X810" s="81"/>
      <c r="Y810" s="413"/>
      <c r="Z810" s="441"/>
      <c r="AA810" s="441"/>
      <c r="AB810" s="441"/>
      <c r="AC810" s="448"/>
      <c r="AD810" s="1"/>
      <c r="AE810" s="1"/>
      <c r="AF810" s="27"/>
      <c r="AG810" s="1"/>
      <c r="AH810" s="448"/>
      <c r="AI810" s="448">
        <v>14113</v>
      </c>
    </row>
    <row r="811" spans="1:35">
      <c r="A811" s="145">
        <v>46049</v>
      </c>
      <c r="B811" s="376"/>
      <c r="C811" s="27" t="s">
        <v>2837</v>
      </c>
      <c r="D811" s="27" t="s">
        <v>2900</v>
      </c>
      <c r="E811" s="27" t="s">
        <v>2653</v>
      </c>
      <c r="F811" s="27" t="s">
        <v>2654</v>
      </c>
      <c r="G811" s="4"/>
      <c r="H811" s="4"/>
      <c r="I811" s="4">
        <v>16000</v>
      </c>
      <c r="J811" s="65"/>
      <c r="O811" s="81"/>
      <c r="P811" s="81"/>
      <c r="Q811" s="81"/>
      <c r="R811" s="81"/>
      <c r="S811" s="81"/>
      <c r="T811" s="81"/>
      <c r="U811" s="81"/>
      <c r="V811" s="81"/>
      <c r="W811" s="81"/>
      <c r="X811" s="81"/>
      <c r="Y811" s="413"/>
      <c r="Z811" s="441"/>
      <c r="AA811" s="441"/>
      <c r="AB811" s="441"/>
      <c r="AC811" s="448"/>
      <c r="AD811" s="1"/>
      <c r="AE811" s="1"/>
      <c r="AF811" s="538"/>
      <c r="AG811" s="544"/>
      <c r="AH811" s="550"/>
      <c r="AI811" s="448">
        <v>14113</v>
      </c>
    </row>
    <row r="812" spans="1:35">
      <c r="F812" s="160"/>
      <c r="G812" s="5"/>
      <c r="H812" s="5"/>
      <c r="I812" s="5"/>
      <c r="J812" s="74"/>
      <c r="K812" s="10"/>
      <c r="L812" s="10"/>
      <c r="M812" s="88"/>
      <c r="N812" s="88"/>
      <c r="O812" s="88"/>
      <c r="P812" s="88"/>
      <c r="Q812" s="88"/>
      <c r="R812" s="88"/>
      <c r="S812" s="88"/>
      <c r="T812" s="88"/>
      <c r="U812" s="88"/>
      <c r="V812" s="88"/>
      <c r="W812" s="88"/>
      <c r="X812" s="88"/>
      <c r="Y812" s="410"/>
      <c r="Z812" s="438"/>
      <c r="AA812" s="438"/>
      <c r="AB812" s="438"/>
      <c r="AF812" s="538"/>
      <c r="AG812" s="544"/>
      <c r="AH812" s="550"/>
      <c r="AI812" s="553"/>
    </row>
    <row r="813" spans="1:35">
      <c r="C813" s="29"/>
      <c r="D813" s="29"/>
      <c r="E813" s="29" t="s">
        <v>275</v>
      </c>
      <c r="F813" s="176"/>
      <c r="G813" s="224">
        <v>48000</v>
      </c>
      <c r="H813" s="224">
        <v>48000</v>
      </c>
      <c r="I813" s="224" t="s">
        <v>584</v>
      </c>
      <c r="J813" s="74"/>
      <c r="K813" s="10"/>
      <c r="L813" s="10"/>
      <c r="M813" s="88"/>
      <c r="N813" s="88"/>
      <c r="O813" s="88"/>
      <c r="P813" s="88"/>
      <c r="Q813" s="88"/>
      <c r="R813" s="88"/>
      <c r="S813" s="88"/>
      <c r="T813" s="88"/>
      <c r="U813" s="88"/>
      <c r="V813" s="88"/>
      <c r="W813" s="88"/>
      <c r="X813" s="88"/>
      <c r="Y813" s="410"/>
      <c r="Z813" s="438"/>
      <c r="AA813" s="438"/>
      <c r="AB813" s="438"/>
    </row>
    <row r="814" spans="1:35">
      <c r="A814" s="145" t="s">
        <v>1</v>
      </c>
      <c r="B814" s="376" t="s">
        <v>529</v>
      </c>
      <c r="C814" s="27" t="s">
        <v>2</v>
      </c>
      <c r="D814" s="27" t="s">
        <v>2532</v>
      </c>
      <c r="E814" s="27" t="s">
        <v>2433</v>
      </c>
      <c r="F814" s="165"/>
      <c r="G814" s="109" t="s">
        <v>2901</v>
      </c>
      <c r="H814" s="109" t="s">
        <v>2677</v>
      </c>
      <c r="I814" s="109" t="s">
        <v>3</v>
      </c>
      <c r="J814" s="90"/>
      <c r="K814" s="91"/>
      <c r="L814" s="91"/>
      <c r="M814" s="92"/>
      <c r="N814" s="92"/>
      <c r="O814" s="92"/>
      <c r="P814" s="92"/>
      <c r="Q814" s="92"/>
      <c r="R814" s="92"/>
      <c r="S814" s="92"/>
      <c r="T814" s="92"/>
      <c r="U814" s="92"/>
      <c r="V814" s="92"/>
      <c r="W814" s="92"/>
      <c r="X814" s="92"/>
      <c r="Y814" s="411"/>
      <c r="Z814" s="439"/>
      <c r="AA814" s="439"/>
      <c r="AB814" s="439"/>
    </row>
    <row r="815" spans="1:35">
      <c r="A815" s="145">
        <v>45029</v>
      </c>
      <c r="B815" s="376"/>
      <c r="C815" s="555" t="s">
        <v>2886</v>
      </c>
      <c r="D815" s="20" t="str">
        <f t="shared" ref="D815:D880" si="392">IF(C815="","",_xlfn.XLOOKUP(C815,社員№,派遣先,"",0,-1))</f>
        <v>切粉回収</v>
      </c>
      <c r="E815" s="20" t="str">
        <f t="shared" ref="E815:E880" si="393">IF(C815="","",_xlfn.XLOOKUP(C815,社員№,氏名,"",0,-1))</f>
        <v>BUYUNG NOVA TRI ANGGONO</v>
      </c>
      <c r="F815" s="20" t="str">
        <f t="shared" ref="F815:F880" si="394">IF(C815="","",_xlfn.XLOOKUP(C815,社員№,カナ,"",0,-1))</f>
        <v>ブユン　ノバ　トリ　アンゴノ</v>
      </c>
      <c r="G815" s="4">
        <v>83000</v>
      </c>
      <c r="H815" s="4">
        <v>12000</v>
      </c>
      <c r="I815" s="4">
        <v>16000</v>
      </c>
      <c r="J815" s="65"/>
      <c r="K815" s="11">
        <v>16000</v>
      </c>
      <c r="L815" s="11">
        <v>16000</v>
      </c>
      <c r="M815" s="81">
        <v>16000</v>
      </c>
      <c r="N815" s="81">
        <v>16000</v>
      </c>
      <c r="O815" s="130">
        <v>16000</v>
      </c>
      <c r="P815" s="130">
        <v>16000</v>
      </c>
      <c r="Q815" s="130">
        <v>16000</v>
      </c>
      <c r="R815" s="130">
        <v>16000</v>
      </c>
      <c r="S815" s="130">
        <v>16000</v>
      </c>
      <c r="T815" s="130">
        <v>16000</v>
      </c>
      <c r="U815" s="130">
        <v>16000</v>
      </c>
      <c r="V815" s="130">
        <v>16000</v>
      </c>
      <c r="W815" s="130">
        <v>16000</v>
      </c>
      <c r="X815" s="130">
        <v>16000</v>
      </c>
      <c r="Y815" s="408">
        <v>16000</v>
      </c>
      <c r="Z815" s="437">
        <v>16000</v>
      </c>
      <c r="AA815" s="437">
        <v>16000</v>
      </c>
      <c r="AB815" s="437">
        <v>16000</v>
      </c>
      <c r="AC815" s="437">
        <v>16000</v>
      </c>
      <c r="AD815" s="437">
        <v>16000</v>
      </c>
      <c r="AE815" s="437">
        <v>16000</v>
      </c>
      <c r="AF815" s="437">
        <v>16000</v>
      </c>
      <c r="AG815" s="437">
        <v>16000</v>
      </c>
      <c r="AH815" s="560">
        <v>16000</v>
      </c>
      <c r="AI815" s="448">
        <v>3929</v>
      </c>
    </row>
    <row r="816" spans="1:35">
      <c r="A816" s="145">
        <v>45029</v>
      </c>
      <c r="B816" s="376"/>
      <c r="C816" s="555" t="s">
        <v>2887</v>
      </c>
      <c r="D816" s="20" t="str">
        <f t="shared" ref="D816:D817" si="395">IF(C816="","",_xlfn.XLOOKUP(C816,社員№,派遣先,"",0,-1))</f>
        <v>切粉回収</v>
      </c>
      <c r="E816" s="20" t="str">
        <f t="shared" ref="E816:E817" si="396">IF(C816="","",_xlfn.XLOOKUP(C816,社員№,氏名,"",0,-1))</f>
        <v>GALIH BAGUS RAHARJO</v>
      </c>
      <c r="F816" s="20" t="str">
        <f t="shared" ref="F816:F817" si="397">IF(C816="","",_xlfn.XLOOKUP(C816,社員№,カナ,"",0,-1))</f>
        <v>ガリー　バグス　ラハルジョ</v>
      </c>
      <c r="G816" s="4">
        <v>83000</v>
      </c>
      <c r="H816" s="4">
        <v>12000</v>
      </c>
      <c r="I816" s="4">
        <v>16000</v>
      </c>
      <c r="J816" s="65"/>
      <c r="K816" s="11">
        <v>16000</v>
      </c>
      <c r="L816" s="11">
        <v>16000</v>
      </c>
      <c r="M816" s="81">
        <v>16000</v>
      </c>
      <c r="N816" s="81">
        <v>16000</v>
      </c>
      <c r="O816" s="130">
        <v>16000</v>
      </c>
      <c r="P816" s="130">
        <v>16000</v>
      </c>
      <c r="Q816" s="130">
        <v>16000</v>
      </c>
      <c r="R816" s="130">
        <v>16000</v>
      </c>
      <c r="S816" s="130">
        <v>16000</v>
      </c>
      <c r="T816" s="130">
        <v>16000</v>
      </c>
      <c r="U816" s="130">
        <v>16000</v>
      </c>
      <c r="V816" s="130">
        <v>16000</v>
      </c>
      <c r="W816" s="130">
        <v>16000</v>
      </c>
      <c r="X816" s="130">
        <v>16000</v>
      </c>
      <c r="Y816" s="408">
        <v>16000</v>
      </c>
      <c r="Z816" s="437">
        <v>16000</v>
      </c>
      <c r="AA816" s="437">
        <v>16000</v>
      </c>
      <c r="AB816" s="437">
        <v>16000</v>
      </c>
      <c r="AC816" s="437">
        <v>16000</v>
      </c>
      <c r="AD816" s="437">
        <v>16000</v>
      </c>
      <c r="AE816" s="437">
        <v>16000</v>
      </c>
      <c r="AF816" s="437">
        <v>16000</v>
      </c>
      <c r="AG816" s="437">
        <v>16000</v>
      </c>
      <c r="AH816" s="560">
        <v>16000</v>
      </c>
      <c r="AI816" s="448">
        <v>3929</v>
      </c>
    </row>
    <row r="817" spans="1:35">
      <c r="A817" s="145">
        <v>45029</v>
      </c>
      <c r="B817" s="376"/>
      <c r="C817" s="555" t="s">
        <v>2888</v>
      </c>
      <c r="D817" s="20" t="str">
        <f t="shared" si="395"/>
        <v>切粉回収</v>
      </c>
      <c r="E817" s="20" t="str">
        <f t="shared" si="396"/>
        <v>YUSUF MARYANTO</v>
      </c>
      <c r="F817" s="20" t="str">
        <f t="shared" si="397"/>
        <v>ユスフ　マリヤント</v>
      </c>
      <c r="G817" s="4">
        <v>83000</v>
      </c>
      <c r="H817" s="4">
        <v>12000</v>
      </c>
      <c r="I817" s="4">
        <v>16000</v>
      </c>
      <c r="J817" s="65"/>
      <c r="K817" s="11">
        <v>16000</v>
      </c>
      <c r="L817" s="11">
        <v>16000</v>
      </c>
      <c r="M817" s="81">
        <v>16000</v>
      </c>
      <c r="N817" s="81">
        <v>16000</v>
      </c>
      <c r="O817" s="130">
        <v>16000</v>
      </c>
      <c r="P817" s="130">
        <v>16000</v>
      </c>
      <c r="Q817" s="130">
        <v>16000</v>
      </c>
      <c r="R817" s="130">
        <v>16000</v>
      </c>
      <c r="S817" s="130">
        <v>16000</v>
      </c>
      <c r="T817" s="130">
        <v>16000</v>
      </c>
      <c r="U817" s="130">
        <v>16000</v>
      </c>
      <c r="V817" s="130">
        <v>16000</v>
      </c>
      <c r="W817" s="130">
        <v>16000</v>
      </c>
      <c r="X817" s="130">
        <v>16000</v>
      </c>
      <c r="Y817" s="408">
        <v>16000</v>
      </c>
      <c r="Z817" s="437">
        <v>16000</v>
      </c>
      <c r="AA817" s="437">
        <v>16000</v>
      </c>
      <c r="AB817" s="437">
        <v>16000</v>
      </c>
      <c r="AC817" s="437">
        <v>16000</v>
      </c>
      <c r="AD817" s="437">
        <v>16000</v>
      </c>
      <c r="AE817" s="437">
        <v>16000</v>
      </c>
      <c r="AF817" s="437">
        <v>16000</v>
      </c>
      <c r="AG817" s="437">
        <v>16000</v>
      </c>
      <c r="AH817" s="560">
        <v>16000</v>
      </c>
      <c r="AI817" s="448">
        <v>3929</v>
      </c>
    </row>
    <row r="818" spans="1:35">
      <c r="A818" s="145">
        <v>46003</v>
      </c>
      <c r="B818" s="376">
        <v>46049</v>
      </c>
      <c r="C818" s="555" t="s">
        <v>2838</v>
      </c>
      <c r="D818" s="20" t="s">
        <v>2900</v>
      </c>
      <c r="E818" s="20" t="s">
        <v>2687</v>
      </c>
      <c r="F818" s="20" t="s">
        <v>2688</v>
      </c>
      <c r="G818" s="4">
        <v>83000</v>
      </c>
      <c r="H818" s="4"/>
      <c r="I818" s="4"/>
      <c r="J818" s="65"/>
      <c r="AC818" s="437"/>
      <c r="AD818" s="437"/>
      <c r="AE818" s="437"/>
      <c r="AF818" s="437"/>
      <c r="AG818" s="437"/>
      <c r="AH818" s="560">
        <v>5355</v>
      </c>
      <c r="AI818" s="448">
        <v>0</v>
      </c>
    </row>
    <row r="819" spans="1:35">
      <c r="A819" s="145">
        <v>46003</v>
      </c>
      <c r="B819" s="376" t="s">
        <v>2902</v>
      </c>
      <c r="C819" s="555" t="s">
        <v>2839</v>
      </c>
      <c r="D819" s="20" t="s">
        <v>2900</v>
      </c>
      <c r="E819" s="20" t="s">
        <v>2689</v>
      </c>
      <c r="F819" s="20" t="s">
        <v>2690</v>
      </c>
      <c r="G819" s="4">
        <v>83000</v>
      </c>
      <c r="H819" s="4"/>
      <c r="I819" s="4"/>
      <c r="J819" s="65"/>
      <c r="AC819" s="437"/>
      <c r="AD819" s="437"/>
      <c r="AE819" s="437"/>
      <c r="AF819" s="437"/>
      <c r="AG819" s="437"/>
      <c r="AH819" s="560">
        <v>5355</v>
      </c>
      <c r="AI819" s="448">
        <v>0</v>
      </c>
    </row>
    <row r="820" spans="1:35">
      <c r="A820" s="145">
        <v>46003</v>
      </c>
      <c r="B820" s="376">
        <v>46049</v>
      </c>
      <c r="C820" s="555" t="s">
        <v>2840</v>
      </c>
      <c r="D820" s="20" t="s">
        <v>2900</v>
      </c>
      <c r="E820" s="20" t="s">
        <v>2691</v>
      </c>
      <c r="F820" s="20" t="s">
        <v>2692</v>
      </c>
      <c r="G820" s="4">
        <v>83000</v>
      </c>
      <c r="H820" s="4"/>
      <c r="I820" s="4"/>
      <c r="J820" s="65"/>
      <c r="AC820" s="437"/>
      <c r="AD820" s="437"/>
      <c r="AE820" s="437"/>
      <c r="AF820" s="437"/>
      <c r="AG820" s="437"/>
      <c r="AH820" s="560">
        <v>5355</v>
      </c>
      <c r="AI820" s="448">
        <v>0</v>
      </c>
    </row>
    <row r="821" spans="1:35">
      <c r="A821" s="145">
        <v>46049</v>
      </c>
      <c r="B821" s="376"/>
      <c r="C821" s="27" t="s">
        <v>2782</v>
      </c>
      <c r="D821" s="27" t="s">
        <v>124</v>
      </c>
      <c r="E821" s="27" t="s">
        <v>269</v>
      </c>
      <c r="F821" s="27" t="s">
        <v>270</v>
      </c>
      <c r="G821" s="4">
        <v>83000</v>
      </c>
      <c r="H821" s="4">
        <v>12000</v>
      </c>
      <c r="I821" s="4"/>
      <c r="J821" s="65"/>
      <c r="O821" s="81"/>
      <c r="P821" s="81"/>
      <c r="Q821" s="81"/>
      <c r="R821" s="81"/>
      <c r="S821" s="81"/>
      <c r="T821" s="81"/>
      <c r="U821" s="81"/>
      <c r="V821" s="81"/>
      <c r="W821" s="81"/>
      <c r="X821" s="81"/>
      <c r="Y821" s="413"/>
      <c r="Z821" s="441"/>
      <c r="AA821" s="441"/>
      <c r="AB821" s="441"/>
      <c r="AC821" s="448"/>
      <c r="AD821" s="1"/>
      <c r="AE821" s="1"/>
      <c r="AF821" s="27"/>
      <c r="AI821" s="448">
        <v>14760</v>
      </c>
    </row>
    <row r="822" spans="1:35">
      <c r="F822" s="160"/>
      <c r="G822" s="5"/>
      <c r="H822" s="5"/>
      <c r="I822" s="5"/>
      <c r="J822" s="74"/>
      <c r="K822" s="10"/>
      <c r="L822" s="10"/>
      <c r="M822" s="88"/>
      <c r="N822" s="88"/>
      <c r="O822" s="88"/>
      <c r="P822" s="88"/>
      <c r="Q822" s="88"/>
      <c r="R822" s="88"/>
      <c r="S822" s="88"/>
      <c r="T822" s="88"/>
      <c r="U822" s="88"/>
      <c r="V822" s="88"/>
      <c r="W822" s="88"/>
      <c r="X822" s="88"/>
      <c r="Y822" s="410"/>
      <c r="Z822" s="438"/>
      <c r="AA822" s="438"/>
      <c r="AB822" s="438"/>
      <c r="AF822" s="538"/>
    </row>
    <row r="823" spans="1:35">
      <c r="C823" s="29"/>
      <c r="D823" s="29"/>
      <c r="E823" s="29" t="s">
        <v>472</v>
      </c>
      <c r="F823" s="176"/>
      <c r="G823" s="224">
        <v>43000</v>
      </c>
      <c r="H823" s="224">
        <v>43000</v>
      </c>
      <c r="I823" s="224" t="s">
        <v>584</v>
      </c>
      <c r="J823" s="74"/>
      <c r="K823" s="10"/>
      <c r="L823" s="10"/>
      <c r="M823" s="88"/>
      <c r="N823" s="88"/>
      <c r="O823" s="88"/>
      <c r="P823" s="88"/>
      <c r="Q823" s="88"/>
      <c r="R823" s="88"/>
      <c r="S823" s="88"/>
      <c r="T823" s="88"/>
      <c r="U823" s="88"/>
      <c r="V823" s="88"/>
      <c r="W823" s="88"/>
      <c r="X823" s="88"/>
      <c r="Y823" s="410"/>
      <c r="Z823" s="438"/>
      <c r="AA823" s="438"/>
      <c r="AB823" s="438"/>
    </row>
    <row r="824" spans="1:35">
      <c r="A824" s="145" t="s">
        <v>1</v>
      </c>
      <c r="B824" s="376" t="s">
        <v>529</v>
      </c>
      <c r="C824" s="27" t="s">
        <v>2</v>
      </c>
      <c r="D824" s="27" t="s">
        <v>2532</v>
      </c>
      <c r="E824" s="27" t="s">
        <v>2433</v>
      </c>
      <c r="F824" s="165"/>
      <c r="G824" s="109"/>
      <c r="H824" s="109"/>
      <c r="I824" s="109" t="s">
        <v>3</v>
      </c>
      <c r="J824" s="90"/>
      <c r="K824" s="91"/>
      <c r="L824" s="91"/>
      <c r="M824" s="92"/>
      <c r="N824" s="92"/>
      <c r="O824" s="92"/>
      <c r="P824" s="92"/>
      <c r="Q824" s="92"/>
      <c r="R824" s="92"/>
      <c r="S824" s="92"/>
      <c r="T824" s="92"/>
      <c r="U824" s="92"/>
      <c r="V824" s="92"/>
      <c r="W824" s="92"/>
      <c r="X824" s="92"/>
      <c r="Y824" s="411"/>
      <c r="Z824" s="439"/>
      <c r="AA824" s="439"/>
      <c r="AB824" s="439"/>
    </row>
    <row r="825" spans="1:35">
      <c r="A825" s="145">
        <v>45261</v>
      </c>
      <c r="B825" s="376"/>
      <c r="C825" s="555" t="s">
        <v>2889</v>
      </c>
      <c r="D825" s="20" t="str">
        <f t="shared" si="392"/>
        <v>切粉回収</v>
      </c>
      <c r="E825" s="20" t="str">
        <f t="shared" si="393"/>
        <v>RINZA　PRASETIYO</v>
      </c>
      <c r="F825" s="20" t="str">
        <f t="shared" si="394"/>
        <v>リンザ　プラセティヨ</v>
      </c>
      <c r="G825" s="4"/>
      <c r="H825" s="4"/>
      <c r="I825" s="4">
        <v>21500</v>
      </c>
      <c r="J825" s="65"/>
      <c r="K825" s="11">
        <v>21500</v>
      </c>
      <c r="L825" s="11">
        <v>21500</v>
      </c>
      <c r="M825" s="81">
        <v>21500</v>
      </c>
      <c r="N825" s="81">
        <v>21500</v>
      </c>
      <c r="O825" s="81">
        <v>21500</v>
      </c>
      <c r="P825" s="81">
        <v>21500</v>
      </c>
      <c r="Q825" s="81">
        <v>21500</v>
      </c>
      <c r="R825" s="81">
        <v>21500</v>
      </c>
      <c r="S825" s="81">
        <v>21500</v>
      </c>
      <c r="T825" s="81">
        <v>21500</v>
      </c>
      <c r="U825" s="81">
        <v>21500</v>
      </c>
      <c r="V825" s="81">
        <v>21500</v>
      </c>
      <c r="W825" s="81">
        <v>21500</v>
      </c>
      <c r="X825" s="81">
        <v>21500</v>
      </c>
      <c r="Y825" s="413">
        <v>21500</v>
      </c>
      <c r="Z825" s="441">
        <v>21500</v>
      </c>
      <c r="AA825" s="441">
        <v>21500</v>
      </c>
      <c r="AB825" s="437">
        <v>21500</v>
      </c>
      <c r="AC825" s="448">
        <v>21500</v>
      </c>
      <c r="AD825" s="448">
        <v>21500</v>
      </c>
      <c r="AE825" s="508">
        <v>21500</v>
      </c>
      <c r="AF825" s="508">
        <v>21500</v>
      </c>
      <c r="AG825" s="508">
        <v>21500</v>
      </c>
      <c r="AH825" s="508">
        <v>21500</v>
      </c>
      <c r="AI825" s="508">
        <v>21500</v>
      </c>
    </row>
    <row r="826" spans="1:35">
      <c r="A826" s="145">
        <v>45261</v>
      </c>
      <c r="B826" s="376"/>
      <c r="C826" s="555" t="s">
        <v>2890</v>
      </c>
      <c r="D826" s="20" t="str">
        <f t="shared" ref="D826" si="398">IF(C826="","",_xlfn.XLOOKUP(C826,社員№,派遣先,"",0,-1))</f>
        <v>切粉回収</v>
      </c>
      <c r="E826" s="20" t="str">
        <f t="shared" ref="E826" si="399">IF(C826="","",_xlfn.XLOOKUP(C826,社員№,氏名,"",0,-1))</f>
        <v>ALFIAN　GALIH　ABDULLAH</v>
      </c>
      <c r="F826" s="20" t="str">
        <f t="shared" ref="F826" si="400">IF(C826="","",_xlfn.XLOOKUP(C826,社員№,カナ,"",0,-1))</f>
        <v>アルビアン　ガリー　アブドゥルラー</v>
      </c>
      <c r="G826" s="4"/>
      <c r="H826" s="4"/>
      <c r="I826" s="4">
        <v>21500</v>
      </c>
      <c r="J826" s="71"/>
      <c r="K826" s="3">
        <v>21500</v>
      </c>
      <c r="L826" s="3">
        <v>21500</v>
      </c>
      <c r="M826" s="95">
        <v>21500</v>
      </c>
      <c r="N826" s="95">
        <v>21500</v>
      </c>
      <c r="O826" s="136">
        <v>21500</v>
      </c>
      <c r="P826" s="136">
        <v>21500</v>
      </c>
      <c r="Q826" s="136">
        <v>21500</v>
      </c>
      <c r="R826" s="136">
        <v>21500</v>
      </c>
      <c r="S826" s="136">
        <v>21500</v>
      </c>
      <c r="T826" s="136">
        <v>21500</v>
      </c>
      <c r="U826" s="136">
        <v>21500</v>
      </c>
      <c r="V826" s="136">
        <v>21500</v>
      </c>
      <c r="W826" s="136">
        <v>21500</v>
      </c>
      <c r="X826" s="136">
        <v>21500</v>
      </c>
      <c r="Y826" s="421">
        <v>21500</v>
      </c>
      <c r="Z826" s="451">
        <v>21500</v>
      </c>
      <c r="AA826" s="451">
        <v>21500</v>
      </c>
      <c r="AB826" s="451">
        <v>21500</v>
      </c>
      <c r="AC826" s="448">
        <v>21500</v>
      </c>
      <c r="AD826" s="448">
        <v>21500</v>
      </c>
      <c r="AE826" s="508">
        <v>21500</v>
      </c>
      <c r="AF826" s="508">
        <v>21500</v>
      </c>
      <c r="AG826" s="508">
        <v>21500</v>
      </c>
      <c r="AH826" s="508">
        <v>21500</v>
      </c>
      <c r="AI826" s="508">
        <v>21500</v>
      </c>
    </row>
    <row r="827" spans="1:35">
      <c r="F827" s="160"/>
      <c r="G827" s="5"/>
      <c r="H827" s="5"/>
      <c r="I827" s="5"/>
      <c r="J827" s="97"/>
      <c r="K827" s="98"/>
      <c r="L827" s="98"/>
      <c r="M827" s="99"/>
      <c r="N827" s="99"/>
      <c r="O827" s="99"/>
      <c r="P827" s="99"/>
      <c r="Q827" s="99"/>
      <c r="R827" s="99"/>
      <c r="S827" s="99"/>
      <c r="T827" s="99"/>
      <c r="U827" s="99"/>
      <c r="V827" s="99"/>
      <c r="W827" s="99"/>
      <c r="X827" s="99"/>
      <c r="Y827" s="416"/>
      <c r="Z827" s="445"/>
      <c r="AA827" s="445"/>
      <c r="AB827" s="445"/>
    </row>
    <row r="828" spans="1:35">
      <c r="A828" s="147"/>
      <c r="C828" s="29"/>
      <c r="D828" s="29"/>
      <c r="E828" s="29" t="s">
        <v>2503</v>
      </c>
      <c r="F828" s="176"/>
      <c r="G828" s="224">
        <v>32000</v>
      </c>
      <c r="H828" s="224">
        <v>34000</v>
      </c>
      <c r="I828" s="224" t="s">
        <v>582</v>
      </c>
      <c r="J828" s="74"/>
      <c r="K828" s="10"/>
      <c r="L828" s="10"/>
      <c r="M828" s="88"/>
      <c r="N828" s="88"/>
      <c r="O828" s="88"/>
      <c r="P828" s="88"/>
      <c r="Q828" s="88"/>
      <c r="R828" s="88"/>
      <c r="S828" s="88"/>
      <c r="T828" s="88"/>
      <c r="U828" s="88"/>
      <c r="V828" s="88"/>
      <c r="W828" s="88"/>
      <c r="X828" s="88"/>
      <c r="Y828" s="410"/>
      <c r="Z828" s="438"/>
      <c r="AA828" s="438"/>
      <c r="AB828" s="438"/>
    </row>
    <row r="829" spans="1:35">
      <c r="A829" s="148" t="s">
        <v>1</v>
      </c>
      <c r="B829" s="377" t="s">
        <v>529</v>
      </c>
      <c r="C829" s="27" t="s">
        <v>2</v>
      </c>
      <c r="D829" s="27" t="s">
        <v>2532</v>
      </c>
      <c r="E829" s="27" t="s">
        <v>2433</v>
      </c>
      <c r="F829" s="165"/>
      <c r="G829" s="22"/>
      <c r="H829" s="22"/>
      <c r="I829" s="22" t="s">
        <v>3</v>
      </c>
      <c r="J829" s="90"/>
      <c r="K829" s="91"/>
      <c r="L829" s="91"/>
      <c r="M829" s="92"/>
      <c r="N829" s="92"/>
      <c r="O829" s="92"/>
      <c r="P829" s="92"/>
      <c r="Q829" s="92"/>
      <c r="R829" s="92"/>
      <c r="S829" s="92"/>
      <c r="T829" s="92"/>
      <c r="U829" s="92"/>
      <c r="V829" s="92"/>
      <c r="W829" s="92"/>
      <c r="X829" s="92"/>
      <c r="Y829" s="411"/>
      <c r="Z829" s="439"/>
      <c r="AA829" s="439"/>
      <c r="AB829" s="439"/>
    </row>
    <row r="830" spans="1:35" hidden="1">
      <c r="A830" s="145">
        <v>44620</v>
      </c>
      <c r="B830" s="376">
        <v>45596</v>
      </c>
      <c r="C830" s="27">
        <v>220716</v>
      </c>
      <c r="D830" s="20" t="str">
        <f t="shared" si="392"/>
        <v>高雄工業 岡山</v>
      </c>
      <c r="E830" s="20" t="str">
        <f t="shared" si="393"/>
        <v>NGUYEN THANH BINH</v>
      </c>
      <c r="F830" s="20" t="str">
        <f t="shared" si="394"/>
        <v>グエン　タン　ビン</v>
      </c>
      <c r="G830" s="11"/>
      <c r="H830" s="11"/>
      <c r="I830" s="11">
        <v>32000</v>
      </c>
      <c r="J830" s="65"/>
      <c r="K830" s="11">
        <v>32000</v>
      </c>
      <c r="L830" s="11">
        <v>32000</v>
      </c>
      <c r="M830" s="81">
        <v>32000</v>
      </c>
      <c r="N830" s="81">
        <v>32000</v>
      </c>
      <c r="O830" s="81">
        <v>32000</v>
      </c>
      <c r="P830" s="81">
        <v>32000</v>
      </c>
      <c r="Q830" s="81">
        <v>32000</v>
      </c>
      <c r="R830" s="81">
        <v>32000</v>
      </c>
      <c r="S830" s="81">
        <v>32000</v>
      </c>
      <c r="T830" s="81">
        <f>32000+20000</f>
        <v>52000</v>
      </c>
      <c r="U830" s="81">
        <v>0</v>
      </c>
      <c r="V830" s="81">
        <v>0</v>
      </c>
      <c r="W830" s="81">
        <v>0</v>
      </c>
      <c r="X830" s="81">
        <v>0</v>
      </c>
      <c r="Y830" s="413">
        <v>0</v>
      </c>
      <c r="Z830" s="441">
        <v>0</v>
      </c>
      <c r="AA830" s="441">
        <v>0</v>
      </c>
      <c r="AB830" s="441">
        <v>0</v>
      </c>
    </row>
    <row r="831" spans="1:35">
      <c r="A831" s="145">
        <v>45627</v>
      </c>
      <c r="B831" s="376"/>
      <c r="C831" s="558" t="s">
        <v>2891</v>
      </c>
      <c r="D831" s="20" t="str">
        <f t="shared" ref="D831" si="401">IF(C831="","",_xlfn.XLOOKUP(C831,社員№,派遣先,"",0,-1))</f>
        <v>切粉回収</v>
      </c>
      <c r="E831" s="20" t="str">
        <f t="shared" ref="E831" si="402">IF(C831="","",_xlfn.XLOOKUP(C831,社員№,氏名,"",0,-1))</f>
        <v>安西　ルイズ　ユキオ</v>
      </c>
      <c r="F831" s="20" t="str">
        <f t="shared" ref="F831" si="403">IF(C831="","",_xlfn.XLOOKUP(C831,社員№,カナ,"",0,-1))</f>
        <v>アンザイ　ルイズ　ユキオ</v>
      </c>
      <c r="G831" s="11"/>
      <c r="H831" s="11"/>
      <c r="I831" s="11">
        <v>34000</v>
      </c>
      <c r="J831" s="65"/>
      <c r="O831" s="81"/>
      <c r="P831" s="81"/>
      <c r="Q831" s="81"/>
      <c r="R831" s="81"/>
      <c r="S831" s="81"/>
      <c r="T831" s="81"/>
      <c r="U831" s="81"/>
      <c r="V831" s="81">
        <v>34000</v>
      </c>
      <c r="W831" s="81">
        <v>34000</v>
      </c>
      <c r="X831" s="81">
        <v>34000</v>
      </c>
      <c r="Y831" s="413">
        <v>34000</v>
      </c>
      <c r="Z831" s="441">
        <v>34000</v>
      </c>
      <c r="AA831" s="441">
        <v>34000</v>
      </c>
      <c r="AB831" s="441">
        <v>34000</v>
      </c>
      <c r="AC831" s="441">
        <v>34000</v>
      </c>
      <c r="AD831" s="441">
        <v>34000</v>
      </c>
      <c r="AE831" s="437">
        <v>34000</v>
      </c>
      <c r="AF831" s="437">
        <v>34000</v>
      </c>
      <c r="AG831" s="437">
        <v>34000</v>
      </c>
      <c r="AH831" s="437">
        <v>34000</v>
      </c>
      <c r="AI831" s="437">
        <v>34000</v>
      </c>
    </row>
    <row r="832" spans="1:35">
      <c r="C832" s="125"/>
      <c r="D832" s="47"/>
      <c r="E832" s="47"/>
      <c r="F832" s="47"/>
      <c r="G832" s="10"/>
      <c r="H832" s="10"/>
      <c r="I832" s="10"/>
      <c r="J832" s="74"/>
      <c r="K832" s="10"/>
      <c r="L832" s="10"/>
      <c r="M832" s="88"/>
      <c r="N832" s="88"/>
      <c r="O832" s="88"/>
      <c r="P832" s="88"/>
      <c r="Q832" s="88"/>
      <c r="R832" s="88"/>
      <c r="S832" s="88"/>
      <c r="T832" s="88"/>
      <c r="U832" s="88"/>
      <c r="V832" s="88"/>
      <c r="W832" s="88"/>
      <c r="X832" s="88"/>
      <c r="Y832" s="410"/>
      <c r="Z832" s="438"/>
      <c r="AA832" s="438"/>
      <c r="AB832" s="438"/>
      <c r="AC832" s="438"/>
      <c r="AD832" s="438"/>
      <c r="AE832" s="438"/>
      <c r="AF832" s="437"/>
      <c r="AG832" s="437"/>
      <c r="AH832" s="437"/>
    </row>
    <row r="833" spans="1:35">
      <c r="C833" s="126"/>
      <c r="D833" s="29"/>
      <c r="E833" s="29" t="s">
        <v>2668</v>
      </c>
      <c r="F833" s="29"/>
      <c r="G833" s="10"/>
      <c r="H833" s="210">
        <v>56000</v>
      </c>
      <c r="I833" s="10"/>
      <c r="J833" s="74"/>
      <c r="K833" s="10"/>
      <c r="L833" s="10"/>
      <c r="M833" s="88"/>
      <c r="N833" s="88"/>
      <c r="O833" s="88"/>
      <c r="P833" s="88"/>
      <c r="Q833" s="88"/>
      <c r="R833" s="88"/>
      <c r="S833" s="88"/>
      <c r="T833" s="88"/>
      <c r="U833" s="88"/>
      <c r="V833" s="88"/>
      <c r="W833" s="88"/>
      <c r="X833" s="88"/>
      <c r="Y833" s="410"/>
      <c r="Z833" s="438"/>
      <c r="AA833" s="438"/>
      <c r="AB833" s="438"/>
      <c r="AC833" s="438"/>
      <c r="AD833" s="438"/>
      <c r="AE833" s="438"/>
      <c r="AF833" s="437"/>
      <c r="AG833" s="437"/>
      <c r="AH833" s="437"/>
    </row>
    <row r="834" spans="1:35">
      <c r="A834" s="145" t="s">
        <v>1</v>
      </c>
      <c r="B834" s="376" t="s">
        <v>529</v>
      </c>
      <c r="C834" s="7" t="s">
        <v>2</v>
      </c>
      <c r="D834" s="20" t="s">
        <v>2547</v>
      </c>
      <c r="E834" s="20" t="s">
        <v>2548</v>
      </c>
      <c r="F834" s="20"/>
      <c r="G834" s="11"/>
      <c r="H834" s="11" t="s">
        <v>2677</v>
      </c>
      <c r="I834" s="11"/>
      <c r="J834" s="65"/>
      <c r="O834" s="81"/>
      <c r="P834" s="81"/>
      <c r="Q834" s="81"/>
      <c r="R834" s="81"/>
      <c r="S834" s="81"/>
      <c r="T834" s="81"/>
      <c r="U834" s="81"/>
      <c r="V834" s="81"/>
      <c r="W834" s="81"/>
      <c r="X834" s="81"/>
      <c r="Y834" s="413"/>
      <c r="Z834" s="441"/>
      <c r="AA834" s="441"/>
      <c r="AB834" s="441"/>
      <c r="AC834" s="441"/>
      <c r="AD834" s="441"/>
      <c r="AE834" s="441"/>
      <c r="AF834" s="437"/>
      <c r="AG834" s="437"/>
      <c r="AH834" s="437"/>
    </row>
    <row r="835" spans="1:35">
      <c r="A835" s="145">
        <v>46003</v>
      </c>
      <c r="B835" s="376"/>
      <c r="C835" s="7">
        <v>251207</v>
      </c>
      <c r="D835" s="20" t="str">
        <f t="shared" ref="D835" si="404">IF(C835="","",_xlfn.XLOOKUP(C835,社員№,派遣先,"",0,-1))</f>
        <v>高雄工業 岡山</v>
      </c>
      <c r="E835" s="20" t="str">
        <f t="shared" ref="E835" si="405">IF(C835="","",_xlfn.XLOOKUP(C835,社員№,氏名,"",0,-1))</f>
        <v>HO DUC KHA</v>
      </c>
      <c r="F835" s="20" t="str">
        <f t="shared" ref="F835" si="406">IF(C835="","",_xlfn.XLOOKUP(C835,社員№,カナ,"",0,-1))</f>
        <v>ホー　ドゥック　カー</v>
      </c>
      <c r="G835" s="11"/>
      <c r="H835" s="11">
        <v>14000</v>
      </c>
      <c r="I835" s="11"/>
      <c r="J835" s="65"/>
      <c r="O835" s="81"/>
      <c r="P835" s="81"/>
      <c r="Q835" s="81"/>
      <c r="R835" s="81"/>
      <c r="S835" s="81"/>
      <c r="T835" s="81"/>
      <c r="U835" s="81"/>
      <c r="V835" s="81"/>
      <c r="W835" s="81"/>
      <c r="X835" s="81"/>
      <c r="Y835" s="413"/>
      <c r="Z835" s="441"/>
      <c r="AA835" s="441"/>
      <c r="AB835" s="441"/>
      <c r="AC835" s="441"/>
      <c r="AD835" s="441"/>
      <c r="AE835" s="441"/>
      <c r="AF835" s="437"/>
      <c r="AG835" s="437"/>
      <c r="AH835" s="492">
        <v>9032</v>
      </c>
      <c r="AI835" s="448">
        <v>23032</v>
      </c>
    </row>
    <row r="836" spans="1:35">
      <c r="A836" s="145">
        <v>46003</v>
      </c>
      <c r="B836" s="376"/>
      <c r="C836" s="7">
        <v>251208</v>
      </c>
      <c r="D836" s="20" t="str">
        <f t="shared" ref="D836:D838" si="407">IF(C836="","",_xlfn.XLOOKUP(C836,社員№,派遣先,"",0,-1))</f>
        <v>高雄工業 岡山</v>
      </c>
      <c r="E836" s="20" t="str">
        <f t="shared" ref="E836:E838" si="408">IF(C836="","",_xlfn.XLOOKUP(C836,社員№,氏名,"",0,-1))</f>
        <v>TRUONG TAN PHUOC</v>
      </c>
      <c r="F836" s="20" t="str">
        <f t="shared" ref="F836:F838" si="409">IF(C836="","",_xlfn.XLOOKUP(C836,社員№,カナ,"",0,-1))</f>
        <v>チュオン　タン　フォック</v>
      </c>
      <c r="G836" s="11"/>
      <c r="H836" s="11">
        <v>14000</v>
      </c>
      <c r="I836" s="11"/>
      <c r="J836" s="65"/>
      <c r="O836" s="81"/>
      <c r="P836" s="81"/>
      <c r="Q836" s="81"/>
      <c r="R836" s="81"/>
      <c r="S836" s="81"/>
      <c r="T836" s="81"/>
      <c r="U836" s="81"/>
      <c r="V836" s="81"/>
      <c r="W836" s="81"/>
      <c r="X836" s="81"/>
      <c r="Y836" s="413"/>
      <c r="Z836" s="441"/>
      <c r="AA836" s="441"/>
      <c r="AB836" s="441"/>
      <c r="AC836" s="441"/>
      <c r="AD836" s="441"/>
      <c r="AE836" s="441"/>
      <c r="AF836" s="437"/>
      <c r="AG836" s="437"/>
      <c r="AH836" s="492">
        <v>9032</v>
      </c>
      <c r="AI836" s="448">
        <v>23032</v>
      </c>
    </row>
    <row r="837" spans="1:35">
      <c r="A837" s="145">
        <v>46003</v>
      </c>
      <c r="B837" s="376"/>
      <c r="C837" s="7">
        <v>251209</v>
      </c>
      <c r="D837" s="20" t="str">
        <f t="shared" si="407"/>
        <v>高雄工業 岡山</v>
      </c>
      <c r="E837" s="20" t="str">
        <f t="shared" si="408"/>
        <v>LE DUC TRUNG</v>
      </c>
      <c r="F837" s="20" t="str">
        <f t="shared" si="409"/>
        <v>レ　ドゥック　チュン</v>
      </c>
      <c r="G837" s="11"/>
      <c r="H837" s="11">
        <v>14000</v>
      </c>
      <c r="I837" s="11"/>
      <c r="J837" s="65"/>
      <c r="O837" s="81"/>
      <c r="P837" s="81"/>
      <c r="Q837" s="81"/>
      <c r="R837" s="81"/>
      <c r="S837" s="81"/>
      <c r="T837" s="81"/>
      <c r="U837" s="81"/>
      <c r="V837" s="81"/>
      <c r="W837" s="81"/>
      <c r="X837" s="81"/>
      <c r="Y837" s="413"/>
      <c r="Z837" s="441"/>
      <c r="AA837" s="441"/>
      <c r="AB837" s="441"/>
      <c r="AC837" s="441"/>
      <c r="AD837" s="441"/>
      <c r="AE837" s="441"/>
      <c r="AF837" s="437"/>
      <c r="AG837" s="437"/>
      <c r="AH837" s="492">
        <v>9032</v>
      </c>
      <c r="AI837" s="448">
        <v>23032</v>
      </c>
    </row>
    <row r="838" spans="1:35">
      <c r="A838" s="145">
        <v>46003</v>
      </c>
      <c r="B838" s="376"/>
      <c r="C838" s="7">
        <v>251210</v>
      </c>
      <c r="D838" s="20" t="str">
        <f t="shared" si="407"/>
        <v>高雄工業 岡山</v>
      </c>
      <c r="E838" s="20" t="str">
        <f t="shared" si="408"/>
        <v>TRAN VU DANG</v>
      </c>
      <c r="F838" s="20" t="str">
        <f t="shared" si="409"/>
        <v>チャン　ヴ　ダン</v>
      </c>
      <c r="G838" s="11"/>
      <c r="H838" s="11">
        <v>14000</v>
      </c>
      <c r="I838" s="11"/>
      <c r="J838" s="65"/>
      <c r="O838" s="81"/>
      <c r="P838" s="81"/>
      <c r="Q838" s="81"/>
      <c r="R838" s="81"/>
      <c r="S838" s="81"/>
      <c r="T838" s="81"/>
      <c r="U838" s="81"/>
      <c r="V838" s="81"/>
      <c r="W838" s="81"/>
      <c r="X838" s="81"/>
      <c r="Y838" s="413"/>
      <c r="Z838" s="441"/>
      <c r="AA838" s="441"/>
      <c r="AB838" s="441"/>
      <c r="AC838" s="441"/>
      <c r="AD838" s="441"/>
      <c r="AE838" s="441"/>
      <c r="AF838" s="437"/>
      <c r="AG838" s="437"/>
      <c r="AH838" s="492">
        <v>9032</v>
      </c>
      <c r="AI838" s="448">
        <v>23032</v>
      </c>
    </row>
    <row r="839" spans="1:35">
      <c r="A839" s="147"/>
      <c r="F839" s="160"/>
      <c r="G839" s="6"/>
      <c r="H839" s="6"/>
      <c r="I839" s="6"/>
      <c r="J839" s="74"/>
      <c r="K839" s="10"/>
      <c r="L839" s="10"/>
      <c r="M839" s="88"/>
      <c r="N839" s="88"/>
      <c r="O839" s="88"/>
      <c r="P839" s="88"/>
      <c r="Q839" s="88"/>
      <c r="R839" s="88"/>
      <c r="S839" s="88"/>
      <c r="T839" s="88"/>
      <c r="U839" s="88"/>
      <c r="V839" s="88"/>
      <c r="W839" s="88"/>
      <c r="X839" s="88"/>
      <c r="Y839" s="410"/>
      <c r="Z839" s="438"/>
      <c r="AA839" s="438"/>
      <c r="AB839" s="438"/>
    </row>
    <row r="840" spans="1:35">
      <c r="A840" s="147"/>
      <c r="C840" s="35"/>
      <c r="D840" s="35"/>
      <c r="E840" s="35" t="s">
        <v>16</v>
      </c>
      <c r="F840" s="190"/>
      <c r="G840" s="214">
        <v>51300</v>
      </c>
      <c r="H840" s="214">
        <v>53000</v>
      </c>
      <c r="I840" s="214" t="s">
        <v>574</v>
      </c>
      <c r="J840" s="74"/>
      <c r="K840" s="10"/>
      <c r="L840" s="10"/>
      <c r="M840" s="88"/>
      <c r="N840" s="88"/>
      <c r="O840" s="88"/>
      <c r="P840" s="88"/>
      <c r="Q840" s="88"/>
      <c r="R840" s="88"/>
      <c r="S840" s="88"/>
      <c r="T840" s="88"/>
      <c r="U840" s="88"/>
      <c r="V840" s="88"/>
      <c r="W840" s="88"/>
      <c r="X840" s="88"/>
      <c r="Y840" s="410"/>
      <c r="Z840" s="438"/>
      <c r="AA840" s="438"/>
      <c r="AB840" s="438"/>
    </row>
    <row r="841" spans="1:35">
      <c r="A841" s="148" t="s">
        <v>1</v>
      </c>
      <c r="B841" s="377" t="s">
        <v>529</v>
      </c>
      <c r="C841" s="27" t="s">
        <v>2</v>
      </c>
      <c r="D841" s="27" t="s">
        <v>2532</v>
      </c>
      <c r="E841" s="25" t="s">
        <v>2433</v>
      </c>
      <c r="F841" s="184"/>
      <c r="G841" s="108"/>
      <c r="H841" s="108"/>
      <c r="I841" s="108" t="s">
        <v>3</v>
      </c>
      <c r="J841" s="90"/>
      <c r="K841" s="91"/>
      <c r="L841" s="91"/>
      <c r="M841" s="92"/>
      <c r="N841" s="92"/>
      <c r="O841" s="92"/>
      <c r="P841" s="92"/>
      <c r="Q841" s="92"/>
      <c r="R841" s="92"/>
      <c r="S841" s="92"/>
      <c r="T841" s="92"/>
      <c r="U841" s="92"/>
      <c r="V841" s="92"/>
      <c r="W841" s="92"/>
      <c r="X841" s="92"/>
      <c r="Y841" s="411"/>
      <c r="Z841" s="439"/>
      <c r="AA841" s="439"/>
      <c r="AB841" s="439"/>
    </row>
    <row r="842" spans="1:35">
      <c r="A842" s="145">
        <v>45363</v>
      </c>
      <c r="B842" s="376"/>
      <c r="C842" s="27">
        <v>210801</v>
      </c>
      <c r="D842" s="20" t="str">
        <f t="shared" si="392"/>
        <v>ﾌｪﾆﾃｯｸｾﾐｺﾝﾀﾞｸﾀｰ 岡山</v>
      </c>
      <c r="E842" s="20" t="str">
        <f t="shared" si="393"/>
        <v>TRAN XUAN HUNG</v>
      </c>
      <c r="F842" s="20" t="str">
        <f t="shared" si="394"/>
        <v>チャン　スアン　フン</v>
      </c>
      <c r="G842" s="12"/>
      <c r="H842" s="12"/>
      <c r="I842" s="12">
        <v>26500</v>
      </c>
      <c r="J842" s="65"/>
      <c r="M842" s="84">
        <v>17097</v>
      </c>
      <c r="N842" s="84">
        <v>26500</v>
      </c>
      <c r="O842" s="84">
        <v>26500</v>
      </c>
      <c r="P842" s="84">
        <v>26500</v>
      </c>
      <c r="Q842" s="84">
        <v>26500</v>
      </c>
      <c r="R842" s="84">
        <v>26500</v>
      </c>
      <c r="S842" s="84">
        <v>26500</v>
      </c>
      <c r="T842" s="84">
        <v>26500</v>
      </c>
      <c r="U842" s="84">
        <v>26500</v>
      </c>
      <c r="V842" s="84">
        <v>26500</v>
      </c>
      <c r="W842" s="84">
        <v>26500</v>
      </c>
      <c r="X842" s="84">
        <v>26500</v>
      </c>
      <c r="Y842" s="414">
        <v>26500</v>
      </c>
      <c r="Z842" s="443">
        <v>26500</v>
      </c>
      <c r="AA842" s="443">
        <v>26500</v>
      </c>
      <c r="AB842" s="443">
        <v>26500</v>
      </c>
      <c r="AC842" s="448">
        <v>26500</v>
      </c>
      <c r="AD842" s="448">
        <v>26500</v>
      </c>
      <c r="AE842" s="508">
        <v>26500</v>
      </c>
      <c r="AF842" s="508">
        <v>26500</v>
      </c>
      <c r="AG842" s="508">
        <v>26500</v>
      </c>
      <c r="AH842" s="508">
        <v>26500</v>
      </c>
      <c r="AI842" s="508">
        <v>26500</v>
      </c>
    </row>
    <row r="843" spans="1:35">
      <c r="A843" s="145">
        <v>45743</v>
      </c>
      <c r="B843" s="376"/>
      <c r="C843" s="27">
        <v>250401</v>
      </c>
      <c r="D843" s="20" t="str">
        <f t="shared" ref="D843" si="410">IF(C843="","",_xlfn.XLOOKUP(C843,社員№,派遣先,"",0,-1))</f>
        <v>プレテック</v>
      </c>
      <c r="E843" s="20" t="str">
        <f t="shared" ref="E843" si="411">IF(C843="","",_xlfn.XLOOKUP(C843,社員№,氏名,"",0,-1))</f>
        <v>VU VAN BINH</v>
      </c>
      <c r="F843" s="20" t="str">
        <f t="shared" ref="F843" si="412">IF(C843="","",_xlfn.XLOOKUP(C843,社員№,カナ,"",0,-1))</f>
        <v>ヴー　ヴァン　ビン</v>
      </c>
      <c r="G843" s="12"/>
      <c r="H843" s="12"/>
      <c r="I843" s="12">
        <v>26500</v>
      </c>
      <c r="J843" s="65"/>
      <c r="M843" s="84"/>
      <c r="N843" s="84"/>
      <c r="O843" s="84"/>
      <c r="P843" s="84"/>
      <c r="Q843" s="84"/>
      <c r="R843" s="84"/>
      <c r="S843" s="84"/>
      <c r="T843" s="84"/>
      <c r="U843" s="84"/>
      <c r="V843" s="84"/>
      <c r="W843" s="84"/>
      <c r="X843" s="84"/>
      <c r="Y843" s="418">
        <v>4274</v>
      </c>
      <c r="Z843" s="446">
        <f>4274+26500</f>
        <v>30774</v>
      </c>
      <c r="AA843" s="446">
        <f>4274+26500</f>
        <v>30774</v>
      </c>
      <c r="AB843" s="446">
        <f>-4274+26500</f>
        <v>22226</v>
      </c>
      <c r="AC843" s="448">
        <v>26500</v>
      </c>
      <c r="AD843" s="448">
        <v>26500</v>
      </c>
      <c r="AE843" s="508">
        <v>26500</v>
      </c>
      <c r="AF843" s="508">
        <v>26500</v>
      </c>
      <c r="AG843" s="508">
        <v>26500</v>
      </c>
      <c r="AH843" s="508">
        <v>26500</v>
      </c>
      <c r="AI843" s="508">
        <v>26500</v>
      </c>
    </row>
    <row r="844" spans="1:35">
      <c r="A844" s="147"/>
      <c r="F844" s="160"/>
      <c r="G844" s="6"/>
      <c r="H844" s="6"/>
      <c r="I844" s="6"/>
      <c r="J844" s="74"/>
      <c r="K844" s="10"/>
      <c r="L844" s="10"/>
      <c r="M844" s="88"/>
      <c r="N844" s="88"/>
      <c r="O844" s="88"/>
      <c r="P844" s="88"/>
      <c r="Q844" s="88"/>
      <c r="R844" s="88"/>
      <c r="S844" s="88"/>
      <c r="T844" s="88"/>
      <c r="U844" s="88"/>
      <c r="V844" s="88"/>
      <c r="W844" s="88"/>
      <c r="X844" s="88"/>
      <c r="Y844" s="410"/>
      <c r="Z844" s="438"/>
      <c r="AA844" s="438"/>
      <c r="AB844" s="438"/>
    </row>
    <row r="845" spans="1:35">
      <c r="A845" s="147"/>
      <c r="C845" s="60"/>
      <c r="D845" s="60"/>
      <c r="E845" s="60" t="s">
        <v>2504</v>
      </c>
      <c r="F845" s="191"/>
      <c r="G845" s="214">
        <v>48800</v>
      </c>
      <c r="H845" s="214">
        <v>54000</v>
      </c>
      <c r="I845" s="214" t="s">
        <v>584</v>
      </c>
      <c r="J845" s="74"/>
      <c r="K845" s="10"/>
      <c r="L845" s="10"/>
      <c r="M845" s="88"/>
      <c r="N845" s="88"/>
      <c r="O845" s="88"/>
      <c r="P845" s="88"/>
      <c r="Q845" s="88"/>
      <c r="R845" s="88"/>
      <c r="S845" s="88"/>
      <c r="T845" s="88"/>
      <c r="U845" s="88"/>
      <c r="V845" s="88"/>
      <c r="W845" s="88"/>
      <c r="X845" s="88"/>
      <c r="Y845" s="410"/>
      <c r="Z845" s="438"/>
      <c r="AA845" s="438"/>
      <c r="AB845" s="438"/>
    </row>
    <row r="846" spans="1:35">
      <c r="A846" s="148" t="s">
        <v>1</v>
      </c>
      <c r="B846" s="377" t="s">
        <v>529</v>
      </c>
      <c r="C846" s="27" t="s">
        <v>2</v>
      </c>
      <c r="D846" s="27" t="s">
        <v>2532</v>
      </c>
      <c r="E846" s="27" t="s">
        <v>2433</v>
      </c>
      <c r="F846" s="165"/>
      <c r="G846" s="22"/>
      <c r="H846" s="22"/>
      <c r="I846" s="22" t="s">
        <v>3</v>
      </c>
      <c r="J846" s="90"/>
      <c r="K846" s="91"/>
      <c r="L846" s="91"/>
      <c r="M846" s="92"/>
      <c r="N846" s="92"/>
      <c r="O846" s="92"/>
      <c r="P846" s="92"/>
      <c r="Q846" s="92"/>
      <c r="R846" s="92"/>
      <c r="S846" s="92"/>
      <c r="T846" s="92"/>
      <c r="U846" s="92"/>
      <c r="V846" s="92"/>
      <c r="W846" s="92"/>
      <c r="X846" s="92"/>
      <c r="Y846" s="411"/>
      <c r="Z846" s="439"/>
      <c r="AA846" s="439"/>
      <c r="AB846" s="439"/>
    </row>
    <row r="847" spans="1:35" hidden="1">
      <c r="A847" s="148">
        <v>44971</v>
      </c>
      <c r="B847" s="377">
        <v>45724</v>
      </c>
      <c r="C847" s="27">
        <v>230301</v>
      </c>
      <c r="D847" s="20" t="str">
        <f t="shared" si="392"/>
        <v>コーリツ 亀崎</v>
      </c>
      <c r="E847" s="20" t="str">
        <f t="shared" si="393"/>
        <v>DOAN MINH HAI</v>
      </c>
      <c r="F847" s="20" t="str">
        <f t="shared" si="394"/>
        <v>ドアン　ミン　ハイ</v>
      </c>
      <c r="G847" s="11"/>
      <c r="H847" s="11"/>
      <c r="I847" s="11">
        <v>27000</v>
      </c>
      <c r="J847" s="65"/>
      <c r="K847" s="11">
        <v>27000</v>
      </c>
      <c r="L847" s="11">
        <v>27000</v>
      </c>
      <c r="M847" s="81">
        <v>27000</v>
      </c>
      <c r="N847" s="81">
        <v>27000</v>
      </c>
      <c r="O847" s="130">
        <v>27000</v>
      </c>
      <c r="P847" s="130">
        <v>27000</v>
      </c>
      <c r="Q847" s="130">
        <v>27000</v>
      </c>
      <c r="R847" s="130">
        <v>27000</v>
      </c>
      <c r="S847" s="130">
        <v>27000</v>
      </c>
      <c r="T847" s="130">
        <v>27000</v>
      </c>
      <c r="U847" s="130">
        <v>27000</v>
      </c>
      <c r="V847" s="130">
        <v>27000</v>
      </c>
      <c r="W847" s="130">
        <v>27000</v>
      </c>
      <c r="X847" s="130">
        <v>27000</v>
      </c>
      <c r="Y847" s="408">
        <f>27000+20000</f>
        <v>47000</v>
      </c>
      <c r="Z847" s="437">
        <v>0</v>
      </c>
      <c r="AA847" s="437">
        <v>0</v>
      </c>
      <c r="AB847" s="437">
        <v>0</v>
      </c>
    </row>
    <row r="848" spans="1:35" ht="21.75" customHeight="1">
      <c r="A848" s="145">
        <v>44472</v>
      </c>
      <c r="B848" s="376"/>
      <c r="C848" s="27">
        <v>210608</v>
      </c>
      <c r="D848" s="20" t="str">
        <f t="shared" ref="D848:D849" si="413">IF(C848="","",_xlfn.XLOOKUP(C848,社員№,派遣先,"",0,-1))</f>
        <v>コーリツ 亀崎</v>
      </c>
      <c r="E848" s="20" t="str">
        <f t="shared" ref="E848:E849" si="414">IF(C848="","",_xlfn.XLOOKUP(C848,社員№,氏名,"",0,-1))</f>
        <v>NGUYEN VAN HONG</v>
      </c>
      <c r="F848" s="20" t="str">
        <f t="shared" ref="F848:F849" si="415">IF(C848="","",_xlfn.XLOOKUP(C848,社員№,カナ,"",0,-1))</f>
        <v>グエン　バン　ホン</v>
      </c>
      <c r="G848" s="11"/>
      <c r="H848" s="11"/>
      <c r="I848" s="11">
        <v>27000</v>
      </c>
      <c r="J848" s="65"/>
      <c r="K848" s="11">
        <v>27000</v>
      </c>
      <c r="L848" s="11">
        <v>27000</v>
      </c>
      <c r="M848" s="81">
        <v>27000</v>
      </c>
      <c r="N848" s="81">
        <v>27000</v>
      </c>
      <c r="O848" s="81">
        <v>27000</v>
      </c>
      <c r="P848" s="81">
        <v>27000</v>
      </c>
      <c r="Q848" s="81">
        <v>27000</v>
      </c>
      <c r="R848" s="81">
        <v>27000</v>
      </c>
      <c r="S848" s="81">
        <v>27000</v>
      </c>
      <c r="T848" s="81">
        <v>27000</v>
      </c>
      <c r="U848" s="81">
        <v>27000</v>
      </c>
      <c r="V848" s="81">
        <v>27000</v>
      </c>
      <c r="W848" s="81">
        <v>27000</v>
      </c>
      <c r="X848" s="81">
        <v>27000</v>
      </c>
      <c r="Y848" s="413">
        <v>27000</v>
      </c>
      <c r="Z848" s="441">
        <v>27000</v>
      </c>
      <c r="AA848" s="441">
        <v>27000</v>
      </c>
      <c r="AB848" s="441">
        <v>27000</v>
      </c>
      <c r="AC848" s="441">
        <v>27000</v>
      </c>
      <c r="AD848" s="441">
        <v>27000</v>
      </c>
      <c r="AE848" s="437">
        <v>27000</v>
      </c>
      <c r="AF848" s="437">
        <v>27000</v>
      </c>
      <c r="AG848" s="437">
        <v>27000</v>
      </c>
      <c r="AH848" s="437">
        <v>27000</v>
      </c>
      <c r="AI848" s="448">
        <v>27000</v>
      </c>
    </row>
    <row r="849" spans="1:35" ht="21.75" customHeight="1">
      <c r="A849" s="145">
        <v>45781</v>
      </c>
      <c r="B849" s="376">
        <v>46012</v>
      </c>
      <c r="C849" s="27">
        <v>250505</v>
      </c>
      <c r="D849" s="20" t="str">
        <f t="shared" si="413"/>
        <v>コーリツ 亀崎</v>
      </c>
      <c r="E849" s="20" t="str">
        <f t="shared" si="414"/>
        <v>NGUYEN BA TIEN</v>
      </c>
      <c r="F849" s="20" t="str">
        <f t="shared" si="415"/>
        <v>グエン　バー　ティエン</v>
      </c>
      <c r="G849" s="11"/>
      <c r="H849" s="11"/>
      <c r="I849" s="11"/>
      <c r="J849" s="65"/>
      <c r="O849" s="81"/>
      <c r="P849" s="81"/>
      <c r="Q849" s="81"/>
      <c r="R849" s="81"/>
      <c r="S849" s="81"/>
      <c r="T849" s="81"/>
      <c r="U849" s="81"/>
      <c r="V849" s="81"/>
      <c r="W849" s="81"/>
      <c r="X849" s="81"/>
      <c r="Y849" s="413"/>
      <c r="Z849" s="441"/>
      <c r="AA849" s="441">
        <v>24387</v>
      </c>
      <c r="AB849" s="441">
        <v>27000</v>
      </c>
      <c r="AC849" s="441">
        <v>27000</v>
      </c>
      <c r="AD849" s="441">
        <v>27000</v>
      </c>
      <c r="AE849" s="437">
        <v>27000</v>
      </c>
      <c r="AF849" s="437">
        <v>27000</v>
      </c>
      <c r="AG849" s="437">
        <v>27000</v>
      </c>
      <c r="AH849" s="508">
        <v>27000</v>
      </c>
      <c r="AI849" s="448">
        <v>0</v>
      </c>
    </row>
    <row r="850" spans="1:35" ht="21.75" customHeight="1">
      <c r="F850" s="160"/>
      <c r="G850" s="10"/>
      <c r="H850" s="10"/>
      <c r="I850" s="10"/>
      <c r="J850" s="74"/>
      <c r="K850" s="10"/>
      <c r="L850" s="10"/>
      <c r="M850" s="88"/>
      <c r="N850" s="88"/>
      <c r="O850" s="88"/>
      <c r="P850" s="88"/>
      <c r="Q850" s="88"/>
      <c r="R850" s="88"/>
      <c r="S850" s="88"/>
      <c r="T850" s="88"/>
      <c r="U850" s="88"/>
      <c r="V850" s="88"/>
      <c r="W850" s="88"/>
      <c r="X850" s="88"/>
      <c r="Y850" s="410"/>
      <c r="Z850" s="438"/>
      <c r="AA850" s="438"/>
      <c r="AB850" s="438"/>
    </row>
    <row r="851" spans="1:35" ht="21.75" customHeight="1">
      <c r="A851" s="147"/>
      <c r="C851" s="60"/>
      <c r="D851" s="60"/>
      <c r="E851" s="60" t="s">
        <v>1050</v>
      </c>
      <c r="F851" s="191"/>
      <c r="G851" s="214">
        <v>55720</v>
      </c>
      <c r="H851" s="214">
        <v>60000</v>
      </c>
      <c r="I851" s="214" t="s">
        <v>574</v>
      </c>
      <c r="J851" s="74"/>
      <c r="K851" s="10"/>
      <c r="L851" s="10"/>
      <c r="M851" s="88"/>
      <c r="N851" s="88"/>
      <c r="O851" s="88"/>
      <c r="P851" s="88"/>
      <c r="Q851" s="88"/>
      <c r="R851" s="88"/>
      <c r="S851" s="88"/>
      <c r="T851" s="88"/>
      <c r="U851" s="88"/>
      <c r="V851" s="88"/>
      <c r="W851" s="88"/>
      <c r="X851" s="88"/>
      <c r="Y851" s="410"/>
      <c r="Z851" s="438"/>
      <c r="AA851" s="438"/>
      <c r="AB851" s="438"/>
    </row>
    <row r="852" spans="1:35" ht="21.75" customHeight="1">
      <c r="A852" s="151" t="s">
        <v>1</v>
      </c>
      <c r="B852" s="379" t="s">
        <v>529</v>
      </c>
      <c r="C852" s="43" t="s">
        <v>2</v>
      </c>
      <c r="D852" s="43" t="s">
        <v>2532</v>
      </c>
      <c r="E852" s="43" t="s">
        <v>2433</v>
      </c>
      <c r="F852" s="186"/>
      <c r="G852" s="111"/>
      <c r="H852" s="111"/>
      <c r="I852" s="111" t="s">
        <v>3</v>
      </c>
      <c r="J852" s="74"/>
      <c r="K852" s="10"/>
      <c r="L852" s="10"/>
      <c r="M852" s="88"/>
      <c r="N852" s="88"/>
      <c r="O852" s="88"/>
      <c r="P852" s="88"/>
      <c r="Q852" s="88"/>
      <c r="R852" s="88"/>
      <c r="S852" s="88"/>
      <c r="T852" s="88"/>
      <c r="U852" s="88"/>
      <c r="V852" s="88"/>
      <c r="W852" s="88"/>
      <c r="X852" s="88"/>
      <c r="Y852" s="410"/>
      <c r="Z852" s="438"/>
      <c r="AA852" s="438"/>
      <c r="AB852" s="438"/>
    </row>
    <row r="853" spans="1:35" ht="21.75" customHeight="1">
      <c r="A853" s="145">
        <v>45779</v>
      </c>
      <c r="B853" s="376">
        <v>45900</v>
      </c>
      <c r="C853" s="27">
        <v>250502</v>
      </c>
      <c r="D853" s="20" t="str">
        <f t="shared" si="392"/>
        <v>コーリツ 乙川</v>
      </c>
      <c r="E853" s="20" t="str">
        <f t="shared" si="393"/>
        <v>NGUYEN QUANG HUY</v>
      </c>
      <c r="F853" s="20" t="str">
        <f t="shared" si="394"/>
        <v>グエン　クアン　フィ</v>
      </c>
      <c r="G853" s="11"/>
      <c r="H853" s="11"/>
      <c r="I853" s="11">
        <v>30000</v>
      </c>
      <c r="J853" s="65"/>
      <c r="O853" s="81"/>
      <c r="P853" s="81"/>
      <c r="Q853" s="81"/>
      <c r="R853" s="81"/>
      <c r="S853" s="81"/>
      <c r="T853" s="81"/>
      <c r="U853" s="81"/>
      <c r="V853" s="81"/>
      <c r="W853" s="81"/>
      <c r="X853" s="81"/>
      <c r="Y853" s="413"/>
      <c r="Z853" s="441"/>
      <c r="AA853" s="441">
        <v>26129</v>
      </c>
      <c r="AB853" s="441">
        <v>30000</v>
      </c>
      <c r="AC853" s="441">
        <v>30000</v>
      </c>
      <c r="AD853" s="441">
        <v>30000</v>
      </c>
      <c r="AE853" s="437">
        <v>0</v>
      </c>
      <c r="AF853" s="437">
        <v>0</v>
      </c>
    </row>
    <row r="854" spans="1:35" ht="21.75" customHeight="1">
      <c r="A854" s="145">
        <v>45779</v>
      </c>
      <c r="B854" s="376"/>
      <c r="C854" s="27">
        <v>250503</v>
      </c>
      <c r="D854" s="20" t="str">
        <f t="shared" ref="D854" si="416">IF(C854="","",_xlfn.XLOOKUP(C854,社員№,派遣先,"",0,-1))</f>
        <v>コーリツ 本社</v>
      </c>
      <c r="E854" s="20" t="str">
        <f t="shared" ref="E854" si="417">IF(C854="","",_xlfn.XLOOKUP(C854,社員№,氏名,"",0,-1))</f>
        <v>HOANG VAN QUYEN</v>
      </c>
      <c r="F854" s="20" t="str">
        <f t="shared" ref="F854" si="418">IF(C854="","",_xlfn.XLOOKUP(C854,社員№,カナ,"",0,-1))</f>
        <v>ホアン　バン　クエン</v>
      </c>
      <c r="G854" s="11"/>
      <c r="H854" s="11"/>
      <c r="I854" s="11">
        <v>30000</v>
      </c>
      <c r="J854" s="65"/>
      <c r="O854" s="81"/>
      <c r="P854" s="81"/>
      <c r="Q854" s="81"/>
      <c r="R854" s="81"/>
      <c r="S854" s="81"/>
      <c r="T854" s="81"/>
      <c r="U854" s="81"/>
      <c r="V854" s="81"/>
      <c r="W854" s="81"/>
      <c r="X854" s="81"/>
      <c r="Y854" s="413"/>
      <c r="Z854" s="441"/>
      <c r="AA854" s="441">
        <v>26129</v>
      </c>
      <c r="AB854" s="441">
        <v>30000</v>
      </c>
      <c r="AC854" s="441">
        <v>30000</v>
      </c>
      <c r="AD854" s="441">
        <v>30000</v>
      </c>
      <c r="AE854" s="437">
        <v>30000</v>
      </c>
      <c r="AF854" s="437">
        <v>30000</v>
      </c>
      <c r="AG854" s="437">
        <v>30000</v>
      </c>
      <c r="AH854" s="437">
        <v>30000</v>
      </c>
      <c r="AI854" s="437">
        <v>30000</v>
      </c>
    </row>
    <row r="855" spans="1:35" ht="21.75" customHeight="1">
      <c r="A855" s="147"/>
      <c r="F855" s="160"/>
      <c r="G855" s="10"/>
      <c r="H855" s="10"/>
      <c r="I855" s="10"/>
      <c r="J855" s="74"/>
      <c r="K855" s="10"/>
      <c r="L855" s="10"/>
      <c r="M855" s="88"/>
      <c r="N855" s="88"/>
      <c r="O855" s="88"/>
      <c r="P855" s="88"/>
      <c r="Q855" s="88"/>
      <c r="R855" s="88"/>
      <c r="S855" s="88"/>
      <c r="T855" s="88"/>
      <c r="U855" s="88"/>
      <c r="V855" s="88"/>
      <c r="W855" s="88"/>
      <c r="X855" s="88"/>
      <c r="Y855" s="410"/>
      <c r="Z855" s="438"/>
      <c r="AA855" s="438"/>
      <c r="AB855" s="438"/>
    </row>
    <row r="856" spans="1:35">
      <c r="A856" s="147"/>
      <c r="C856" s="26"/>
      <c r="D856" s="26"/>
      <c r="E856" s="26" t="s">
        <v>2505</v>
      </c>
      <c r="F856" s="178"/>
      <c r="G856" s="221">
        <v>51000</v>
      </c>
      <c r="H856" s="221">
        <v>56000</v>
      </c>
      <c r="I856" s="221" t="s">
        <v>597</v>
      </c>
      <c r="J856" s="90"/>
      <c r="K856" s="91"/>
      <c r="L856" s="91"/>
      <c r="M856" s="92"/>
      <c r="N856" s="92"/>
      <c r="O856" s="92"/>
      <c r="P856" s="92"/>
      <c r="Q856" s="92"/>
      <c r="R856" s="92"/>
      <c r="S856" s="92"/>
      <c r="T856" s="92"/>
      <c r="U856" s="92"/>
      <c r="V856" s="92"/>
      <c r="W856" s="92"/>
      <c r="X856" s="92"/>
      <c r="Y856" s="411"/>
      <c r="Z856" s="439"/>
      <c r="AA856" s="439"/>
      <c r="AB856" s="439"/>
    </row>
    <row r="857" spans="1:35">
      <c r="A857" s="148" t="s">
        <v>1</v>
      </c>
      <c r="B857" s="377" t="s">
        <v>529</v>
      </c>
      <c r="C857" s="27" t="s">
        <v>2</v>
      </c>
      <c r="D857" s="27" t="s">
        <v>2532</v>
      </c>
      <c r="E857" s="27" t="s">
        <v>2433</v>
      </c>
      <c r="F857" s="165"/>
      <c r="G857" s="11"/>
      <c r="H857" s="11"/>
      <c r="I857" s="11" t="s">
        <v>596</v>
      </c>
      <c r="J857" s="65" t="s">
        <v>143</v>
      </c>
    </row>
    <row r="858" spans="1:35">
      <c r="A858" s="145">
        <v>44955</v>
      </c>
      <c r="B858" s="376"/>
      <c r="C858" s="27">
        <v>220321</v>
      </c>
      <c r="D858" s="20" t="str">
        <f t="shared" si="392"/>
        <v>コーリツ 亀崎</v>
      </c>
      <c r="E858" s="20" t="str">
        <f t="shared" si="393"/>
        <v>VU DUC THINH</v>
      </c>
      <c r="F858" s="20" t="str">
        <f t="shared" si="394"/>
        <v>ヴー　ドゥック　ティン</v>
      </c>
      <c r="G858" s="11"/>
      <c r="H858" s="11"/>
      <c r="I858" s="11">
        <v>18700</v>
      </c>
      <c r="J858" s="65">
        <v>28000</v>
      </c>
      <c r="K858" s="11">
        <v>18700</v>
      </c>
      <c r="L858" s="11">
        <v>18700</v>
      </c>
      <c r="M858" s="81">
        <v>18700</v>
      </c>
      <c r="N858" s="81">
        <v>18700</v>
      </c>
      <c r="O858" s="130">
        <v>18700</v>
      </c>
      <c r="P858" s="130">
        <v>18700</v>
      </c>
      <c r="Q858" s="130">
        <f>28000+9300</f>
        <v>37300</v>
      </c>
      <c r="R858" s="130">
        <v>28000</v>
      </c>
      <c r="S858" s="130">
        <v>28000</v>
      </c>
      <c r="T858" s="130">
        <v>28000</v>
      </c>
      <c r="U858" s="130">
        <v>28000</v>
      </c>
      <c r="V858" s="130">
        <v>28000</v>
      </c>
      <c r="W858" s="130">
        <v>28000</v>
      </c>
      <c r="X858" s="130">
        <v>28000</v>
      </c>
      <c r="Y858" s="408">
        <v>28000</v>
      </c>
      <c r="Z858" s="437">
        <v>28000</v>
      </c>
      <c r="AA858" s="437">
        <f t="shared" ref="AA858:AA859" si="419">2710+16890</f>
        <v>19600</v>
      </c>
      <c r="AB858" s="437">
        <v>18700</v>
      </c>
      <c r="AC858" s="437">
        <v>18700</v>
      </c>
      <c r="AD858" s="437">
        <v>18700</v>
      </c>
      <c r="AE858" s="437">
        <v>18700</v>
      </c>
      <c r="AF858" s="437">
        <v>18700</v>
      </c>
      <c r="AG858" s="437">
        <v>18700</v>
      </c>
      <c r="AH858" s="437">
        <v>18700</v>
      </c>
      <c r="AI858" s="437">
        <v>18700</v>
      </c>
    </row>
    <row r="859" spans="1:35">
      <c r="A859" s="145">
        <v>45243</v>
      </c>
      <c r="B859" s="376"/>
      <c r="C859" s="27">
        <v>231113</v>
      </c>
      <c r="D859" s="20" t="str">
        <f t="shared" ref="D859:D860" si="420">IF(C859="","",_xlfn.XLOOKUP(C859,社員№,派遣先,"",0,-1))</f>
        <v>コーリツ 州の崎</v>
      </c>
      <c r="E859" s="20" t="str">
        <f t="shared" ref="E859:E860" si="421">IF(C859="","",_xlfn.XLOOKUP(C859,社員№,氏名,"",0,-1))</f>
        <v>BUI NGOC SY</v>
      </c>
      <c r="F859" s="20" t="str">
        <f t="shared" ref="F859:F860" si="422">IF(C859="","",_xlfn.XLOOKUP(C859,社員№,カナ,"",0,-1))</f>
        <v>ブイ　ゴック　シー</v>
      </c>
      <c r="G859" s="11"/>
      <c r="H859" s="11"/>
      <c r="I859" s="11">
        <v>18700</v>
      </c>
      <c r="J859" s="65">
        <v>28000</v>
      </c>
      <c r="K859" s="11">
        <v>18700</v>
      </c>
      <c r="L859" s="11">
        <v>18700</v>
      </c>
      <c r="M859" s="81">
        <v>18700</v>
      </c>
      <c r="N859" s="81">
        <v>18700</v>
      </c>
      <c r="O859" s="81">
        <v>18700</v>
      </c>
      <c r="P859" s="81">
        <v>18700</v>
      </c>
      <c r="Q859" s="81">
        <f>28000+9300</f>
        <v>37300</v>
      </c>
      <c r="R859" s="81">
        <v>28000</v>
      </c>
      <c r="S859" s="81">
        <v>28000</v>
      </c>
      <c r="T859" s="81">
        <v>28000</v>
      </c>
      <c r="U859" s="81">
        <v>28000</v>
      </c>
      <c r="V859" s="81">
        <v>28000</v>
      </c>
      <c r="W859" s="81">
        <v>28000</v>
      </c>
      <c r="X859" s="81">
        <v>28000</v>
      </c>
      <c r="Y859" s="413">
        <v>28000</v>
      </c>
      <c r="Z859" s="441">
        <v>28000</v>
      </c>
      <c r="AA859" s="441">
        <f t="shared" si="419"/>
        <v>19600</v>
      </c>
      <c r="AB859" s="441">
        <v>18700</v>
      </c>
      <c r="AC859" s="437">
        <v>18700</v>
      </c>
      <c r="AD859" s="437">
        <v>18700</v>
      </c>
      <c r="AE859" s="437">
        <v>18700</v>
      </c>
      <c r="AF859" s="437">
        <v>18700</v>
      </c>
      <c r="AG859" s="437">
        <v>18700</v>
      </c>
      <c r="AH859" s="437">
        <v>18700</v>
      </c>
      <c r="AI859" s="437">
        <v>18700</v>
      </c>
    </row>
    <row r="860" spans="1:35">
      <c r="A860" s="145">
        <v>45781</v>
      </c>
      <c r="B860" s="376">
        <v>46017</v>
      </c>
      <c r="C860" s="27">
        <v>250504</v>
      </c>
      <c r="D860" s="20" t="str">
        <f t="shared" si="420"/>
        <v>コーリツ 亀崎</v>
      </c>
      <c r="E860" s="20" t="str">
        <f t="shared" si="421"/>
        <v>LE TRUNG DUNG</v>
      </c>
      <c r="F860" s="20" t="str">
        <f t="shared" si="422"/>
        <v>レ　チュン　ズン</v>
      </c>
      <c r="G860" s="11"/>
      <c r="H860" s="11"/>
      <c r="I860" s="11"/>
      <c r="J860" s="65"/>
      <c r="O860" s="81"/>
      <c r="P860" s="81"/>
      <c r="Q860" s="81"/>
      <c r="R860" s="81"/>
      <c r="S860" s="81"/>
      <c r="T860" s="81"/>
      <c r="U860" s="81"/>
      <c r="V860" s="81"/>
      <c r="W860" s="81"/>
      <c r="X860" s="81"/>
      <c r="Y860" s="413"/>
      <c r="Z860" s="441"/>
      <c r="AA860" s="441">
        <v>16890</v>
      </c>
      <c r="AB860" s="441">
        <v>18700</v>
      </c>
      <c r="AC860" s="437">
        <v>18700</v>
      </c>
      <c r="AD860" s="437">
        <v>18700</v>
      </c>
      <c r="AE860" s="437">
        <v>18700</v>
      </c>
      <c r="AF860" s="437">
        <v>18700</v>
      </c>
      <c r="AG860" s="437">
        <v>18700</v>
      </c>
      <c r="AH860" s="437">
        <v>18700</v>
      </c>
      <c r="AI860" s="448">
        <v>20000</v>
      </c>
    </row>
    <row r="861" spans="1:35">
      <c r="F861" s="160"/>
      <c r="G861" s="6"/>
      <c r="H861" s="6"/>
      <c r="I861" s="6"/>
      <c r="J861" s="74"/>
      <c r="K861" s="10"/>
      <c r="L861" s="10"/>
      <c r="M861" s="88"/>
      <c r="N861" s="88"/>
      <c r="O861" s="88"/>
      <c r="P861" s="88"/>
      <c r="Q861" s="88"/>
      <c r="R861" s="88"/>
      <c r="S861" s="88"/>
      <c r="T861" s="88"/>
      <c r="U861" s="88"/>
      <c r="V861" s="88"/>
      <c r="W861" s="88"/>
      <c r="X861" s="88"/>
      <c r="Y861" s="410"/>
      <c r="Z861" s="438"/>
      <c r="AA861" s="438"/>
      <c r="AB861" s="438"/>
    </row>
    <row r="862" spans="1:35">
      <c r="B862" s="513" t="s">
        <v>2581</v>
      </c>
      <c r="C862" s="29"/>
      <c r="D862" s="29"/>
      <c r="E862" s="29" t="s">
        <v>238</v>
      </c>
      <c r="F862" s="176"/>
      <c r="G862" s="214">
        <v>53795</v>
      </c>
      <c r="H862" s="214">
        <v>60000</v>
      </c>
      <c r="I862" s="214" t="s">
        <v>25</v>
      </c>
      <c r="J862" s="90" t="s">
        <v>1002</v>
      </c>
      <c r="K862" s="91"/>
      <c r="L862" s="91"/>
      <c r="M862" s="92"/>
      <c r="N862" s="92"/>
      <c r="O862" s="92"/>
      <c r="P862" s="92"/>
      <c r="Q862" s="92"/>
      <c r="R862" s="92"/>
      <c r="S862" s="92"/>
      <c r="T862" s="92"/>
      <c r="U862" s="92"/>
      <c r="V862" s="92"/>
      <c r="W862" s="92"/>
      <c r="X862" s="92"/>
      <c r="Y862" s="411"/>
      <c r="Z862" s="482" t="s">
        <v>2545</v>
      </c>
      <c r="AA862" s="439"/>
      <c r="AB862" s="439" t="s">
        <v>2580</v>
      </c>
    </row>
    <row r="863" spans="1:35">
      <c r="A863" s="145" t="s">
        <v>1</v>
      </c>
      <c r="B863" s="376" t="s">
        <v>529</v>
      </c>
      <c r="C863" s="27" t="s">
        <v>2</v>
      </c>
      <c r="D863" s="27" t="s">
        <v>2532</v>
      </c>
      <c r="E863" s="27" t="s">
        <v>2433</v>
      </c>
      <c r="F863" s="165"/>
      <c r="G863" s="12"/>
      <c r="H863" s="12"/>
      <c r="I863" s="12" t="s">
        <v>3</v>
      </c>
      <c r="J863" s="67"/>
      <c r="Z863" s="458" t="s">
        <v>1039</v>
      </c>
      <c r="AA863" s="458"/>
      <c r="AB863" s="458"/>
    </row>
    <row r="864" spans="1:35">
      <c r="A864" s="145">
        <v>45073</v>
      </c>
      <c r="B864" s="376">
        <v>45816</v>
      </c>
      <c r="C864" s="27">
        <v>230302</v>
      </c>
      <c r="D864" s="20" t="str">
        <f t="shared" si="392"/>
        <v>コーリツ 乙川</v>
      </c>
      <c r="E864" s="20" t="str">
        <f t="shared" si="393"/>
        <v>PHAM TUAN ANH</v>
      </c>
      <c r="F864" s="20" t="str">
        <f t="shared" si="394"/>
        <v>ファム　トゥアン　アン</v>
      </c>
      <c r="G864" s="12"/>
      <c r="H864" s="12"/>
      <c r="I864" s="12">
        <v>20000</v>
      </c>
      <c r="J864" s="67"/>
      <c r="K864" s="11">
        <v>20000</v>
      </c>
      <c r="L864" s="11">
        <v>20000</v>
      </c>
      <c r="M864" s="81">
        <v>20000</v>
      </c>
      <c r="N864" s="81">
        <v>20000</v>
      </c>
      <c r="O864" s="130">
        <v>20000</v>
      </c>
      <c r="P864" s="130">
        <v>20000</v>
      </c>
      <c r="Q864" s="130">
        <v>20000</v>
      </c>
      <c r="R864" s="130">
        <v>20000</v>
      </c>
      <c r="S864" s="130">
        <v>20000</v>
      </c>
      <c r="T864" s="130">
        <v>20000</v>
      </c>
      <c r="U864" s="130">
        <v>20000</v>
      </c>
      <c r="V864" s="130">
        <v>20000</v>
      </c>
      <c r="W864" s="130">
        <v>20000</v>
      </c>
      <c r="X864" s="130">
        <v>20000</v>
      </c>
      <c r="Y864" s="408">
        <v>20000</v>
      </c>
      <c r="Z864" s="437">
        <v>30000</v>
      </c>
      <c r="AA864" s="437">
        <f>14516+5806+6774</f>
        <v>27096</v>
      </c>
      <c r="AB864" s="437">
        <f>30000+20000</f>
        <v>50000</v>
      </c>
      <c r="AC864" s="464">
        <v>0</v>
      </c>
    </row>
    <row r="865" spans="1:35">
      <c r="A865" s="145">
        <v>45625</v>
      </c>
      <c r="B865" s="376">
        <v>45816</v>
      </c>
      <c r="C865" s="27">
        <v>231011</v>
      </c>
      <c r="D865" s="20" t="str">
        <f t="shared" ref="D865:D866" si="423">IF(C865="","",_xlfn.XLOOKUP(C865,社員№,派遣先,"",0,-1))</f>
        <v>コーリツ 州の崎</v>
      </c>
      <c r="E865" s="20" t="str">
        <f t="shared" ref="E865:E866" si="424">IF(C865="","",_xlfn.XLOOKUP(C865,社員№,氏名,"",0,-1))</f>
        <v>PHAM VAN DONG</v>
      </c>
      <c r="F865" s="20" t="str">
        <f t="shared" ref="F865:F866" si="425">IF(C865="","",_xlfn.XLOOKUP(C865,社員№,カナ,"",0,-1))</f>
        <v>ファム　バン　ドン</v>
      </c>
      <c r="G865" s="12"/>
      <c r="H865" s="12"/>
      <c r="I865" s="12">
        <v>20000</v>
      </c>
      <c r="J865" s="65"/>
      <c r="O865" s="81"/>
      <c r="P865" s="81"/>
      <c r="Q865" s="81"/>
      <c r="R865" s="81"/>
      <c r="S865" s="81"/>
      <c r="T865" s="81"/>
      <c r="U865" s="81">
        <f>18367+1900</f>
        <v>20267</v>
      </c>
      <c r="V865" s="81">
        <v>20000</v>
      </c>
      <c r="W865" s="81">
        <v>20000</v>
      </c>
      <c r="X865" s="81">
        <v>20000</v>
      </c>
      <c r="Y865" s="413">
        <v>20000</v>
      </c>
      <c r="Z865" s="441">
        <v>30000</v>
      </c>
      <c r="AA865" s="437">
        <f>14516+5806+6774</f>
        <v>27096</v>
      </c>
      <c r="AB865" s="437">
        <f t="shared" ref="AB865" si="426">30000+20000</f>
        <v>50000</v>
      </c>
      <c r="AC865" s="464">
        <v>0</v>
      </c>
    </row>
    <row r="866" spans="1:35">
      <c r="A866" s="145">
        <v>45793</v>
      </c>
      <c r="B866" s="376">
        <v>45801</v>
      </c>
      <c r="C866" s="27">
        <v>220802</v>
      </c>
      <c r="D866" s="20" t="str">
        <f t="shared" si="423"/>
        <v>コーリツ 州の崎</v>
      </c>
      <c r="E866" s="20" t="str">
        <f t="shared" si="424"/>
        <v>NGUYEN DUY THANG</v>
      </c>
      <c r="F866" s="20" t="str">
        <f t="shared" si="425"/>
        <v>グエン　ズイ　タン</v>
      </c>
      <c r="G866" s="203"/>
      <c r="H866" s="12"/>
      <c r="I866" s="12" t="s">
        <v>965</v>
      </c>
      <c r="J866" s="65"/>
      <c r="O866" s="81"/>
      <c r="P866" s="81"/>
      <c r="Q866" s="81"/>
      <c r="R866" s="81"/>
      <c r="S866" s="81"/>
      <c r="T866" s="81"/>
      <c r="U866" s="81"/>
      <c r="V866" s="81"/>
      <c r="W866" s="81"/>
      <c r="X866" s="81"/>
      <c r="Y866" s="413"/>
      <c r="Z866" s="441"/>
      <c r="AA866" s="441">
        <v>0</v>
      </c>
      <c r="AB866" s="437">
        <v>0</v>
      </c>
      <c r="AC866" s="464">
        <v>0</v>
      </c>
    </row>
    <row r="867" spans="1:35">
      <c r="F867" s="160"/>
      <c r="G867" s="10"/>
      <c r="H867" s="6"/>
      <c r="I867" s="6"/>
      <c r="J867" s="74"/>
      <c r="K867" s="10"/>
      <c r="L867" s="10"/>
      <c r="M867" s="88"/>
      <c r="N867" s="88"/>
      <c r="O867" s="88"/>
      <c r="P867" s="88"/>
      <c r="Q867" s="88"/>
      <c r="R867" s="88"/>
      <c r="S867" s="88"/>
      <c r="T867" s="88"/>
      <c r="U867" s="88"/>
      <c r="V867" s="88"/>
      <c r="W867" s="88"/>
      <c r="X867" s="88"/>
      <c r="Y867" s="410"/>
      <c r="Z867" s="438"/>
      <c r="AA867" s="438"/>
      <c r="AB867" s="438"/>
    </row>
    <row r="868" spans="1:35">
      <c r="C868" s="29"/>
      <c r="D868" s="29"/>
      <c r="E868" s="29" t="s">
        <v>243</v>
      </c>
      <c r="F868" s="176"/>
      <c r="G868" s="214">
        <v>53795</v>
      </c>
      <c r="H868" s="214">
        <v>60000</v>
      </c>
      <c r="I868" s="214" t="s">
        <v>25</v>
      </c>
      <c r="J868" s="90"/>
      <c r="K868" s="91"/>
      <c r="L868" s="91"/>
      <c r="M868" s="92"/>
      <c r="N868" s="92"/>
      <c r="O868" s="92"/>
      <c r="P868" s="92"/>
      <c r="Q868" s="92"/>
      <c r="R868" s="92"/>
      <c r="S868" s="92"/>
      <c r="T868" s="92"/>
      <c r="U868" s="92"/>
      <c r="V868" s="92"/>
      <c r="W868" s="92"/>
      <c r="X868" s="92"/>
      <c r="Y868" s="411"/>
      <c r="Z868" s="439"/>
      <c r="AA868" s="439"/>
      <c r="AB868" s="439"/>
    </row>
    <row r="869" spans="1:35">
      <c r="A869" s="145" t="s">
        <v>1</v>
      </c>
      <c r="B869" s="376" t="s">
        <v>529</v>
      </c>
      <c r="C869" s="27" t="s">
        <v>2</v>
      </c>
      <c r="D869" s="27" t="s">
        <v>2532</v>
      </c>
      <c r="E869" s="27" t="s">
        <v>2433</v>
      </c>
      <c r="F869" s="165"/>
      <c r="G869" s="12"/>
      <c r="H869" s="12"/>
      <c r="I869" s="12" t="s">
        <v>3</v>
      </c>
      <c r="J869" s="67" t="s">
        <v>154</v>
      </c>
    </row>
    <row r="870" spans="1:35">
      <c r="A870" s="505">
        <v>45187</v>
      </c>
      <c r="B870" s="506">
        <v>45808</v>
      </c>
      <c r="C870" s="507">
        <v>230916</v>
      </c>
      <c r="D870" s="85" t="str">
        <f t="shared" si="392"/>
        <v>コーリツ 州の崎</v>
      </c>
      <c r="E870" s="85" t="str">
        <f t="shared" si="393"/>
        <v>HOANG TRONG NGHIA</v>
      </c>
      <c r="F870" s="85" t="str">
        <f t="shared" si="394"/>
        <v>ホアン　チョン　ギア</v>
      </c>
      <c r="G870" s="121"/>
      <c r="H870" s="121"/>
      <c r="I870" s="121">
        <v>20000</v>
      </c>
      <c r="J870" s="71">
        <v>20000</v>
      </c>
      <c r="K870" s="3">
        <v>20000</v>
      </c>
      <c r="L870" s="3">
        <v>20000</v>
      </c>
      <c r="M870" s="95">
        <v>20000</v>
      </c>
      <c r="N870" s="95">
        <v>20000</v>
      </c>
      <c r="O870" s="136">
        <v>20000</v>
      </c>
      <c r="P870" s="136">
        <v>20000</v>
      </c>
      <c r="Q870" s="136">
        <v>20000</v>
      </c>
      <c r="R870" s="136">
        <v>20000</v>
      </c>
      <c r="S870" s="136">
        <v>20000</v>
      </c>
      <c r="T870" s="136">
        <v>20000</v>
      </c>
      <c r="U870" s="136">
        <v>20000</v>
      </c>
      <c r="V870" s="136">
        <v>0</v>
      </c>
      <c r="W870" s="136">
        <v>0</v>
      </c>
      <c r="X870" s="136">
        <f>20000*3</f>
        <v>60000</v>
      </c>
      <c r="Y870" s="421">
        <v>20000</v>
      </c>
      <c r="Z870" s="451">
        <v>20000</v>
      </c>
      <c r="AA870" s="451">
        <f>20000+20000</f>
        <v>40000</v>
      </c>
      <c r="AB870" s="451">
        <v>0</v>
      </c>
      <c r="AC870" s="477"/>
    </row>
    <row r="871" spans="1:35">
      <c r="A871" s="153">
        <v>45211</v>
      </c>
      <c r="B871" s="380"/>
      <c r="C871" s="17">
        <v>231002</v>
      </c>
      <c r="D871" s="85" t="str">
        <f t="shared" ref="D871:D873" si="427">IF(C871="","",_xlfn.XLOOKUP(C871,社員№,派遣先,"",0,-1))</f>
        <v>コーリツ 州の崎</v>
      </c>
      <c r="E871" s="85" t="str">
        <f t="shared" ref="E871:E873" si="428">IF(C871="","",_xlfn.XLOOKUP(C871,社員№,氏名,"",0,-1))</f>
        <v>DINH TRONG DUONG</v>
      </c>
      <c r="F871" s="85" t="str">
        <f t="shared" ref="F871:F873" si="429">IF(C871="","",_xlfn.XLOOKUP(C871,社員№,カナ,"",0,-1))</f>
        <v>デイン　チオン　ヅオン</v>
      </c>
      <c r="G871" s="15"/>
      <c r="H871" s="15"/>
      <c r="I871" s="15">
        <v>20000</v>
      </c>
      <c r="J871" s="65">
        <v>20000</v>
      </c>
      <c r="K871" s="11">
        <v>20000</v>
      </c>
      <c r="L871" s="11">
        <v>20000</v>
      </c>
      <c r="M871" s="81">
        <v>20000</v>
      </c>
      <c r="N871" s="81">
        <v>20000</v>
      </c>
      <c r="O871" s="81">
        <v>20000</v>
      </c>
      <c r="P871" s="81">
        <v>20000</v>
      </c>
      <c r="Q871" s="81">
        <v>20000</v>
      </c>
      <c r="R871" s="81">
        <v>20000</v>
      </c>
      <c r="S871" s="81">
        <v>20000</v>
      </c>
      <c r="T871" s="81">
        <v>20000</v>
      </c>
      <c r="U871" s="81">
        <v>20000</v>
      </c>
      <c r="V871" s="81">
        <v>20000</v>
      </c>
      <c r="W871" s="81">
        <v>20000</v>
      </c>
      <c r="X871" s="81">
        <v>20000</v>
      </c>
      <c r="Y871" s="413">
        <v>20000</v>
      </c>
      <c r="Z871" s="441">
        <v>20000</v>
      </c>
      <c r="AA871" s="441">
        <v>20000</v>
      </c>
      <c r="AB871" s="441">
        <v>20000</v>
      </c>
      <c r="AC871" s="441">
        <v>20000</v>
      </c>
      <c r="AD871" s="441">
        <v>20000</v>
      </c>
      <c r="AE871" s="437">
        <v>20000</v>
      </c>
      <c r="AF871" s="437">
        <v>20000</v>
      </c>
      <c r="AG871" s="437">
        <v>20000</v>
      </c>
      <c r="AH871" s="437">
        <v>20000</v>
      </c>
      <c r="AI871" s="437">
        <v>20000</v>
      </c>
    </row>
    <row r="872" spans="1:35">
      <c r="A872" s="153">
        <v>45754</v>
      </c>
      <c r="B872" s="380"/>
      <c r="C872" s="17">
        <v>250409</v>
      </c>
      <c r="D872" s="85" t="str">
        <f t="shared" si="427"/>
        <v>コーリツ 亀崎</v>
      </c>
      <c r="E872" s="85" t="str">
        <f t="shared" si="428"/>
        <v>NGUYEN NGOC MANH</v>
      </c>
      <c r="F872" s="85" t="str">
        <f t="shared" si="429"/>
        <v>グエン　ゴック　マン</v>
      </c>
      <c r="G872" s="15"/>
      <c r="H872" s="15"/>
      <c r="I872" s="15">
        <v>20000</v>
      </c>
      <c r="J872" s="65"/>
      <c r="O872" s="81"/>
      <c r="P872" s="81"/>
      <c r="Q872" s="81"/>
      <c r="R872" s="81"/>
      <c r="S872" s="81"/>
      <c r="T872" s="81"/>
      <c r="U872" s="81"/>
      <c r="V872" s="81"/>
      <c r="W872" s="81"/>
      <c r="X872" s="81"/>
      <c r="Y872" s="413"/>
      <c r="Z872" s="441">
        <v>16000</v>
      </c>
      <c r="AA872" s="441">
        <v>20000</v>
      </c>
      <c r="AB872" s="441">
        <v>20000</v>
      </c>
      <c r="AC872" s="441">
        <v>20000</v>
      </c>
      <c r="AD872" s="441">
        <v>20000</v>
      </c>
      <c r="AE872" s="437">
        <v>20000</v>
      </c>
      <c r="AF872" s="437">
        <v>20000</v>
      </c>
      <c r="AG872" s="437">
        <v>20000</v>
      </c>
      <c r="AH872" s="437">
        <v>20000</v>
      </c>
      <c r="AI872" s="437">
        <v>20000</v>
      </c>
    </row>
    <row r="873" spans="1:35">
      <c r="A873" s="153">
        <v>45885</v>
      </c>
      <c r="B873" s="380"/>
      <c r="C873" s="17">
        <v>230402</v>
      </c>
      <c r="D873" s="85" t="str">
        <f t="shared" si="427"/>
        <v>コーリツ 州の崎</v>
      </c>
      <c r="E873" s="85" t="str">
        <f t="shared" si="428"/>
        <v>LE VIET TRUNG</v>
      </c>
      <c r="F873" s="85" t="str">
        <f t="shared" si="429"/>
        <v>レー　ヴィエット　チュン</v>
      </c>
      <c r="G873" s="15"/>
      <c r="H873" s="15"/>
      <c r="I873" s="15"/>
      <c r="J873" s="65"/>
      <c r="O873" s="81"/>
      <c r="P873" s="81"/>
      <c r="Q873" s="81"/>
      <c r="R873" s="81"/>
      <c r="S873" s="81"/>
      <c r="T873" s="81"/>
      <c r="U873" s="81"/>
      <c r="V873" s="81"/>
      <c r="W873" s="81"/>
      <c r="X873" s="81"/>
      <c r="Y873" s="413"/>
      <c r="Z873" s="441"/>
      <c r="AA873" s="441"/>
      <c r="AB873" s="441"/>
      <c r="AC873" s="441"/>
      <c r="AD873" s="499">
        <v>10000</v>
      </c>
      <c r="AE873" s="437">
        <v>20000</v>
      </c>
      <c r="AF873" s="437">
        <v>20000</v>
      </c>
      <c r="AG873" s="437">
        <v>20000</v>
      </c>
      <c r="AH873" s="437">
        <v>20000</v>
      </c>
      <c r="AI873" s="437">
        <v>20000</v>
      </c>
    </row>
    <row r="874" spans="1:35">
      <c r="A874" s="154"/>
      <c r="B874" s="381"/>
      <c r="C874" s="14"/>
      <c r="D874" s="14"/>
      <c r="E874" s="14"/>
      <c r="F874" s="193"/>
      <c r="G874" s="16"/>
      <c r="H874" s="16"/>
      <c r="I874" s="16"/>
      <c r="J874" s="74"/>
      <c r="K874" s="10"/>
      <c r="L874" s="10"/>
      <c r="M874" s="88"/>
      <c r="N874" s="88"/>
      <c r="O874" s="88"/>
      <c r="P874" s="88"/>
      <c r="Q874" s="88"/>
      <c r="R874" s="88"/>
      <c r="S874" s="88"/>
      <c r="T874" s="88"/>
      <c r="U874" s="88"/>
      <c r="V874" s="88"/>
      <c r="W874" s="88"/>
      <c r="X874" s="88"/>
      <c r="Y874" s="410"/>
      <c r="Z874" s="438"/>
      <c r="AA874" s="438"/>
      <c r="AB874" s="438"/>
    </row>
    <row r="875" spans="1:35">
      <c r="A875" s="154"/>
      <c r="B875" s="381"/>
      <c r="C875" s="44"/>
      <c r="D875" s="44"/>
      <c r="E875" s="44" t="s">
        <v>242</v>
      </c>
      <c r="F875" s="194"/>
      <c r="G875" s="214">
        <v>58261</v>
      </c>
      <c r="H875" s="214">
        <v>60000</v>
      </c>
      <c r="I875" s="214" t="s">
        <v>25</v>
      </c>
      <c r="J875" s="90" t="s">
        <v>642</v>
      </c>
      <c r="K875" s="91"/>
      <c r="L875" s="91"/>
      <c r="M875" s="92"/>
      <c r="N875" s="92"/>
      <c r="O875" s="92"/>
      <c r="P875" s="92"/>
      <c r="Q875" s="92"/>
      <c r="R875" s="92"/>
      <c r="S875" s="92"/>
      <c r="T875" s="92"/>
      <c r="U875" s="92"/>
      <c r="V875" s="92"/>
      <c r="W875" s="92"/>
      <c r="X875" s="92"/>
      <c r="Y875" s="411"/>
      <c r="Z875" s="439"/>
      <c r="AA875" s="439"/>
      <c r="AB875" s="439"/>
    </row>
    <row r="876" spans="1:35">
      <c r="A876" s="153" t="s">
        <v>1</v>
      </c>
      <c r="B876" s="380" t="s">
        <v>529</v>
      </c>
      <c r="C876" s="17" t="s">
        <v>2</v>
      </c>
      <c r="D876" s="17" t="s">
        <v>2532</v>
      </c>
      <c r="E876" s="17" t="s">
        <v>2433</v>
      </c>
      <c r="F876" s="192"/>
      <c r="G876" s="15"/>
      <c r="H876" s="15"/>
      <c r="I876" s="15" t="s">
        <v>3</v>
      </c>
      <c r="J876" s="65" t="s">
        <v>154</v>
      </c>
    </row>
    <row r="877" spans="1:35">
      <c r="A877" s="153">
        <v>45410</v>
      </c>
      <c r="B877" s="380"/>
      <c r="C877" s="17">
        <v>240502</v>
      </c>
      <c r="D877" s="20" t="str">
        <f t="shared" si="392"/>
        <v>コーリツ 州の崎</v>
      </c>
      <c r="E877" s="20" t="str">
        <f t="shared" si="393"/>
        <v>PHAN HUU THI</v>
      </c>
      <c r="F877" s="20" t="str">
        <f t="shared" si="394"/>
        <v>ファン　フュ　ティ</v>
      </c>
      <c r="G877" s="15"/>
      <c r="H877" s="15"/>
      <c r="I877" s="15">
        <v>20000</v>
      </c>
      <c r="J877" s="65">
        <v>20000</v>
      </c>
      <c r="N877" s="81">
        <v>2000</v>
      </c>
      <c r="O877" s="130">
        <v>20000</v>
      </c>
      <c r="P877" s="130">
        <v>20000</v>
      </c>
      <c r="Q877" s="130">
        <v>20000</v>
      </c>
      <c r="R877" s="130">
        <v>20000</v>
      </c>
      <c r="S877" s="130">
        <v>20000</v>
      </c>
      <c r="T877" s="130">
        <v>20000</v>
      </c>
      <c r="U877" s="130">
        <v>20000</v>
      </c>
      <c r="V877" s="130">
        <v>20000</v>
      </c>
      <c r="W877" s="130">
        <v>20000</v>
      </c>
      <c r="X877" s="130">
        <v>20000</v>
      </c>
      <c r="Y877" s="408">
        <v>20000</v>
      </c>
      <c r="Z877" s="437">
        <v>20000</v>
      </c>
      <c r="AA877" s="437">
        <v>20000</v>
      </c>
      <c r="AB877" s="437">
        <v>20000</v>
      </c>
      <c r="AC877" s="437">
        <v>20000</v>
      </c>
      <c r="AD877" s="437">
        <v>20000</v>
      </c>
      <c r="AE877" s="437">
        <v>20000</v>
      </c>
      <c r="AF877" s="437">
        <v>20000</v>
      </c>
      <c r="AG877" s="437">
        <v>20000</v>
      </c>
      <c r="AH877" s="437">
        <v>20000</v>
      </c>
      <c r="AI877" s="437">
        <v>20000</v>
      </c>
    </row>
    <row r="878" spans="1:35">
      <c r="A878" s="153">
        <v>45527</v>
      </c>
      <c r="B878" s="380">
        <v>45997</v>
      </c>
      <c r="C878" s="17">
        <v>240408</v>
      </c>
      <c r="D878" s="20" t="str">
        <f t="shared" ref="D878" si="430">IF(C878="","",_xlfn.XLOOKUP(C878,社員№,派遣先,"",0,-1))</f>
        <v>コーリツ 州の崎</v>
      </c>
      <c r="E878" s="20" t="str">
        <f t="shared" ref="E878" si="431">IF(C878="","",_xlfn.XLOOKUP(C878,社員№,氏名,"",0,-1))</f>
        <v>HO VAN THICH</v>
      </c>
      <c r="F878" s="20" t="str">
        <f t="shared" ref="F878" si="432">IF(C878="","",_xlfn.XLOOKUP(C878,社員№,カナ,"",0,-1))</f>
        <v>ホー　ヴァン　ティック</v>
      </c>
      <c r="G878" s="15"/>
      <c r="H878" s="15"/>
      <c r="I878" s="15">
        <v>20000</v>
      </c>
      <c r="J878" s="65">
        <v>20000</v>
      </c>
      <c r="O878" s="81"/>
      <c r="P878" s="81"/>
      <c r="Q878" s="81"/>
      <c r="R878" s="81">
        <v>5806</v>
      </c>
      <c r="S878" s="81">
        <v>20000</v>
      </c>
      <c r="T878" s="81">
        <v>20000</v>
      </c>
      <c r="U878" s="81">
        <v>20000</v>
      </c>
      <c r="V878" s="81">
        <v>20000</v>
      </c>
      <c r="W878" s="81">
        <v>20000</v>
      </c>
      <c r="X878" s="81">
        <v>20000</v>
      </c>
      <c r="Y878" s="413">
        <v>20000</v>
      </c>
      <c r="Z878" s="441">
        <v>20000</v>
      </c>
      <c r="AA878" s="441">
        <v>20000</v>
      </c>
      <c r="AB878" s="441">
        <v>20000</v>
      </c>
      <c r="AC878" s="437">
        <v>20000</v>
      </c>
      <c r="AD878" s="437">
        <v>20000</v>
      </c>
      <c r="AE878" s="437">
        <v>20000</v>
      </c>
      <c r="AF878" s="437">
        <v>20000</v>
      </c>
      <c r="AG878" s="437">
        <v>20000</v>
      </c>
      <c r="AH878" s="437">
        <v>20000</v>
      </c>
      <c r="AI878" s="455">
        <v>-10000</v>
      </c>
    </row>
    <row r="879" spans="1:35" hidden="1">
      <c r="A879" s="153">
        <v>45721</v>
      </c>
      <c r="B879" s="380">
        <v>45752</v>
      </c>
      <c r="C879" s="17"/>
      <c r="D879" s="27" t="s">
        <v>513</v>
      </c>
      <c r="E879" s="159" t="s">
        <v>240</v>
      </c>
      <c r="F879" s="195" t="s">
        <v>241</v>
      </c>
      <c r="G879" s="15"/>
      <c r="H879" s="15" t="s">
        <v>965</v>
      </c>
      <c r="I879" s="15"/>
      <c r="J879" s="65">
        <v>20000</v>
      </c>
      <c r="O879" s="81"/>
      <c r="P879" s="81"/>
      <c r="Q879" s="81"/>
      <c r="R879" s="81"/>
      <c r="S879" s="81"/>
      <c r="T879" s="81"/>
      <c r="U879" s="81"/>
      <c r="V879" s="81"/>
      <c r="W879" s="81"/>
      <c r="X879" s="81"/>
      <c r="Y879" s="413">
        <v>17419</v>
      </c>
      <c r="Z879" s="441">
        <v>0</v>
      </c>
      <c r="AA879" s="441">
        <v>0</v>
      </c>
      <c r="AB879" s="441">
        <v>0</v>
      </c>
      <c r="AC879" s="437"/>
    </row>
    <row r="880" spans="1:35">
      <c r="A880" s="145">
        <v>45791</v>
      </c>
      <c r="B880" s="376">
        <v>45801</v>
      </c>
      <c r="C880" s="27">
        <v>240810</v>
      </c>
      <c r="D880" s="20" t="str">
        <f t="shared" si="392"/>
        <v>コーリツ 乙川</v>
      </c>
      <c r="E880" s="20" t="str">
        <f t="shared" si="393"/>
        <v>DO DUC TRUNG</v>
      </c>
      <c r="F880" s="20" t="str">
        <f t="shared" si="394"/>
        <v>ド　ドゥック　チュン</v>
      </c>
      <c r="G880" s="15"/>
      <c r="H880" s="15" t="s">
        <v>965</v>
      </c>
      <c r="I880" s="15"/>
      <c r="J880" s="65"/>
      <c r="O880" s="81"/>
      <c r="P880" s="81"/>
      <c r="Q880" s="81"/>
      <c r="R880" s="81"/>
      <c r="S880" s="81"/>
      <c r="T880" s="81"/>
      <c r="U880" s="81"/>
      <c r="V880" s="81"/>
      <c r="W880" s="81"/>
      <c r="X880" s="81"/>
      <c r="Y880" s="413"/>
      <c r="Z880" s="441"/>
      <c r="AA880" s="446">
        <v>0</v>
      </c>
      <c r="AB880" s="446">
        <v>0</v>
      </c>
    </row>
    <row r="881" spans="1:35">
      <c r="A881" s="228">
        <v>45780</v>
      </c>
      <c r="B881" s="375">
        <v>45789</v>
      </c>
      <c r="C881" s="43">
        <v>220125</v>
      </c>
      <c r="D881" s="20" t="str">
        <f t="shared" ref="D881:D882" si="433">IF(C881="","",_xlfn.XLOOKUP(C881,社員№,派遣先,"",0,-1))</f>
        <v>コーリツ 乙川</v>
      </c>
      <c r="E881" s="20" t="str">
        <f t="shared" ref="E881:E882" si="434">IF(C881="","",_xlfn.XLOOKUP(C881,社員№,氏名,"",0,-1))</f>
        <v>BUI DUC THANG</v>
      </c>
      <c r="F881" s="20" t="str">
        <f t="shared" ref="F881:F882" si="435">IF(C881="","",_xlfn.XLOOKUP(C881,社員№,カナ,"",0,-1))</f>
        <v>ブイ　ドック　タン</v>
      </c>
      <c r="G881" s="121"/>
      <c r="H881" s="121" t="s">
        <v>1059</v>
      </c>
      <c r="I881" s="121"/>
      <c r="J881" s="71"/>
      <c r="K881" s="3"/>
      <c r="L881" s="3"/>
      <c r="M881" s="95"/>
      <c r="N881" s="95"/>
      <c r="O881" s="95"/>
      <c r="P881" s="95"/>
      <c r="Q881" s="95"/>
      <c r="R881" s="95"/>
      <c r="S881" s="95"/>
      <c r="T881" s="95"/>
      <c r="U881" s="95"/>
      <c r="V881" s="95"/>
      <c r="W881" s="95"/>
      <c r="X881" s="95"/>
      <c r="Y881" s="429"/>
      <c r="Z881" s="463"/>
      <c r="AA881" s="497">
        <v>6452</v>
      </c>
      <c r="AB881" s="497">
        <v>0</v>
      </c>
    </row>
    <row r="882" spans="1:35">
      <c r="A882" s="145">
        <v>45900</v>
      </c>
      <c r="B882" s="376"/>
      <c r="C882" s="27">
        <v>250502</v>
      </c>
      <c r="D882" s="20" t="str">
        <f t="shared" si="433"/>
        <v>コーリツ 乙川</v>
      </c>
      <c r="E882" s="20" t="str">
        <f t="shared" si="434"/>
        <v>NGUYEN QUANG HUY</v>
      </c>
      <c r="F882" s="20" t="str">
        <f t="shared" si="435"/>
        <v>グエン　クアン　フィ</v>
      </c>
      <c r="G882" s="15"/>
      <c r="H882" s="15"/>
      <c r="I882" s="15"/>
      <c r="J882" s="65"/>
      <c r="O882" s="81"/>
      <c r="P882" s="81"/>
      <c r="Q882" s="81"/>
      <c r="R882" s="81"/>
      <c r="S882" s="81"/>
      <c r="T882" s="81"/>
      <c r="U882" s="81"/>
      <c r="V882" s="81"/>
      <c r="W882" s="81"/>
      <c r="X882" s="81"/>
      <c r="Y882" s="413"/>
      <c r="Z882" s="441"/>
      <c r="AA882" s="441"/>
      <c r="AB882" s="441"/>
      <c r="AC882" s="448"/>
      <c r="AD882" s="1"/>
      <c r="AE882" s="522">
        <v>20000</v>
      </c>
      <c r="AF882" s="522">
        <v>20000</v>
      </c>
      <c r="AG882" s="522">
        <v>20000</v>
      </c>
      <c r="AH882" s="522">
        <v>20000</v>
      </c>
      <c r="AI882" s="522">
        <v>20000</v>
      </c>
    </row>
    <row r="883" spans="1:35">
      <c r="F883" s="160"/>
      <c r="G883" s="16"/>
      <c r="H883" s="16"/>
      <c r="I883" s="16"/>
      <c r="J883" s="90"/>
      <c r="K883" s="91"/>
      <c r="L883" s="91"/>
      <c r="M883" s="92"/>
      <c r="N883" s="92"/>
      <c r="O883" s="92"/>
      <c r="P883" s="92"/>
      <c r="Q883" s="92"/>
      <c r="R883" s="92"/>
      <c r="S883" s="92"/>
      <c r="T883" s="92"/>
      <c r="U883" s="92"/>
      <c r="V883" s="92"/>
      <c r="W883" s="92"/>
      <c r="X883" s="92"/>
      <c r="Y883" s="410"/>
      <c r="Z883" s="438"/>
      <c r="AA883" s="438"/>
      <c r="AB883" s="438"/>
    </row>
    <row r="884" spans="1:35">
      <c r="A884" s="154"/>
      <c r="B884" s="381"/>
      <c r="C884" s="44"/>
      <c r="D884" s="44"/>
      <c r="E884" s="44" t="s">
        <v>1045</v>
      </c>
      <c r="F884" s="194"/>
      <c r="G884" s="214">
        <v>53880</v>
      </c>
      <c r="H884" s="214">
        <v>60000</v>
      </c>
      <c r="I884" s="214" t="s">
        <v>25</v>
      </c>
      <c r="J884" s="90"/>
      <c r="K884" s="91"/>
      <c r="L884" s="91"/>
      <c r="M884" s="92"/>
      <c r="N884" s="92"/>
      <c r="O884" s="92"/>
      <c r="P884" s="92"/>
      <c r="Q884" s="92"/>
      <c r="R884" s="92"/>
      <c r="S884" s="92"/>
      <c r="T884" s="92"/>
      <c r="U884" s="92"/>
      <c r="V884" s="92"/>
      <c r="W884" s="92"/>
      <c r="X884" s="92"/>
      <c r="Y884" s="410"/>
      <c r="Z884" s="438"/>
      <c r="AA884" s="438"/>
      <c r="AB884" s="438"/>
    </row>
    <row r="885" spans="1:35">
      <c r="A885" s="153" t="s">
        <v>1</v>
      </c>
      <c r="B885" s="380" t="s">
        <v>529</v>
      </c>
      <c r="C885" s="17" t="s">
        <v>2</v>
      </c>
      <c r="D885" s="17" t="s">
        <v>2532</v>
      </c>
      <c r="E885" s="17" t="s">
        <v>2433</v>
      </c>
      <c r="F885" s="192"/>
      <c r="G885" s="15"/>
      <c r="H885" s="15"/>
      <c r="I885" s="15" t="s">
        <v>3</v>
      </c>
      <c r="J885" s="90"/>
      <c r="K885" s="91"/>
      <c r="L885" s="91"/>
      <c r="M885" s="92"/>
      <c r="N885" s="92"/>
      <c r="O885" s="92"/>
      <c r="P885" s="92"/>
      <c r="Q885" s="92"/>
      <c r="R885" s="92"/>
      <c r="S885" s="92"/>
      <c r="T885" s="92"/>
      <c r="U885" s="92"/>
      <c r="V885" s="92"/>
      <c r="W885" s="92"/>
      <c r="X885" s="92"/>
      <c r="Y885" s="411"/>
      <c r="Z885" s="439"/>
      <c r="AA885" s="439"/>
      <c r="AB885" s="439"/>
    </row>
    <row r="886" spans="1:35">
      <c r="A886" s="145">
        <v>45801</v>
      </c>
      <c r="B886" s="376"/>
      <c r="C886" s="27">
        <v>240810</v>
      </c>
      <c r="D886" s="20" t="str">
        <f t="shared" ref="D886:D943" si="436">IF(C886="","",_xlfn.XLOOKUP(C886,社員№,派遣先,"",0,-1))</f>
        <v>コーリツ 乙川</v>
      </c>
      <c r="E886" s="20" t="str">
        <f t="shared" ref="E886:E943" si="437">IF(C886="","",_xlfn.XLOOKUP(C886,社員№,氏名,"",0,-1))</f>
        <v>DO DUC TRUNG</v>
      </c>
      <c r="F886" s="20" t="str">
        <f t="shared" ref="F886:F943" si="438">IF(C886="","",_xlfn.XLOOKUP(C886,社員№,カナ,"",0,-1))</f>
        <v>ド　ドゥック　チュン</v>
      </c>
      <c r="G886" s="15"/>
      <c r="H886" s="15"/>
      <c r="I886" s="15">
        <v>20000</v>
      </c>
      <c r="J886" s="90"/>
      <c r="K886" s="91"/>
      <c r="L886" s="91"/>
      <c r="M886" s="92"/>
      <c r="N886" s="92"/>
      <c r="O886" s="92"/>
      <c r="P886" s="92"/>
      <c r="Q886" s="92"/>
      <c r="R886" s="92"/>
      <c r="S886" s="92"/>
      <c r="T886" s="92"/>
      <c r="U886" s="92"/>
      <c r="V886" s="92"/>
      <c r="W886" s="92"/>
      <c r="X886" s="92"/>
      <c r="Y886" s="413"/>
      <c r="Z886" s="441"/>
      <c r="AA886" s="441">
        <f>6529+7097+5161</f>
        <v>18787</v>
      </c>
      <c r="AB886" s="441">
        <v>20000</v>
      </c>
      <c r="AC886" s="441">
        <v>20000</v>
      </c>
      <c r="AD886" s="441">
        <v>20000</v>
      </c>
      <c r="AE886" s="437">
        <v>20000</v>
      </c>
      <c r="AF886" s="437">
        <v>20000</v>
      </c>
      <c r="AG886" s="437">
        <v>20000</v>
      </c>
      <c r="AH886" s="437">
        <v>20000</v>
      </c>
      <c r="AI886" s="437">
        <v>20000</v>
      </c>
    </row>
    <row r="887" spans="1:35">
      <c r="A887" s="228">
        <v>45801</v>
      </c>
      <c r="B887" s="375"/>
      <c r="C887" s="43">
        <v>220802</v>
      </c>
      <c r="D887" s="20" t="str">
        <f t="shared" ref="D887:D888" si="439">IF(C887="","",_xlfn.XLOOKUP(C887,社員№,派遣先,"",0,-1))</f>
        <v>コーリツ 州の崎</v>
      </c>
      <c r="E887" s="20" t="str">
        <f t="shared" ref="E887:E888" si="440">IF(C887="","",_xlfn.XLOOKUP(C887,社員№,氏名,"",0,-1))</f>
        <v>NGUYEN DUY THANG</v>
      </c>
      <c r="F887" s="20" t="str">
        <f t="shared" ref="F887:F888" si="441">IF(C887="","",_xlfn.XLOOKUP(C887,社員№,カナ,"",0,-1))</f>
        <v>グエン　ズイ　タン</v>
      </c>
      <c r="G887" s="121"/>
      <c r="H887" s="121"/>
      <c r="I887" s="121">
        <v>20000</v>
      </c>
      <c r="J887" s="74"/>
      <c r="K887" s="10"/>
      <c r="L887" s="10"/>
      <c r="M887" s="88"/>
      <c r="N887" s="88"/>
      <c r="O887" s="88"/>
      <c r="P887" s="88"/>
      <c r="Q887" s="88"/>
      <c r="R887" s="88"/>
      <c r="S887" s="88"/>
      <c r="T887" s="88"/>
      <c r="U887" s="88"/>
      <c r="V887" s="88"/>
      <c r="W887" s="88"/>
      <c r="X887" s="88"/>
      <c r="Y887" s="429"/>
      <c r="Z887" s="463"/>
      <c r="AA887" s="463">
        <f>5806+5264</f>
        <v>11070</v>
      </c>
      <c r="AB887" s="463">
        <v>20000</v>
      </c>
      <c r="AC887" s="463">
        <v>20000</v>
      </c>
      <c r="AD887" s="441">
        <v>20000</v>
      </c>
      <c r="AE887" s="437">
        <v>20000</v>
      </c>
      <c r="AF887" s="437">
        <v>20000</v>
      </c>
      <c r="AG887" s="437">
        <v>20000</v>
      </c>
      <c r="AH887" s="437">
        <v>20000</v>
      </c>
      <c r="AI887" s="437">
        <v>20000</v>
      </c>
    </row>
    <row r="888" spans="1:35">
      <c r="A888" s="145">
        <v>45885</v>
      </c>
      <c r="B888" s="376"/>
      <c r="C888" s="27">
        <v>250805</v>
      </c>
      <c r="D888" s="20" t="str">
        <f t="shared" si="439"/>
        <v>コーリツ 亀崎</v>
      </c>
      <c r="E888" s="20" t="str">
        <f t="shared" si="440"/>
        <v>DINH VAN THANG</v>
      </c>
      <c r="F888" s="20" t="str">
        <f t="shared" si="441"/>
        <v>ディン　ヴァン　タン</v>
      </c>
      <c r="G888" s="15"/>
      <c r="H888" s="15"/>
      <c r="I888" s="15"/>
      <c r="J888" s="65"/>
      <c r="O888" s="81"/>
      <c r="P888" s="81"/>
      <c r="Q888" s="81"/>
      <c r="R888" s="81"/>
      <c r="S888" s="81"/>
      <c r="T888" s="81"/>
      <c r="U888" s="81"/>
      <c r="V888" s="81"/>
      <c r="W888" s="81"/>
      <c r="X888" s="81"/>
      <c r="Y888" s="413"/>
      <c r="Z888" s="441"/>
      <c r="AA888" s="441"/>
      <c r="AB888" s="441"/>
      <c r="AC888" s="441"/>
      <c r="AD888" s="499">
        <v>10000</v>
      </c>
      <c r="AE888" s="437">
        <v>20000</v>
      </c>
      <c r="AF888" s="437">
        <v>20000</v>
      </c>
      <c r="AG888" s="437">
        <v>20000</v>
      </c>
      <c r="AH888" s="437">
        <v>20000</v>
      </c>
      <c r="AI888" s="437">
        <v>20000</v>
      </c>
    </row>
    <row r="889" spans="1:35">
      <c r="F889" s="160"/>
      <c r="G889" s="16"/>
      <c r="H889" s="16"/>
      <c r="I889" s="16"/>
      <c r="J889" s="90"/>
      <c r="K889" s="91"/>
      <c r="L889" s="91"/>
      <c r="M889" s="92"/>
      <c r="N889" s="92"/>
      <c r="O889" s="92"/>
      <c r="P889" s="92"/>
      <c r="Q889" s="92"/>
      <c r="R889" s="92"/>
      <c r="S889" s="92"/>
      <c r="T889" s="92"/>
      <c r="U889" s="92"/>
      <c r="V889" s="92"/>
      <c r="W889" s="92"/>
      <c r="X889" s="92"/>
      <c r="Y889" s="411"/>
      <c r="Z889" s="439"/>
      <c r="AA889" s="439"/>
      <c r="AB889" s="439"/>
    </row>
    <row r="890" spans="1:35">
      <c r="A890" s="155"/>
      <c r="B890" s="381"/>
      <c r="C890" s="44"/>
      <c r="D890" s="44"/>
      <c r="E890" s="44" t="s">
        <v>304</v>
      </c>
      <c r="F890" s="194"/>
      <c r="G890" s="222">
        <v>56120</v>
      </c>
      <c r="H890" s="222">
        <v>59000</v>
      </c>
      <c r="I890" s="222" t="s">
        <v>598</v>
      </c>
      <c r="J890" s="80" t="s">
        <v>643</v>
      </c>
    </row>
    <row r="891" spans="1:35">
      <c r="A891" s="153" t="s">
        <v>1</v>
      </c>
      <c r="B891" s="380" t="s">
        <v>529</v>
      </c>
      <c r="C891" s="17" t="s">
        <v>2</v>
      </c>
      <c r="D891" s="17" t="s">
        <v>2532</v>
      </c>
      <c r="E891" s="17" t="s">
        <v>2433</v>
      </c>
      <c r="F891" s="192"/>
      <c r="G891" s="15"/>
      <c r="H891" s="15"/>
      <c r="I891" s="15" t="s">
        <v>3</v>
      </c>
      <c r="J891" s="67" t="s">
        <v>154</v>
      </c>
      <c r="U891" s="386" t="s">
        <v>877</v>
      </c>
      <c r="V891" s="386"/>
      <c r="W891" s="386"/>
      <c r="X891" s="386"/>
    </row>
    <row r="892" spans="1:35" hidden="1">
      <c r="A892" s="153">
        <v>45703</v>
      </c>
      <c r="B892" s="380">
        <v>45734</v>
      </c>
      <c r="C892" s="17">
        <v>230603</v>
      </c>
      <c r="D892" s="20" t="str">
        <f t="shared" si="436"/>
        <v>コーリツ 本社</v>
      </c>
      <c r="E892" s="20" t="str">
        <f t="shared" si="437"/>
        <v>NGUYEN VAN TUYEN</v>
      </c>
      <c r="F892" s="20" t="str">
        <f t="shared" si="438"/>
        <v>グエン　バン　トゥエン</v>
      </c>
      <c r="G892" s="15"/>
      <c r="H892" s="15"/>
      <c r="I892" s="15">
        <v>29500</v>
      </c>
      <c r="J892" s="65">
        <v>20000</v>
      </c>
      <c r="K892" s="11">
        <v>29500</v>
      </c>
      <c r="L892" s="11">
        <v>29500</v>
      </c>
      <c r="M892" s="81">
        <v>29500</v>
      </c>
      <c r="N892" s="81">
        <v>29500</v>
      </c>
      <c r="O892" s="81">
        <v>29500</v>
      </c>
      <c r="P892" s="81">
        <v>29500</v>
      </c>
      <c r="Q892" s="81">
        <v>29500</v>
      </c>
      <c r="R892" s="81">
        <v>29500</v>
      </c>
      <c r="S892" s="81">
        <v>29500</v>
      </c>
      <c r="T892" s="81">
        <v>29500</v>
      </c>
      <c r="U892" s="81">
        <v>29500</v>
      </c>
      <c r="V892" s="81">
        <v>29500</v>
      </c>
      <c r="W892" s="394">
        <v>29500</v>
      </c>
      <c r="X892" s="81">
        <v>14750</v>
      </c>
      <c r="Y892" s="413">
        <v>20000</v>
      </c>
      <c r="Z892" s="441">
        <v>0</v>
      </c>
      <c r="AA892" s="441">
        <v>0</v>
      </c>
      <c r="AB892" s="441">
        <v>0</v>
      </c>
    </row>
    <row r="893" spans="1:35">
      <c r="A893" s="145">
        <v>45139</v>
      </c>
      <c r="B893" s="376">
        <v>45900</v>
      </c>
      <c r="C893" s="27">
        <v>230801</v>
      </c>
      <c r="D893" s="20" t="str">
        <f t="shared" ref="D893:D895" si="442">IF(C893="","",_xlfn.XLOOKUP(C893,社員№,派遣先,"",0,-1))</f>
        <v>コーリツ 本社</v>
      </c>
      <c r="E893" s="20" t="str">
        <f t="shared" ref="E893:E895" si="443">IF(C893="","",_xlfn.XLOOKUP(C893,社員№,氏名,"",0,-1))</f>
        <v>NGUYEN TIEN DAT</v>
      </c>
      <c r="F893" s="20" t="str">
        <f t="shared" ref="F893:F895" si="444">IF(C893="","",_xlfn.XLOOKUP(C893,社員№,カナ,"",0,-1))</f>
        <v>グエン　ティエン　ダット</v>
      </c>
      <c r="G893" s="15"/>
      <c r="H893" s="15"/>
      <c r="I893" s="15">
        <v>29500</v>
      </c>
      <c r="J893" s="65"/>
      <c r="O893" s="81"/>
      <c r="P893" s="81"/>
      <c r="Q893" s="81"/>
      <c r="R893" s="81"/>
      <c r="S893" s="81"/>
      <c r="T893" s="81"/>
      <c r="U893" s="81">
        <f>21267+1967</f>
        <v>23234</v>
      </c>
      <c r="V893" s="81">
        <v>29500</v>
      </c>
      <c r="W893" s="81">
        <v>29500</v>
      </c>
      <c r="X893" s="81">
        <v>29500</v>
      </c>
      <c r="Y893" s="413">
        <v>29500</v>
      </c>
      <c r="Z893" s="441">
        <v>29500</v>
      </c>
      <c r="AA893" s="441">
        <v>29500</v>
      </c>
      <c r="AB893" s="441">
        <v>29500</v>
      </c>
      <c r="AC893" s="437">
        <v>29500</v>
      </c>
      <c r="AD893" s="443">
        <v>49500</v>
      </c>
      <c r="AE893" s="493">
        <v>0</v>
      </c>
      <c r="AF893" s="493">
        <v>0</v>
      </c>
    </row>
    <row r="894" spans="1:35">
      <c r="A894" s="228">
        <v>45734</v>
      </c>
      <c r="B894" s="375">
        <v>45808</v>
      </c>
      <c r="C894" s="43">
        <v>250306</v>
      </c>
      <c r="D894" s="20" t="str">
        <f t="shared" si="442"/>
        <v>コーリツ 本社</v>
      </c>
      <c r="E894" s="20" t="str">
        <f t="shared" si="443"/>
        <v>LE VAN THAI BINH</v>
      </c>
      <c r="F894" s="20" t="str">
        <f t="shared" si="444"/>
        <v>レ　バン　タイ　ビン</v>
      </c>
      <c r="G894" s="121"/>
      <c r="H894" s="121"/>
      <c r="I894" s="121">
        <v>29500</v>
      </c>
      <c r="J894" s="71"/>
      <c r="K894" s="3"/>
      <c r="L894" s="3"/>
      <c r="M894" s="95"/>
      <c r="N894" s="95"/>
      <c r="O894" s="95"/>
      <c r="P894" s="95"/>
      <c r="Q894" s="95"/>
      <c r="R894" s="95"/>
      <c r="S894" s="95"/>
      <c r="T894" s="95"/>
      <c r="U894" s="95"/>
      <c r="V894" s="95"/>
      <c r="W894" s="95"/>
      <c r="X894" s="95"/>
      <c r="Y894" s="429">
        <v>13323</v>
      </c>
      <c r="Z894" s="463">
        <v>29500</v>
      </c>
      <c r="AA894" s="463">
        <f>29500+20000</f>
        <v>49500</v>
      </c>
      <c r="AB894" s="463">
        <v>0</v>
      </c>
      <c r="AC894" s="464">
        <v>0</v>
      </c>
      <c r="AD894" s="1"/>
      <c r="AE894" s="493">
        <v>0</v>
      </c>
      <c r="AF894" s="493">
        <v>0</v>
      </c>
    </row>
    <row r="895" spans="1:35">
      <c r="A895" s="145">
        <v>45809</v>
      </c>
      <c r="B895" s="376"/>
      <c r="C895" s="27">
        <v>250402</v>
      </c>
      <c r="D895" s="20" t="str">
        <f t="shared" si="442"/>
        <v>コーリツ 本社</v>
      </c>
      <c r="E895" s="20" t="str">
        <f t="shared" si="443"/>
        <v>PHAM VAN BANG</v>
      </c>
      <c r="F895" s="20" t="str">
        <f t="shared" si="444"/>
        <v>ファム　ヴァン　バン</v>
      </c>
      <c r="G895" s="15"/>
      <c r="H895" s="15"/>
      <c r="I895" s="15"/>
      <c r="J895" s="65"/>
      <c r="O895" s="81"/>
      <c r="P895" s="81"/>
      <c r="Q895" s="81"/>
      <c r="R895" s="81"/>
      <c r="S895" s="81"/>
      <c r="T895" s="81"/>
      <c r="U895" s="81"/>
      <c r="V895" s="81"/>
      <c r="W895" s="81"/>
      <c r="X895" s="81"/>
      <c r="Y895" s="413"/>
      <c r="Z895" s="441"/>
      <c r="AA895" s="441"/>
      <c r="AB895" s="441"/>
      <c r="AC895" s="508">
        <v>33000</v>
      </c>
      <c r="AD895" s="499">
        <v>29500</v>
      </c>
      <c r="AE895" s="522">
        <v>29500</v>
      </c>
      <c r="AF895" s="522">
        <v>29500</v>
      </c>
      <c r="AG895" s="522">
        <v>29500</v>
      </c>
      <c r="AH895" s="522">
        <v>29500</v>
      </c>
      <c r="AI895" s="522">
        <v>29500</v>
      </c>
    </row>
    <row r="896" spans="1:35">
      <c r="F896" s="160"/>
      <c r="G896" s="16"/>
      <c r="H896" s="16"/>
      <c r="I896" s="16"/>
      <c r="J896" s="74"/>
      <c r="K896" s="10"/>
      <c r="L896" s="10"/>
      <c r="M896" s="88"/>
      <c r="N896" s="88"/>
      <c r="O896" s="88"/>
      <c r="P896" s="88"/>
      <c r="Q896" s="88"/>
      <c r="R896" s="88"/>
      <c r="S896" s="88"/>
      <c r="T896" s="88"/>
      <c r="U896" s="88"/>
      <c r="V896" s="88"/>
      <c r="W896" s="88"/>
      <c r="X896" s="88"/>
      <c r="Y896" s="410"/>
      <c r="Z896" s="438"/>
      <c r="AA896" s="438"/>
      <c r="AB896" s="438"/>
    </row>
    <row r="897" spans="1:35">
      <c r="A897" s="154"/>
      <c r="B897" s="381"/>
      <c r="C897" s="29"/>
      <c r="D897" s="29"/>
      <c r="E897" s="29" t="s">
        <v>2506</v>
      </c>
      <c r="F897" s="176"/>
      <c r="G897" s="222">
        <v>61200</v>
      </c>
      <c r="H897" s="222">
        <v>66200</v>
      </c>
      <c r="I897" s="222" t="s">
        <v>598</v>
      </c>
      <c r="J897" s="90"/>
      <c r="K897" s="91"/>
      <c r="L897" s="91"/>
      <c r="M897" s="92"/>
      <c r="N897" s="92"/>
      <c r="O897" s="92"/>
      <c r="P897" s="92"/>
      <c r="Q897" s="92"/>
      <c r="R897" s="92"/>
      <c r="S897" s="92"/>
      <c r="T897" s="92"/>
      <c r="U897" s="92"/>
      <c r="V897" s="92"/>
      <c r="W897" s="92"/>
      <c r="X897" s="92"/>
      <c r="Y897" s="411"/>
      <c r="Z897" s="439"/>
      <c r="AA897" s="439"/>
      <c r="AB897" s="439"/>
    </row>
    <row r="898" spans="1:35">
      <c r="A898" s="153" t="s">
        <v>1</v>
      </c>
      <c r="B898" s="380" t="s">
        <v>529</v>
      </c>
      <c r="C898" s="27" t="s">
        <v>2</v>
      </c>
      <c r="D898" s="27" t="s">
        <v>2532</v>
      </c>
      <c r="E898" s="27" t="s">
        <v>2433</v>
      </c>
      <c r="F898" s="165"/>
      <c r="G898" s="15"/>
      <c r="H898" s="15"/>
      <c r="I898" s="15" t="s">
        <v>3</v>
      </c>
      <c r="J898" s="65" t="s">
        <v>154</v>
      </c>
    </row>
    <row r="899" spans="1:35">
      <c r="A899" s="145">
        <v>45128</v>
      </c>
      <c r="B899" s="376">
        <v>45991</v>
      </c>
      <c r="C899" s="27">
        <v>220308</v>
      </c>
      <c r="D899" s="20" t="str">
        <f t="shared" si="436"/>
        <v>コーリツ 本社</v>
      </c>
      <c r="E899" s="20" t="str">
        <f t="shared" si="437"/>
        <v>NGUYEN KHAC THIEN</v>
      </c>
      <c r="F899" s="20" t="str">
        <f t="shared" si="438"/>
        <v>グエン　カック　ティエン</v>
      </c>
      <c r="G899" s="15"/>
      <c r="H899" s="15"/>
      <c r="I899" s="15">
        <v>33100</v>
      </c>
      <c r="J899" s="65">
        <v>22070</v>
      </c>
      <c r="K899" s="11">
        <v>33100</v>
      </c>
      <c r="L899" s="11">
        <v>33100</v>
      </c>
      <c r="M899" s="81">
        <v>33100</v>
      </c>
      <c r="N899" s="81">
        <v>33100</v>
      </c>
      <c r="O899" s="81">
        <v>33100</v>
      </c>
      <c r="P899" s="81">
        <v>33100</v>
      </c>
      <c r="Q899" s="81">
        <v>33100</v>
      </c>
      <c r="R899" s="81">
        <v>33100</v>
      </c>
      <c r="S899" s="81">
        <v>33100</v>
      </c>
      <c r="T899" s="81">
        <v>33100</v>
      </c>
      <c r="U899" s="81">
        <v>33100</v>
      </c>
      <c r="V899" s="81">
        <v>33100</v>
      </c>
      <c r="W899" s="81">
        <v>33100</v>
      </c>
      <c r="X899" s="81">
        <v>33100</v>
      </c>
      <c r="Y899" s="413">
        <v>33100</v>
      </c>
      <c r="Z899" s="441">
        <v>33100</v>
      </c>
      <c r="AA899" s="441">
        <v>33100</v>
      </c>
      <c r="AB899" s="441">
        <v>33100</v>
      </c>
      <c r="AC899" s="441">
        <v>33100</v>
      </c>
      <c r="AD899" s="441">
        <v>33100</v>
      </c>
      <c r="AE899" s="437">
        <v>33100</v>
      </c>
      <c r="AF899" s="437">
        <v>3100</v>
      </c>
      <c r="AG899" s="522">
        <v>23100</v>
      </c>
      <c r="AH899" s="508">
        <v>0</v>
      </c>
    </row>
    <row r="900" spans="1:35" ht="19.5" customHeight="1">
      <c r="A900" s="145">
        <v>45677</v>
      </c>
      <c r="B900" s="376">
        <v>45975</v>
      </c>
      <c r="C900" s="27">
        <v>230907</v>
      </c>
      <c r="D900" s="20" t="str">
        <f t="shared" ref="D900" si="445">IF(C900="","",_xlfn.XLOOKUP(C900,社員№,派遣先,"",0,-1))</f>
        <v>コーリツ 本社</v>
      </c>
      <c r="E900" s="20" t="str">
        <f t="shared" ref="E900" si="446">IF(C900="","",_xlfn.XLOOKUP(C900,社員№,氏名,"",0,-1))</f>
        <v>NGUYEN TIEN THUONG</v>
      </c>
      <c r="F900" s="20" t="str">
        <f t="shared" ref="F900" si="447">IF(C900="","",_xlfn.XLOOKUP(C900,社員№,カナ,"",0,-1))</f>
        <v>グエン　ティエン　トゥオン</v>
      </c>
      <c r="G900" s="12"/>
      <c r="H900" s="15"/>
      <c r="I900" s="15"/>
      <c r="J900" s="65"/>
      <c r="O900" s="81"/>
      <c r="P900" s="81"/>
      <c r="Q900" s="81"/>
      <c r="R900" s="81"/>
      <c r="S900" s="81"/>
      <c r="T900" s="81"/>
      <c r="U900" s="81"/>
      <c r="V900" s="81"/>
      <c r="W900" s="81">
        <f>14258+12813</f>
        <v>27071</v>
      </c>
      <c r="X900" s="81">
        <v>33100</v>
      </c>
      <c r="Y900" s="413">
        <v>33100</v>
      </c>
      <c r="Z900" s="441">
        <v>33100</v>
      </c>
      <c r="AA900" s="441">
        <v>33100</v>
      </c>
      <c r="AB900" s="441">
        <v>33100</v>
      </c>
      <c r="AC900" s="441">
        <v>33100</v>
      </c>
      <c r="AD900" s="441">
        <v>33100</v>
      </c>
      <c r="AE900" s="437">
        <v>33100</v>
      </c>
      <c r="AF900" s="437">
        <v>33100</v>
      </c>
      <c r="AG900" s="522">
        <f>53100+53827</f>
        <v>106927</v>
      </c>
      <c r="AH900" s="508">
        <v>0</v>
      </c>
    </row>
    <row r="901" spans="1:35" ht="19.5" customHeight="1">
      <c r="A901" s="145">
        <v>46025</v>
      </c>
      <c r="B901" s="376"/>
      <c r="C901" s="27">
        <v>260101</v>
      </c>
      <c r="D901" s="20" t="s">
        <v>2848</v>
      </c>
      <c r="E901" s="20" t="s">
        <v>2693</v>
      </c>
      <c r="F901" s="20" t="s">
        <v>2694</v>
      </c>
      <c r="G901" s="12"/>
      <c r="H901" s="15"/>
      <c r="I901" s="15"/>
      <c r="J901" s="65"/>
      <c r="O901" s="81"/>
      <c r="P901" s="81"/>
      <c r="Q901" s="81"/>
      <c r="R901" s="81"/>
      <c r="S901" s="81"/>
      <c r="T901" s="81"/>
      <c r="U901" s="81"/>
      <c r="V901" s="81"/>
      <c r="W901" s="81"/>
      <c r="X901" s="81"/>
      <c r="Y901" s="413"/>
      <c r="Z901" s="441"/>
      <c r="AA901" s="441"/>
      <c r="AB901" s="441"/>
      <c r="AC901" s="441"/>
      <c r="AD901" s="441"/>
      <c r="AE901" s="441"/>
      <c r="AF901" s="437"/>
      <c r="AG901" s="522"/>
      <c r="AI901" s="448">
        <v>30965</v>
      </c>
    </row>
    <row r="902" spans="1:35" ht="19.5" customHeight="1">
      <c r="F902" s="160"/>
      <c r="G902" s="391"/>
      <c r="H902" s="16"/>
      <c r="I902" s="16"/>
      <c r="J902" s="74"/>
      <c r="K902" s="10"/>
      <c r="L902" s="10"/>
      <c r="M902" s="88"/>
      <c r="N902" s="88"/>
      <c r="O902" s="88"/>
      <c r="P902" s="88"/>
      <c r="Q902" s="88"/>
      <c r="R902" s="88"/>
      <c r="S902" s="88"/>
      <c r="T902" s="88"/>
      <c r="U902" s="88"/>
      <c r="V902" s="88"/>
      <c r="W902" s="88"/>
      <c r="X902" s="88"/>
      <c r="Y902" s="410"/>
      <c r="Z902" s="438"/>
      <c r="AA902" s="438"/>
      <c r="AB902" s="438"/>
    </row>
    <row r="903" spans="1:35" ht="19.5" customHeight="1">
      <c r="C903" s="29"/>
      <c r="D903" s="29"/>
      <c r="E903" s="29" t="s">
        <v>2507</v>
      </c>
      <c r="F903" s="176"/>
      <c r="G903" s="223">
        <v>60840</v>
      </c>
      <c r="H903" s="223">
        <v>66000</v>
      </c>
      <c r="I903" s="223" t="s">
        <v>574</v>
      </c>
      <c r="J903" s="90"/>
      <c r="K903" s="91"/>
      <c r="L903" s="91"/>
      <c r="M903" s="92"/>
      <c r="N903" s="92"/>
      <c r="O903" s="92"/>
      <c r="P903" s="92"/>
      <c r="Q903" s="92"/>
      <c r="R903" s="92"/>
      <c r="S903" s="92"/>
      <c r="T903" s="92"/>
      <c r="U903" s="92"/>
      <c r="V903" s="92"/>
      <c r="W903" s="92"/>
      <c r="X903" s="92"/>
      <c r="Y903" s="411"/>
      <c r="Z903" s="439"/>
      <c r="AA903" s="439"/>
      <c r="AB903" s="439"/>
    </row>
    <row r="904" spans="1:35" ht="19.5" customHeight="1">
      <c r="A904" s="145" t="s">
        <v>1</v>
      </c>
      <c r="B904" s="376" t="s">
        <v>529</v>
      </c>
      <c r="C904" s="27" t="s">
        <v>2</v>
      </c>
      <c r="D904" s="27" t="s">
        <v>2532</v>
      </c>
      <c r="E904" s="27" t="s">
        <v>2433</v>
      </c>
      <c r="F904" s="165"/>
      <c r="G904" s="15"/>
      <c r="H904" s="15"/>
      <c r="I904" s="15" t="s">
        <v>599</v>
      </c>
      <c r="J904" s="65" t="s">
        <v>353</v>
      </c>
      <c r="W904" s="81"/>
      <c r="X904" s="81"/>
      <c r="Y904" s="413"/>
      <c r="Z904" s="441"/>
      <c r="AA904" s="441"/>
      <c r="AB904" s="441"/>
    </row>
    <row r="905" spans="1:35" hidden="1">
      <c r="A905" s="145">
        <v>45139</v>
      </c>
      <c r="B905" s="376">
        <v>45625</v>
      </c>
      <c r="C905" s="27">
        <v>230801</v>
      </c>
      <c r="D905" s="20" t="str">
        <f t="shared" si="436"/>
        <v>コーリツ 本社</v>
      </c>
      <c r="E905" s="20" t="str">
        <f t="shared" si="437"/>
        <v>NGUYEN TIEN DAT</v>
      </c>
      <c r="F905" s="20" t="str">
        <f t="shared" si="438"/>
        <v>グエン　ティエン　ダット</v>
      </c>
      <c r="G905" s="15"/>
      <c r="H905" s="15"/>
      <c r="I905" s="15">
        <v>32500</v>
      </c>
      <c r="J905" s="65">
        <v>22000</v>
      </c>
      <c r="K905" s="11">
        <v>22000</v>
      </c>
      <c r="L905" s="11">
        <v>22000</v>
      </c>
      <c r="M905" s="81">
        <v>22000</v>
      </c>
      <c r="N905" s="81">
        <v>22000</v>
      </c>
      <c r="O905" s="130">
        <v>22000</v>
      </c>
      <c r="P905" s="130">
        <v>22000</v>
      </c>
      <c r="Q905" s="130">
        <v>22000</v>
      </c>
      <c r="R905" s="130">
        <v>22000</v>
      </c>
      <c r="S905" s="130">
        <v>22000</v>
      </c>
      <c r="T905" s="130">
        <v>22000</v>
      </c>
      <c r="U905" s="130">
        <v>0</v>
      </c>
      <c r="V905" s="130">
        <v>0</v>
      </c>
      <c r="W905" s="81">
        <v>0</v>
      </c>
      <c r="X905" s="81">
        <v>0</v>
      </c>
      <c r="Y905" s="413">
        <v>0</v>
      </c>
      <c r="Z905" s="441">
        <v>0</v>
      </c>
      <c r="AA905" s="441">
        <v>0</v>
      </c>
      <c r="AB905" s="441">
        <v>0</v>
      </c>
      <c r="AC905" s="476">
        <v>0</v>
      </c>
    </row>
    <row r="906" spans="1:35">
      <c r="A906" s="145">
        <v>45566</v>
      </c>
      <c r="B906" s="376"/>
      <c r="C906" s="27">
        <v>230802</v>
      </c>
      <c r="D906" s="20" t="str">
        <f t="shared" ref="D906:D908" si="448">IF(C906="","",_xlfn.XLOOKUP(C906,社員№,派遣先,"",0,-1))</f>
        <v>コーリツ 本社</v>
      </c>
      <c r="E906" s="20" t="str">
        <f t="shared" ref="E906:E908" si="449">IF(C906="","",_xlfn.XLOOKUP(C906,社員№,氏名,"",0,-1))</f>
        <v>LE NHI</v>
      </c>
      <c r="F906" s="20" t="str">
        <f t="shared" ref="F906:F908" si="450">IF(C906="","",_xlfn.XLOOKUP(C906,社員№,カナ,"",0,-1))</f>
        <v>レー　ニー</v>
      </c>
      <c r="G906" s="15"/>
      <c r="H906" s="15"/>
      <c r="I906" s="15">
        <v>33000</v>
      </c>
      <c r="J906" s="65">
        <v>22000</v>
      </c>
      <c r="K906" s="11">
        <v>22000</v>
      </c>
      <c r="L906" s="11">
        <v>22000</v>
      </c>
      <c r="M906" s="81">
        <v>22000</v>
      </c>
      <c r="N906" s="81">
        <v>22000</v>
      </c>
      <c r="O906" s="130">
        <v>22000</v>
      </c>
      <c r="P906" s="130">
        <v>22000</v>
      </c>
      <c r="Q906" s="130">
        <v>22000</v>
      </c>
      <c r="R906" s="130">
        <v>22000</v>
      </c>
      <c r="S906" s="130">
        <v>0</v>
      </c>
      <c r="T906" s="130">
        <v>22000</v>
      </c>
      <c r="U906" s="130">
        <f>21267+983</f>
        <v>22250</v>
      </c>
      <c r="V906" s="130">
        <f t="shared" ref="V906:V907" si="451">23065+6387</f>
        <v>29452</v>
      </c>
      <c r="W906" s="84">
        <f t="shared" ref="W906:W907" si="452">2129+29806</f>
        <v>31935</v>
      </c>
      <c r="X906" s="84">
        <v>33000</v>
      </c>
      <c r="Y906" s="414">
        <v>33000</v>
      </c>
      <c r="Z906" s="443">
        <v>33000</v>
      </c>
      <c r="AA906" s="443">
        <v>33000</v>
      </c>
      <c r="AB906" s="443">
        <v>33000</v>
      </c>
      <c r="AC906" s="443">
        <v>33000</v>
      </c>
      <c r="AD906" s="443">
        <v>33000</v>
      </c>
      <c r="AE906" s="493">
        <v>33000</v>
      </c>
      <c r="AF906" s="493">
        <v>33000</v>
      </c>
      <c r="AG906" s="493">
        <v>33000</v>
      </c>
      <c r="AH906" s="493">
        <v>33000</v>
      </c>
      <c r="AI906" s="493">
        <v>33000</v>
      </c>
    </row>
    <row r="907" spans="1:35">
      <c r="A907" s="145">
        <v>45140</v>
      </c>
      <c r="B907" s="376">
        <v>45991</v>
      </c>
      <c r="C907" s="27">
        <v>230817</v>
      </c>
      <c r="D907" s="20" t="str">
        <f t="shared" si="448"/>
        <v>コーリツ 本社</v>
      </c>
      <c r="E907" s="20" t="str">
        <f t="shared" si="449"/>
        <v>NGUYEN VAN MINH</v>
      </c>
      <c r="F907" s="20" t="str">
        <f t="shared" si="450"/>
        <v>グエン　ヴァン　ミン</v>
      </c>
      <c r="G907" s="15"/>
      <c r="H907" s="15"/>
      <c r="I907" s="15">
        <v>33000</v>
      </c>
      <c r="J907" s="65">
        <v>26400</v>
      </c>
      <c r="K907" s="11">
        <v>26400</v>
      </c>
      <c r="L907" s="11">
        <v>26400</v>
      </c>
      <c r="M907" s="81">
        <v>26400</v>
      </c>
      <c r="N907" s="81">
        <v>22000</v>
      </c>
      <c r="O907" s="81">
        <v>22000</v>
      </c>
      <c r="P907" s="81">
        <v>22000</v>
      </c>
      <c r="Q907" s="81">
        <v>22000</v>
      </c>
      <c r="R907" s="81">
        <v>22000</v>
      </c>
      <c r="S907" s="81">
        <v>22000</v>
      </c>
      <c r="T907" s="81">
        <v>22000</v>
      </c>
      <c r="U907" s="81">
        <f>21267+983</f>
        <v>22250</v>
      </c>
      <c r="V907" s="81">
        <f t="shared" si="451"/>
        <v>29452</v>
      </c>
      <c r="W907" s="84">
        <f t="shared" si="452"/>
        <v>31935</v>
      </c>
      <c r="X907" s="84">
        <v>33000</v>
      </c>
      <c r="Y907" s="414">
        <v>33000</v>
      </c>
      <c r="Z907" s="443">
        <v>33000</v>
      </c>
      <c r="AA907" s="443">
        <v>33000</v>
      </c>
      <c r="AB907" s="443">
        <v>33000</v>
      </c>
      <c r="AC907" s="443">
        <v>33000</v>
      </c>
      <c r="AD907" s="443">
        <v>33000</v>
      </c>
      <c r="AE907" s="493">
        <v>33000</v>
      </c>
      <c r="AF907" s="493">
        <v>33000</v>
      </c>
      <c r="AG907" s="522">
        <v>53000</v>
      </c>
      <c r="AH907" s="508">
        <v>0</v>
      </c>
    </row>
    <row r="908" spans="1:35" hidden="1">
      <c r="A908" s="145">
        <v>45649</v>
      </c>
      <c r="B908" s="376" t="s">
        <v>912</v>
      </c>
      <c r="C908" s="27">
        <v>210305</v>
      </c>
      <c r="D908" s="20" t="str">
        <f t="shared" si="448"/>
        <v>コーリツ 本社</v>
      </c>
      <c r="E908" s="20" t="str">
        <f t="shared" si="449"/>
        <v>NGUYEN HOA HOAN</v>
      </c>
      <c r="F908" s="20" t="str">
        <f t="shared" si="450"/>
        <v>グエン　ホア　ホアン</v>
      </c>
      <c r="G908" s="15"/>
      <c r="H908" s="15"/>
      <c r="I908" s="15"/>
      <c r="J908" s="65"/>
      <c r="O908" s="81"/>
      <c r="P908" s="81"/>
      <c r="Q908" s="81"/>
      <c r="R908" s="81"/>
      <c r="S908" s="81"/>
      <c r="T908" s="81"/>
      <c r="U908" s="81"/>
      <c r="V908" s="81">
        <v>6387</v>
      </c>
      <c r="W908" s="81">
        <v>0</v>
      </c>
      <c r="X908" s="81">
        <v>0</v>
      </c>
      <c r="Y908" s="413">
        <v>0</v>
      </c>
      <c r="Z908" s="441">
        <v>0</v>
      </c>
      <c r="AA908" s="441">
        <v>0</v>
      </c>
      <c r="AB908" s="441">
        <v>0</v>
      </c>
      <c r="AC908" s="443">
        <v>33000</v>
      </c>
      <c r="AD908" s="443">
        <v>33000</v>
      </c>
    </row>
    <row r="909" spans="1:35">
      <c r="F909" s="160"/>
      <c r="G909" s="16"/>
      <c r="H909" s="16"/>
      <c r="I909" s="16"/>
      <c r="J909" s="74"/>
      <c r="K909" s="10"/>
      <c r="L909" s="10"/>
      <c r="M909" s="88"/>
      <c r="N909" s="88"/>
      <c r="O909" s="88"/>
      <c r="P909" s="88"/>
      <c r="Q909" s="88"/>
      <c r="R909" s="88"/>
      <c r="S909" s="88"/>
      <c r="T909" s="88"/>
      <c r="U909" s="88"/>
      <c r="V909" s="88"/>
      <c r="W909" s="88"/>
      <c r="X909" s="88"/>
      <c r="Y909" s="410"/>
      <c r="Z909" s="438"/>
      <c r="AA909" s="438"/>
      <c r="AB909" s="438"/>
    </row>
    <row r="910" spans="1:35">
      <c r="C910" s="54"/>
      <c r="D910" s="54"/>
      <c r="E910" s="54" t="s">
        <v>2508</v>
      </c>
      <c r="F910" s="179"/>
      <c r="G910" s="222">
        <v>59340</v>
      </c>
      <c r="H910" s="222">
        <v>66000</v>
      </c>
      <c r="I910" s="222" t="s">
        <v>25</v>
      </c>
      <c r="J910" s="90" t="s">
        <v>1003</v>
      </c>
      <c r="K910" s="91"/>
      <c r="L910" s="91"/>
      <c r="M910" s="92"/>
      <c r="N910" s="92"/>
      <c r="O910" s="92"/>
      <c r="P910" s="92"/>
      <c r="Q910" s="92"/>
      <c r="R910" s="92"/>
      <c r="S910" s="92"/>
      <c r="T910" s="92"/>
      <c r="U910" s="92"/>
      <c r="V910" s="92"/>
      <c r="W910" s="92"/>
      <c r="X910" s="92"/>
      <c r="Y910" s="411"/>
      <c r="Z910" s="439"/>
      <c r="AA910" s="439"/>
      <c r="AB910" s="439"/>
    </row>
    <row r="911" spans="1:35">
      <c r="A911" s="145" t="s">
        <v>1</v>
      </c>
      <c r="B911" s="376" t="s">
        <v>529</v>
      </c>
      <c r="C911" s="27" t="s">
        <v>2</v>
      </c>
      <c r="D911" s="27" t="s">
        <v>2532</v>
      </c>
      <c r="E911" s="27" t="s">
        <v>2433</v>
      </c>
      <c r="F911" s="165"/>
      <c r="G911" s="15"/>
      <c r="H911" s="15"/>
      <c r="I911" s="15" t="s">
        <v>3</v>
      </c>
      <c r="J911" s="65" t="s">
        <v>120</v>
      </c>
    </row>
    <row r="912" spans="1:35">
      <c r="A912" s="470">
        <v>45780</v>
      </c>
      <c r="B912" s="376"/>
      <c r="C912" s="27">
        <v>231112</v>
      </c>
      <c r="D912" s="20" t="str">
        <f t="shared" si="436"/>
        <v>コーリツ 本社</v>
      </c>
      <c r="E912" s="20" t="str">
        <f t="shared" si="437"/>
        <v>NGUYEN VAN TRINH</v>
      </c>
      <c r="F912" s="20" t="str">
        <f t="shared" si="438"/>
        <v>グエン　ヴァン　チン</v>
      </c>
      <c r="G912" s="121"/>
      <c r="H912" s="121"/>
      <c r="I912" s="121">
        <v>16500</v>
      </c>
      <c r="J912" s="71" t="s">
        <v>557</v>
      </c>
      <c r="K912" s="11">
        <v>22000</v>
      </c>
      <c r="L912" s="11">
        <v>22000</v>
      </c>
      <c r="M912" s="81">
        <v>22000</v>
      </c>
      <c r="N912" s="81">
        <v>22000</v>
      </c>
      <c r="O912" s="130">
        <v>22000</v>
      </c>
      <c r="P912" s="130">
        <v>22000</v>
      </c>
      <c r="Q912" s="130">
        <v>16500</v>
      </c>
      <c r="R912" s="130">
        <v>16500</v>
      </c>
      <c r="S912" s="130">
        <v>16500</v>
      </c>
      <c r="T912" s="130">
        <v>16500</v>
      </c>
      <c r="U912" s="130">
        <v>16500</v>
      </c>
      <c r="V912" s="130">
        <v>16500</v>
      </c>
      <c r="W912" s="130">
        <v>16500</v>
      </c>
      <c r="X912" s="130">
        <v>20000</v>
      </c>
      <c r="AA912" s="444">
        <v>15435</v>
      </c>
      <c r="AB912" s="444">
        <v>16500</v>
      </c>
      <c r="AC912" s="444">
        <v>16500</v>
      </c>
      <c r="AD912" s="444">
        <v>16500</v>
      </c>
      <c r="AE912" s="444">
        <v>16500</v>
      </c>
      <c r="AF912" s="444">
        <v>16500</v>
      </c>
      <c r="AG912" s="444">
        <v>16500</v>
      </c>
      <c r="AH912" s="444">
        <v>16500</v>
      </c>
      <c r="AI912" s="444">
        <v>16500</v>
      </c>
    </row>
    <row r="913" spans="1:35">
      <c r="A913" s="145">
        <v>45303</v>
      </c>
      <c r="B913" s="376"/>
      <c r="C913" s="27">
        <v>231217</v>
      </c>
      <c r="D913" s="20" t="str">
        <f t="shared" ref="D913:D915" si="453">IF(C913="","",_xlfn.XLOOKUP(C913,社員№,派遣先,"",0,-1))</f>
        <v>コーリツ 本社</v>
      </c>
      <c r="E913" s="20" t="str">
        <f t="shared" ref="E913:E915" si="454">IF(C913="","",_xlfn.XLOOKUP(C913,社員№,氏名,"",0,-1))</f>
        <v>NGUYEN VAN CHIEU</v>
      </c>
      <c r="F913" s="20" t="str">
        <f t="shared" ref="F913:F915" si="455">IF(C913="","",_xlfn.XLOOKUP(C913,社員№,カナ,"",0,-1))</f>
        <v>グエン　ヴァン　チエウ</v>
      </c>
      <c r="G913" s="15"/>
      <c r="H913" s="15"/>
      <c r="I913" s="15">
        <v>16500</v>
      </c>
      <c r="J913" s="65" t="s">
        <v>557</v>
      </c>
      <c r="K913" s="11">
        <v>23970</v>
      </c>
      <c r="L913" s="11">
        <v>22000</v>
      </c>
      <c r="M913" s="81">
        <v>22000</v>
      </c>
      <c r="N913" s="81">
        <v>22000</v>
      </c>
      <c r="O913" s="130">
        <v>22000</v>
      </c>
      <c r="P913" s="130">
        <v>22000</v>
      </c>
      <c r="Q913" s="130">
        <v>16500</v>
      </c>
      <c r="R913" s="130">
        <v>16500</v>
      </c>
      <c r="S913" s="130">
        <v>16500</v>
      </c>
      <c r="T913" s="130">
        <v>16500</v>
      </c>
      <c r="U913" s="130">
        <v>16500</v>
      </c>
      <c r="V913" s="130">
        <v>16500</v>
      </c>
      <c r="W913" s="130">
        <v>16500</v>
      </c>
      <c r="X913" s="130">
        <v>22000</v>
      </c>
      <c r="Y913" s="408">
        <v>22000</v>
      </c>
      <c r="Z913" s="437">
        <v>22000</v>
      </c>
      <c r="AA913" s="437">
        <f t="shared" ref="AA913:AA915" si="456">1419+15435</f>
        <v>16854</v>
      </c>
      <c r="AB913" s="437">
        <v>16500</v>
      </c>
      <c r="AC913" s="444">
        <v>16500</v>
      </c>
      <c r="AD913" s="444">
        <v>16500</v>
      </c>
      <c r="AE913" s="444">
        <v>16500</v>
      </c>
      <c r="AF913" s="444">
        <v>16500</v>
      </c>
      <c r="AG913" s="444">
        <v>16500</v>
      </c>
      <c r="AH913" s="444">
        <v>16500</v>
      </c>
      <c r="AI913" s="444">
        <v>16500</v>
      </c>
    </row>
    <row r="914" spans="1:35">
      <c r="A914" s="145">
        <v>45474</v>
      </c>
      <c r="B914" s="376"/>
      <c r="C914" s="27">
        <v>230906</v>
      </c>
      <c r="D914" s="20" t="str">
        <f t="shared" si="453"/>
        <v>コーリツ 本社</v>
      </c>
      <c r="E914" s="20" t="str">
        <f t="shared" si="454"/>
        <v>NGUYEN DUC CHUNG</v>
      </c>
      <c r="F914" s="20" t="str">
        <f t="shared" si="455"/>
        <v>グエン　ドゥック　チュン</v>
      </c>
      <c r="G914" s="15"/>
      <c r="H914" s="15"/>
      <c r="I914" s="15">
        <v>16500</v>
      </c>
      <c r="J914" s="65" t="s">
        <v>557</v>
      </c>
      <c r="N914" s="82"/>
      <c r="O914" s="82"/>
      <c r="P914" s="82"/>
      <c r="Q914" s="82">
        <v>16500</v>
      </c>
      <c r="R914" s="82">
        <v>16500</v>
      </c>
      <c r="S914" s="82">
        <v>16500</v>
      </c>
      <c r="T914" s="82">
        <v>16500</v>
      </c>
      <c r="U914" s="82">
        <v>16500</v>
      </c>
      <c r="V914" s="82">
        <v>16500</v>
      </c>
      <c r="W914" s="82">
        <v>16500</v>
      </c>
      <c r="X914" s="82">
        <v>22000</v>
      </c>
      <c r="Y914" s="202">
        <v>22000</v>
      </c>
      <c r="Z914" s="446">
        <v>22000</v>
      </c>
      <c r="AA914" s="446">
        <f t="shared" si="456"/>
        <v>16854</v>
      </c>
      <c r="AB914" s="446">
        <v>16500</v>
      </c>
      <c r="AC914" s="444">
        <v>16500</v>
      </c>
      <c r="AD914" s="444">
        <v>16500</v>
      </c>
      <c r="AE914" s="444">
        <v>16500</v>
      </c>
      <c r="AF914" s="444">
        <v>16500</v>
      </c>
      <c r="AG914" s="444">
        <v>16500</v>
      </c>
      <c r="AH914" s="444">
        <v>16500</v>
      </c>
      <c r="AI914" s="444">
        <v>16500</v>
      </c>
    </row>
    <row r="915" spans="1:35">
      <c r="A915" s="153">
        <v>45752</v>
      </c>
      <c r="B915" s="380"/>
      <c r="C915" s="17">
        <v>210404</v>
      </c>
      <c r="D915" s="20" t="str">
        <f t="shared" si="453"/>
        <v>コーリツ 本社</v>
      </c>
      <c r="E915" s="20" t="str">
        <f t="shared" si="454"/>
        <v>NGUYEN KHAC TRUNG</v>
      </c>
      <c r="F915" s="20" t="str">
        <f t="shared" si="455"/>
        <v>グエン　カック　チュン</v>
      </c>
      <c r="G915" s="15"/>
      <c r="H915" s="15"/>
      <c r="I915" s="15">
        <v>16500</v>
      </c>
      <c r="J915" s="65"/>
      <c r="O915" s="81"/>
      <c r="P915" s="81"/>
      <c r="Q915" s="81"/>
      <c r="R915" s="81"/>
      <c r="S915" s="81"/>
      <c r="T915" s="81"/>
      <c r="U915" s="81"/>
      <c r="V915" s="81"/>
      <c r="W915" s="81"/>
      <c r="X915" s="81"/>
      <c r="Y915" s="413"/>
      <c r="Z915" s="441">
        <f>3333+18333</f>
        <v>21666</v>
      </c>
      <c r="AA915" s="441">
        <f t="shared" si="456"/>
        <v>16854</v>
      </c>
      <c r="AB915" s="441">
        <v>16500</v>
      </c>
      <c r="AC915" s="444">
        <v>16500</v>
      </c>
      <c r="AD915" s="444">
        <v>16500</v>
      </c>
      <c r="AE915" s="444">
        <v>16500</v>
      </c>
      <c r="AF915" s="444">
        <v>16500</v>
      </c>
      <c r="AG915" s="444">
        <v>16500</v>
      </c>
      <c r="AH915" s="444">
        <v>16500</v>
      </c>
      <c r="AI915" s="444">
        <v>16500</v>
      </c>
    </row>
    <row r="916" spans="1:35">
      <c r="A916" s="154"/>
      <c r="B916" s="381"/>
      <c r="C916" s="432"/>
      <c r="D916" s="389"/>
      <c r="E916" s="433"/>
      <c r="F916" s="434"/>
      <c r="G916" s="16"/>
      <c r="H916" s="16"/>
      <c r="I916" s="16"/>
      <c r="J916" s="74"/>
      <c r="K916" s="10"/>
      <c r="L916" s="10"/>
      <c r="M916" s="88"/>
      <c r="N916" s="88"/>
      <c r="O916" s="88"/>
      <c r="P916" s="88"/>
      <c r="Q916" s="88"/>
      <c r="R916" s="88"/>
      <c r="S916" s="88"/>
      <c r="T916" s="88"/>
      <c r="U916" s="88"/>
      <c r="V916" s="88"/>
      <c r="W916" s="88"/>
      <c r="X916" s="88"/>
      <c r="Y916" s="410"/>
      <c r="Z916" s="438"/>
      <c r="AA916" s="438"/>
      <c r="AB916" s="438"/>
      <c r="AG916" s="444"/>
    </row>
    <row r="917" spans="1:35">
      <c r="C917" s="54"/>
      <c r="D917" s="54"/>
      <c r="E917" s="54" t="s">
        <v>2509</v>
      </c>
      <c r="F917" s="179"/>
      <c r="G917" s="222">
        <v>49830</v>
      </c>
      <c r="H917" s="222">
        <v>52000</v>
      </c>
      <c r="I917" s="222" t="s">
        <v>584</v>
      </c>
      <c r="J917" s="90" t="s">
        <v>644</v>
      </c>
      <c r="K917" s="91"/>
      <c r="L917" s="91"/>
      <c r="M917" s="92"/>
      <c r="N917" s="92"/>
      <c r="O917" s="92"/>
      <c r="P917" s="92"/>
      <c r="Q917" s="92"/>
      <c r="R917" s="92"/>
      <c r="S917" s="92"/>
      <c r="T917" s="92"/>
      <c r="U917" s="92"/>
      <c r="V917" s="92"/>
      <c r="W917" s="92"/>
      <c r="X917" s="92"/>
      <c r="Y917" s="411"/>
      <c r="Z917" s="439"/>
      <c r="AA917" s="439"/>
      <c r="AB917" s="439"/>
    </row>
    <row r="918" spans="1:35">
      <c r="A918" s="145" t="s">
        <v>1</v>
      </c>
      <c r="B918" s="376" t="s">
        <v>529</v>
      </c>
      <c r="C918" s="27" t="s">
        <v>2</v>
      </c>
      <c r="D918" s="27" t="s">
        <v>2532</v>
      </c>
      <c r="E918" s="27" t="s">
        <v>2433</v>
      </c>
      <c r="F918" s="165"/>
      <c r="G918" s="15"/>
      <c r="H918" s="15"/>
      <c r="I918" s="15" t="s">
        <v>3</v>
      </c>
      <c r="J918" s="65"/>
    </row>
    <row r="919" spans="1:35" hidden="1">
      <c r="A919" s="152">
        <v>45474</v>
      </c>
      <c r="B919" s="382">
        <v>45657</v>
      </c>
      <c r="C919" s="143">
        <v>210404</v>
      </c>
      <c r="D919" s="20" t="str">
        <f t="shared" si="436"/>
        <v>コーリツ 本社</v>
      </c>
      <c r="E919" s="20" t="str">
        <f t="shared" si="437"/>
        <v>NGUYEN KHAC TRUNG</v>
      </c>
      <c r="F919" s="20" t="str">
        <f t="shared" si="438"/>
        <v>グエン　カック　チュン</v>
      </c>
      <c r="G919" s="121"/>
      <c r="H919" s="121"/>
      <c r="I919" s="121">
        <v>26000</v>
      </c>
      <c r="J919" s="71"/>
      <c r="Q919" s="133">
        <v>26000</v>
      </c>
      <c r="R919" s="133">
        <v>26000</v>
      </c>
      <c r="S919" s="133">
        <v>26000</v>
      </c>
      <c r="T919" s="133">
        <v>26000</v>
      </c>
      <c r="U919" s="133">
        <v>26000</v>
      </c>
      <c r="V919" s="133">
        <f>26000+20000</f>
        <v>46000</v>
      </c>
      <c r="W919" s="82">
        <v>0</v>
      </c>
      <c r="X919" s="82">
        <v>0</v>
      </c>
      <c r="Y919" s="202">
        <v>0</v>
      </c>
      <c r="Z919" s="446">
        <v>0</v>
      </c>
      <c r="AA919" s="446">
        <v>0</v>
      </c>
      <c r="AB919" s="446">
        <v>0</v>
      </c>
    </row>
    <row r="920" spans="1:35" hidden="1">
      <c r="A920" s="145">
        <v>45475</v>
      </c>
      <c r="B920" s="376">
        <v>45657</v>
      </c>
      <c r="C920" s="27">
        <v>210611</v>
      </c>
      <c r="D920" s="20" t="str">
        <f t="shared" ref="D920:D923" si="457">IF(C920="","",_xlfn.XLOOKUP(C920,社員№,派遣先,"",0,-1))</f>
        <v>コーリツ 本社</v>
      </c>
      <c r="E920" s="20" t="str">
        <f t="shared" ref="E920:E923" si="458">IF(C920="","",_xlfn.XLOOKUP(C920,社員№,氏名,"",0,-1))</f>
        <v>TRUONG DINH HUNG</v>
      </c>
      <c r="F920" s="20" t="str">
        <f t="shared" ref="F920:F923" si="459">IF(C920="","",_xlfn.XLOOKUP(C920,社員№,カナ,"",0,-1))</f>
        <v>トゥン　ディン　フン</v>
      </c>
      <c r="G920" s="15"/>
      <c r="H920" s="15"/>
      <c r="I920" s="15">
        <v>26000</v>
      </c>
      <c r="J920" s="65"/>
      <c r="O920" s="81"/>
      <c r="P920" s="81"/>
      <c r="Q920" s="82">
        <v>25161</v>
      </c>
      <c r="R920" s="82">
        <v>26000</v>
      </c>
      <c r="S920" s="82">
        <v>26000</v>
      </c>
      <c r="T920" s="82">
        <v>26000</v>
      </c>
      <c r="U920" s="82">
        <v>26000</v>
      </c>
      <c r="V920" s="82">
        <f>26000+20000</f>
        <v>46000</v>
      </c>
      <c r="W920" s="82">
        <v>0</v>
      </c>
      <c r="X920" s="82">
        <v>0</v>
      </c>
      <c r="Y920" s="202">
        <v>0</v>
      </c>
      <c r="Z920" s="446">
        <v>0</v>
      </c>
      <c r="AA920" s="446">
        <v>0</v>
      </c>
      <c r="AB920" s="446">
        <v>0</v>
      </c>
    </row>
    <row r="921" spans="1:35">
      <c r="A921" s="145">
        <v>45660</v>
      </c>
      <c r="B921" s="376"/>
      <c r="C921" s="27">
        <v>210305</v>
      </c>
      <c r="D921" s="20" t="str">
        <f t="shared" si="457"/>
        <v>コーリツ 本社</v>
      </c>
      <c r="E921" s="20" t="str">
        <f t="shared" si="458"/>
        <v>NGUYEN HOA HOAN</v>
      </c>
      <c r="F921" s="20" t="str">
        <f t="shared" si="459"/>
        <v>グエン　ホア　ホアン</v>
      </c>
      <c r="G921" s="15"/>
      <c r="H921" s="15"/>
      <c r="I921" s="15"/>
      <c r="J921" s="65"/>
      <c r="O921" s="81"/>
      <c r="P921" s="81"/>
      <c r="Q921" s="82"/>
      <c r="R921" s="82"/>
      <c r="S921" s="82"/>
      <c r="T921" s="82"/>
      <c r="U921" s="82"/>
      <c r="V921" s="82"/>
      <c r="W921" s="27">
        <f>2129+23484</f>
        <v>25613</v>
      </c>
      <c r="X921" s="27">
        <v>26000</v>
      </c>
      <c r="Y921" s="7">
        <v>26000</v>
      </c>
      <c r="Z921" s="448">
        <v>26000</v>
      </c>
      <c r="AA921" s="448">
        <v>26000</v>
      </c>
      <c r="AB921" s="448">
        <v>26000</v>
      </c>
      <c r="AC921" s="448">
        <v>26000</v>
      </c>
      <c r="AD921" s="448">
        <v>26000</v>
      </c>
      <c r="AE921" s="508">
        <v>26000</v>
      </c>
      <c r="AF921" s="508">
        <v>26000</v>
      </c>
      <c r="AG921" s="508">
        <v>26000</v>
      </c>
      <c r="AH921" s="508">
        <v>26000</v>
      </c>
      <c r="AI921" s="508">
        <v>26000</v>
      </c>
    </row>
    <row r="922" spans="1:35" hidden="1">
      <c r="A922" s="145">
        <v>45656</v>
      </c>
      <c r="B922" s="376">
        <v>45777</v>
      </c>
      <c r="C922" s="27">
        <v>250102</v>
      </c>
      <c r="D922" s="20" t="str">
        <f t="shared" si="457"/>
        <v>コーリツ 本社</v>
      </c>
      <c r="E922" s="20" t="str">
        <f t="shared" si="458"/>
        <v>NGUYEN HOANG LAM</v>
      </c>
      <c r="F922" s="20" t="str">
        <f t="shared" si="459"/>
        <v>グエン　ホアン　ラム</v>
      </c>
      <c r="G922" s="15"/>
      <c r="H922" s="15"/>
      <c r="I922" s="15"/>
      <c r="J922" s="65"/>
      <c r="O922" s="81"/>
      <c r="P922" s="81"/>
      <c r="Q922" s="82"/>
      <c r="R922" s="82"/>
      <c r="S922" s="82"/>
      <c r="T922" s="82"/>
      <c r="U922" s="82"/>
      <c r="V922" s="82">
        <v>0</v>
      </c>
      <c r="W922" s="82">
        <f>26000+1677</f>
        <v>27677</v>
      </c>
      <c r="X922" s="82">
        <v>26000</v>
      </c>
      <c r="Y922" s="202">
        <v>26000</v>
      </c>
      <c r="Z922" s="446">
        <f>26000+20000</f>
        <v>46000</v>
      </c>
      <c r="AA922" s="446">
        <v>0</v>
      </c>
      <c r="AB922" s="446">
        <v>0</v>
      </c>
      <c r="AC922" s="448">
        <v>0</v>
      </c>
    </row>
    <row r="923" spans="1:35">
      <c r="A923" s="145">
        <v>45782</v>
      </c>
      <c r="B923" s="376">
        <v>45808</v>
      </c>
      <c r="C923" s="27">
        <v>250402</v>
      </c>
      <c r="D923" s="20" t="str">
        <f t="shared" si="457"/>
        <v>コーリツ 本社</v>
      </c>
      <c r="E923" s="20" t="str">
        <f t="shared" si="458"/>
        <v>PHAM VAN BANG</v>
      </c>
      <c r="F923" s="20" t="str">
        <f t="shared" si="459"/>
        <v>ファム　ヴァン　バン</v>
      </c>
      <c r="G923" s="15"/>
      <c r="H923" s="15"/>
      <c r="I923" s="15"/>
      <c r="J923" s="65"/>
      <c r="O923" s="81"/>
      <c r="P923" s="81"/>
      <c r="Q923" s="81"/>
      <c r="R923" s="81"/>
      <c r="S923" s="81"/>
      <c r="T923" s="81"/>
      <c r="U923" s="81"/>
      <c r="V923" s="81"/>
      <c r="W923" s="81"/>
      <c r="X923" s="81"/>
      <c r="Y923" s="413">
        <v>26000</v>
      </c>
      <c r="Z923" s="441"/>
      <c r="AA923" s="441">
        <v>22645</v>
      </c>
      <c r="AB923" s="441">
        <v>26000</v>
      </c>
      <c r="AC923" s="448">
        <v>0</v>
      </c>
    </row>
    <row r="924" spans="1:35">
      <c r="F924" s="160"/>
      <c r="G924" s="16"/>
      <c r="H924" s="16"/>
      <c r="I924" s="16"/>
      <c r="J924" s="74"/>
      <c r="K924" s="10"/>
      <c r="L924" s="10"/>
      <c r="M924" s="88"/>
      <c r="N924" s="88"/>
      <c r="O924" s="88"/>
      <c r="P924" s="88"/>
      <c r="Q924" s="88"/>
      <c r="R924" s="88"/>
      <c r="S924" s="88"/>
      <c r="T924" s="88"/>
      <c r="U924" s="88"/>
      <c r="V924" s="88"/>
      <c r="W924" s="88"/>
      <c r="X924" s="88"/>
      <c r="Y924" s="410"/>
      <c r="Z924" s="438"/>
      <c r="AA924" s="438"/>
      <c r="AB924" s="438"/>
    </row>
    <row r="925" spans="1:35">
      <c r="C925" s="54"/>
      <c r="D925" s="54"/>
      <c r="E925" s="54" t="s">
        <v>423</v>
      </c>
      <c r="F925" s="179"/>
      <c r="G925" s="222">
        <v>55825</v>
      </c>
      <c r="H925" s="222">
        <v>60000</v>
      </c>
      <c r="I925" s="222" t="s">
        <v>598</v>
      </c>
      <c r="J925" s="74"/>
      <c r="K925" s="10"/>
      <c r="L925" s="10"/>
      <c r="M925" s="88"/>
      <c r="N925" s="88"/>
      <c r="O925" s="88"/>
      <c r="P925" s="88"/>
      <c r="Q925" s="88"/>
      <c r="R925" s="88"/>
      <c r="S925" s="88"/>
      <c r="T925" s="88"/>
      <c r="U925" s="88"/>
      <c r="V925" s="88"/>
      <c r="W925" s="88"/>
      <c r="X925" s="88"/>
      <c r="Y925" s="410"/>
      <c r="Z925" s="438"/>
      <c r="AA925" s="438"/>
      <c r="AB925" s="438"/>
    </row>
    <row r="926" spans="1:35">
      <c r="A926" s="145" t="s">
        <v>1</v>
      </c>
      <c r="B926" s="376" t="s">
        <v>529</v>
      </c>
      <c r="C926" s="27" t="s">
        <v>2</v>
      </c>
      <c r="D926" s="27" t="s">
        <v>2532</v>
      </c>
      <c r="E926" s="27" t="s">
        <v>2433</v>
      </c>
      <c r="F926" s="165"/>
      <c r="G926" s="103"/>
      <c r="H926" s="103"/>
      <c r="I926" s="103" t="s">
        <v>3</v>
      </c>
      <c r="J926" s="90"/>
      <c r="K926" s="91"/>
      <c r="L926" s="91"/>
      <c r="M926" s="92"/>
      <c r="N926" s="92"/>
      <c r="O926" s="92"/>
      <c r="P926" s="92"/>
      <c r="Q926" s="92"/>
      <c r="R926" s="92"/>
      <c r="S926" s="92"/>
      <c r="T926" s="92"/>
      <c r="U926" s="92"/>
      <c r="V926" s="92"/>
      <c r="W926" s="92"/>
      <c r="X926" s="92"/>
      <c r="Y926" s="411"/>
      <c r="Z926" s="439"/>
      <c r="AA926" s="439"/>
      <c r="AB926" s="439"/>
    </row>
    <row r="927" spans="1:35" hidden="1">
      <c r="A927" s="145">
        <v>45362</v>
      </c>
      <c r="B927" s="376">
        <v>45596</v>
      </c>
      <c r="C927" s="20">
        <v>220315</v>
      </c>
      <c r="D927" s="20" t="str">
        <f t="shared" si="436"/>
        <v>コーリツ 乙川</v>
      </c>
      <c r="E927" s="20" t="str">
        <f t="shared" si="437"/>
        <v>VU VAN NGHIA</v>
      </c>
      <c r="F927" s="20" t="str">
        <f t="shared" si="438"/>
        <v>ヴー　ヴァン　ギエ</v>
      </c>
      <c r="G927" s="15"/>
      <c r="H927" s="15"/>
      <c r="I927" s="15">
        <v>30000</v>
      </c>
      <c r="J927" s="65"/>
      <c r="M927" s="84">
        <v>20323</v>
      </c>
      <c r="N927" s="84">
        <v>30000</v>
      </c>
      <c r="O927" s="84">
        <v>30000</v>
      </c>
      <c r="P927" s="84">
        <v>30000</v>
      </c>
      <c r="Q927" s="84">
        <v>30000</v>
      </c>
      <c r="R927" s="84">
        <v>30000</v>
      </c>
      <c r="S927" s="84">
        <v>30000</v>
      </c>
      <c r="T927" s="84">
        <v>30000</v>
      </c>
      <c r="U927" s="84">
        <v>30000</v>
      </c>
      <c r="V927" s="387">
        <v>-10000</v>
      </c>
      <c r="W927" s="392">
        <v>0</v>
      </c>
      <c r="X927" s="392">
        <v>0</v>
      </c>
      <c r="Y927" s="425">
        <v>0</v>
      </c>
      <c r="Z927" s="459">
        <v>0</v>
      </c>
      <c r="AA927" s="459">
        <v>0</v>
      </c>
      <c r="AB927" s="459">
        <v>0</v>
      </c>
      <c r="AC927" s="475"/>
    </row>
    <row r="928" spans="1:35" hidden="1">
      <c r="A928" s="145">
        <v>45536</v>
      </c>
      <c r="B928" s="376">
        <v>45566</v>
      </c>
      <c r="C928" s="27">
        <v>230802</v>
      </c>
      <c r="D928" s="20" t="str">
        <f t="shared" ref="D928:D930" si="460">IF(C928="","",_xlfn.XLOOKUP(C928,社員№,派遣先,"",0,-1))</f>
        <v>コーリツ 本社</v>
      </c>
      <c r="E928" s="20" t="str">
        <f t="shared" ref="E928:E930" si="461">IF(C928="","",_xlfn.XLOOKUP(C928,社員№,氏名,"",0,-1))</f>
        <v>LE NHI</v>
      </c>
      <c r="F928" s="20" t="str">
        <f t="shared" ref="F928:F930" si="462">IF(C928="","",_xlfn.XLOOKUP(C928,社員№,カナ,"",0,-1))</f>
        <v>レー　ニー</v>
      </c>
      <c r="G928" s="15"/>
      <c r="H928" s="15"/>
      <c r="I928" s="15">
        <v>30000</v>
      </c>
      <c r="J928" s="65"/>
      <c r="M928" s="84"/>
      <c r="N928" s="84"/>
      <c r="O928" s="84"/>
      <c r="P928" s="84"/>
      <c r="Q928" s="84"/>
      <c r="R928" s="84"/>
      <c r="S928" s="84">
        <v>30000</v>
      </c>
      <c r="T928" s="84">
        <v>0</v>
      </c>
      <c r="U928" s="84">
        <v>0</v>
      </c>
      <c r="V928" s="84">
        <v>0</v>
      </c>
      <c r="W928" s="84">
        <v>0</v>
      </c>
      <c r="X928" s="84">
        <v>0</v>
      </c>
      <c r="Y928" s="414">
        <v>0</v>
      </c>
      <c r="Z928" s="443">
        <v>0</v>
      </c>
      <c r="AA928" s="443">
        <v>0</v>
      </c>
      <c r="AB928" s="443">
        <v>0</v>
      </c>
    </row>
    <row r="929" spans="1:35">
      <c r="A929" s="145">
        <v>45598</v>
      </c>
      <c r="B929" s="376"/>
      <c r="C929" s="27">
        <v>240505</v>
      </c>
      <c r="D929" s="20" t="str">
        <f t="shared" si="460"/>
        <v>コーリツ 乙川</v>
      </c>
      <c r="E929" s="20" t="str">
        <f t="shared" si="461"/>
        <v>VU VAN SON</v>
      </c>
      <c r="F929" s="20" t="str">
        <f t="shared" si="462"/>
        <v>ヴ　ヴァン　ソン</v>
      </c>
      <c r="G929" s="15"/>
      <c r="H929" s="15"/>
      <c r="I929" s="15"/>
      <c r="J929" s="65"/>
      <c r="M929" s="84"/>
      <c r="N929" s="84"/>
      <c r="O929" s="84"/>
      <c r="P929" s="84"/>
      <c r="Q929" s="84"/>
      <c r="R929" s="84"/>
      <c r="S929" s="84"/>
      <c r="T929" s="84"/>
      <c r="U929" s="84">
        <v>30000</v>
      </c>
      <c r="V929" s="84">
        <v>30000</v>
      </c>
      <c r="W929" s="84">
        <v>30000</v>
      </c>
      <c r="X929" s="84">
        <v>30000</v>
      </c>
      <c r="Y929" s="414">
        <v>30000</v>
      </c>
      <c r="Z929" s="443">
        <v>30000</v>
      </c>
      <c r="AA929" s="443">
        <v>30000</v>
      </c>
      <c r="AB929" s="443">
        <v>30000</v>
      </c>
      <c r="AC929" s="443">
        <v>30000</v>
      </c>
      <c r="AD929" s="443">
        <v>30000</v>
      </c>
      <c r="AE929" s="493">
        <v>30000</v>
      </c>
      <c r="AF929" s="493">
        <v>30000</v>
      </c>
      <c r="AG929" s="493">
        <v>30000</v>
      </c>
      <c r="AH929" s="493">
        <v>30000</v>
      </c>
      <c r="AI929" s="493">
        <v>30000</v>
      </c>
    </row>
    <row r="930" spans="1:35">
      <c r="A930" s="145">
        <v>45632</v>
      </c>
      <c r="B930" s="376"/>
      <c r="C930" s="27">
        <v>241203</v>
      </c>
      <c r="D930" s="20" t="str">
        <f t="shared" si="460"/>
        <v>コーリツ 乙川</v>
      </c>
      <c r="E930" s="20" t="str">
        <f t="shared" si="461"/>
        <v>DAU VAN TRONG</v>
      </c>
      <c r="F930" s="20" t="str">
        <f t="shared" si="462"/>
        <v>ダウ　ヴァン　チョン</v>
      </c>
      <c r="G930" s="15"/>
      <c r="H930" s="15"/>
      <c r="I930" s="15"/>
      <c r="J930" s="65"/>
      <c r="M930" s="84"/>
      <c r="N930" s="84"/>
      <c r="O930" s="84"/>
      <c r="P930" s="84"/>
      <c r="Q930" s="84"/>
      <c r="R930" s="84"/>
      <c r="S930" s="84"/>
      <c r="T930" s="84"/>
      <c r="U930" s="84"/>
      <c r="V930" s="84">
        <v>25161</v>
      </c>
      <c r="W930" s="84">
        <v>30000</v>
      </c>
      <c r="X930" s="84">
        <v>30000</v>
      </c>
      <c r="Y930" s="414">
        <v>30000</v>
      </c>
      <c r="Z930" s="443">
        <v>30000</v>
      </c>
      <c r="AA930" s="443">
        <v>30000</v>
      </c>
      <c r="AB930" s="443">
        <v>30000</v>
      </c>
      <c r="AC930" s="443">
        <v>30000</v>
      </c>
      <c r="AD930" s="443">
        <v>30000</v>
      </c>
      <c r="AE930" s="493">
        <v>30000</v>
      </c>
      <c r="AF930" s="493">
        <v>30000</v>
      </c>
      <c r="AG930" s="493">
        <v>30000</v>
      </c>
      <c r="AH930" s="493">
        <v>30000</v>
      </c>
      <c r="AI930" s="493">
        <v>30000</v>
      </c>
    </row>
    <row r="931" spans="1:35">
      <c r="D931" s="406"/>
      <c r="E931" s="205"/>
      <c r="F931" s="206"/>
      <c r="G931" s="16"/>
      <c r="H931" s="16"/>
      <c r="I931" s="16"/>
      <c r="J931" s="90"/>
      <c r="K931" s="91"/>
      <c r="L931" s="91"/>
      <c r="M931" s="407"/>
      <c r="N931" s="407"/>
      <c r="O931" s="407"/>
      <c r="P931" s="407"/>
      <c r="Q931" s="407"/>
      <c r="R931" s="407"/>
      <c r="S931" s="407"/>
      <c r="T931" s="407"/>
      <c r="U931" s="407"/>
      <c r="V931" s="407"/>
      <c r="W931" s="407"/>
      <c r="X931" s="407"/>
      <c r="Y931" s="426"/>
      <c r="Z931" s="460"/>
      <c r="AA931" s="460"/>
      <c r="AB931" s="460"/>
    </row>
    <row r="932" spans="1:35">
      <c r="A932" s="147"/>
      <c r="C932" s="31"/>
      <c r="D932" s="31"/>
      <c r="E932" s="31" t="s">
        <v>15</v>
      </c>
      <c r="F932" s="167"/>
      <c r="G932" s="210">
        <v>45000</v>
      </c>
      <c r="H932" s="210">
        <v>45000</v>
      </c>
      <c r="I932" s="210" t="s">
        <v>584</v>
      </c>
      <c r="J932" s="90"/>
      <c r="K932" s="91"/>
      <c r="L932" s="91"/>
      <c r="M932" s="92"/>
      <c r="N932" s="92"/>
      <c r="O932" s="92"/>
      <c r="P932" s="92"/>
      <c r="Q932" s="92"/>
      <c r="R932" s="92"/>
      <c r="S932" s="92"/>
      <c r="T932" s="92"/>
      <c r="U932" s="92"/>
      <c r="V932" s="92"/>
      <c r="W932" s="92"/>
      <c r="X932" s="92"/>
      <c r="Y932" s="411"/>
      <c r="Z932" s="439"/>
      <c r="AA932" s="439"/>
      <c r="AB932" s="439"/>
    </row>
    <row r="933" spans="1:35">
      <c r="A933" s="148" t="s">
        <v>1</v>
      </c>
      <c r="B933" s="377" t="s">
        <v>529</v>
      </c>
      <c r="C933" s="27" t="s">
        <v>2</v>
      </c>
      <c r="D933" s="27" t="s">
        <v>2532</v>
      </c>
      <c r="E933" s="27" t="s">
        <v>2433</v>
      </c>
      <c r="F933" s="165"/>
      <c r="G933" s="11"/>
      <c r="H933" s="11"/>
      <c r="I933" s="11" t="s">
        <v>3</v>
      </c>
      <c r="J933" s="65" t="s">
        <v>121</v>
      </c>
    </row>
    <row r="934" spans="1:35">
      <c r="A934" s="148">
        <v>44743</v>
      </c>
      <c r="B934" s="377"/>
      <c r="C934" s="27">
        <v>210507</v>
      </c>
      <c r="D934" s="20" t="str">
        <f t="shared" si="436"/>
        <v>瑞陵精機</v>
      </c>
      <c r="E934" s="20" t="str">
        <f t="shared" si="437"/>
        <v>VI VAN NHI</v>
      </c>
      <c r="F934" s="20" t="str">
        <f t="shared" si="438"/>
        <v>ヴィ　バン　ニィ</v>
      </c>
      <c r="G934" s="4"/>
      <c r="H934" s="4"/>
      <c r="I934" s="4">
        <v>45000</v>
      </c>
      <c r="J934" s="69" t="s">
        <v>116</v>
      </c>
      <c r="K934" s="11">
        <v>45000</v>
      </c>
      <c r="L934" s="11">
        <v>45000</v>
      </c>
      <c r="M934" s="81">
        <v>45000</v>
      </c>
      <c r="N934" s="81">
        <v>45000</v>
      </c>
      <c r="O934" s="130">
        <v>45000</v>
      </c>
      <c r="P934" s="130">
        <v>45000</v>
      </c>
      <c r="Q934" s="130">
        <v>45000</v>
      </c>
      <c r="R934" s="130">
        <v>45000</v>
      </c>
      <c r="S934" s="130">
        <v>45000</v>
      </c>
      <c r="T934" s="130">
        <v>45000</v>
      </c>
      <c r="U934" s="130">
        <v>45000</v>
      </c>
      <c r="V934" s="130">
        <v>45000</v>
      </c>
      <c r="W934" s="130">
        <v>45000</v>
      </c>
      <c r="X934" s="130">
        <v>45000</v>
      </c>
      <c r="Y934" s="408">
        <v>45000</v>
      </c>
      <c r="Z934" s="437">
        <v>45000</v>
      </c>
      <c r="AA934" s="437">
        <v>45000</v>
      </c>
      <c r="AB934" s="437">
        <v>45000</v>
      </c>
      <c r="AC934" s="437">
        <v>45000</v>
      </c>
      <c r="AD934" s="437">
        <v>45000</v>
      </c>
      <c r="AE934" s="437">
        <v>45000</v>
      </c>
      <c r="AF934" s="437">
        <v>45000</v>
      </c>
      <c r="AG934" s="437">
        <v>45000</v>
      </c>
      <c r="AH934" s="437">
        <v>45000</v>
      </c>
      <c r="AI934" s="437">
        <v>45000</v>
      </c>
    </row>
    <row r="935" spans="1:35">
      <c r="A935" s="147"/>
      <c r="F935" s="160"/>
      <c r="G935" s="10"/>
      <c r="H935" s="10"/>
      <c r="I935" s="10"/>
      <c r="J935" s="74"/>
      <c r="K935" s="10"/>
      <c r="L935" s="10"/>
      <c r="M935" s="88"/>
      <c r="N935" s="88"/>
      <c r="O935" s="88"/>
      <c r="P935" s="88"/>
      <c r="Q935" s="88"/>
      <c r="R935" s="88"/>
      <c r="S935" s="88"/>
      <c r="T935" s="88"/>
      <c r="U935" s="88"/>
      <c r="V935" s="88"/>
      <c r="W935" s="88"/>
      <c r="X935" s="88"/>
      <c r="Y935" s="410"/>
      <c r="Z935" s="438"/>
      <c r="AA935" s="438"/>
      <c r="AB935" s="438"/>
    </row>
    <row r="936" spans="1:35">
      <c r="A936" s="147"/>
      <c r="C936" s="31"/>
      <c r="D936" s="31"/>
      <c r="E936" s="31" t="s">
        <v>2510</v>
      </c>
      <c r="F936" s="167"/>
      <c r="G936" s="210">
        <v>50000</v>
      </c>
      <c r="H936" s="210">
        <v>50000</v>
      </c>
      <c r="I936" s="210" t="s">
        <v>574</v>
      </c>
      <c r="J936" s="74"/>
      <c r="K936" s="10"/>
      <c r="L936" s="10"/>
      <c r="M936" s="88"/>
      <c r="N936" s="88"/>
      <c r="O936" s="88"/>
      <c r="P936" s="88"/>
      <c r="Q936" s="88"/>
      <c r="R936" s="88"/>
      <c r="S936" s="88"/>
      <c r="T936" s="88"/>
      <c r="U936" s="88"/>
      <c r="V936" s="88"/>
      <c r="W936" s="88"/>
      <c r="X936" s="88"/>
      <c r="Y936" s="410"/>
      <c r="Z936" s="438"/>
      <c r="AA936" s="438"/>
      <c r="AB936" s="438"/>
    </row>
    <row r="937" spans="1:35">
      <c r="A937" s="148" t="s">
        <v>1</v>
      </c>
      <c r="B937" s="377" t="s">
        <v>529</v>
      </c>
      <c r="C937" s="27" t="s">
        <v>2</v>
      </c>
      <c r="D937" s="27" t="s">
        <v>2532</v>
      </c>
      <c r="E937" s="27" t="s">
        <v>2433</v>
      </c>
      <c r="F937" s="165"/>
      <c r="G937" s="22"/>
      <c r="H937" s="22"/>
      <c r="I937" s="22" t="s">
        <v>3</v>
      </c>
      <c r="J937" s="90"/>
      <c r="K937" s="91"/>
      <c r="L937" s="91"/>
      <c r="M937" s="92"/>
      <c r="N937" s="92"/>
      <c r="O937" s="92"/>
      <c r="P937" s="92"/>
      <c r="Q937" s="92"/>
      <c r="R937" s="92"/>
      <c r="S937" s="92"/>
      <c r="T937" s="92"/>
      <c r="U937" s="92"/>
      <c r="V937" s="92"/>
      <c r="W937" s="92"/>
      <c r="X937" s="92"/>
      <c r="Y937" s="411"/>
      <c r="Z937" s="439"/>
      <c r="AA937" s="439"/>
      <c r="AB937" s="439"/>
    </row>
    <row r="938" spans="1:35">
      <c r="A938" s="148">
        <v>44412</v>
      </c>
      <c r="B938" s="377"/>
      <c r="C938" s="27">
        <v>210811</v>
      </c>
      <c r="D938" s="20" t="str">
        <f t="shared" si="436"/>
        <v>瑞陵精機</v>
      </c>
      <c r="E938" s="20" t="str">
        <f t="shared" si="437"/>
        <v>LE DOAN ANH</v>
      </c>
      <c r="F938" s="20" t="str">
        <f t="shared" si="438"/>
        <v>レー　ドアン　アン</v>
      </c>
      <c r="G938" s="11"/>
      <c r="H938" s="11"/>
      <c r="I938" s="11">
        <v>25000</v>
      </c>
      <c r="J938" s="65"/>
      <c r="K938" s="11">
        <v>25000</v>
      </c>
      <c r="L938" s="11">
        <v>25000</v>
      </c>
      <c r="M938" s="81">
        <v>25000</v>
      </c>
      <c r="N938" s="81">
        <v>25000</v>
      </c>
      <c r="O938" s="130">
        <v>25000</v>
      </c>
      <c r="P938" s="130">
        <v>25000</v>
      </c>
      <c r="Q938" s="130">
        <v>25000</v>
      </c>
      <c r="R938" s="130">
        <v>25000</v>
      </c>
      <c r="S938" s="130">
        <v>25000</v>
      </c>
      <c r="T938" s="130">
        <v>25000</v>
      </c>
      <c r="U938" s="130">
        <v>25000</v>
      </c>
      <c r="V938" s="130">
        <v>25000</v>
      </c>
      <c r="W938" s="130">
        <v>25000</v>
      </c>
      <c r="X938" s="130">
        <v>25000</v>
      </c>
      <c r="Y938" s="408">
        <v>25000</v>
      </c>
      <c r="Z938" s="437">
        <v>25000</v>
      </c>
      <c r="AA938" s="437">
        <v>25000</v>
      </c>
      <c r="AB938" s="437">
        <v>25000</v>
      </c>
      <c r="AC938" s="437">
        <v>25000</v>
      </c>
      <c r="AD938" s="437">
        <v>25000</v>
      </c>
      <c r="AE938" s="437">
        <v>25000</v>
      </c>
      <c r="AF938" s="437">
        <v>25000</v>
      </c>
      <c r="AG938" s="437">
        <v>25000</v>
      </c>
      <c r="AH938" s="437">
        <v>25000</v>
      </c>
      <c r="AI938" s="437">
        <v>25000</v>
      </c>
    </row>
    <row r="939" spans="1:35">
      <c r="A939" s="145">
        <v>44837</v>
      </c>
      <c r="B939" s="376"/>
      <c r="C939" s="27">
        <v>221005</v>
      </c>
      <c r="D939" s="20" t="str">
        <f t="shared" ref="D939" si="463">IF(C939="","",_xlfn.XLOOKUP(C939,社員№,派遣先,"",0,-1))</f>
        <v>瑞陵精機</v>
      </c>
      <c r="E939" s="20" t="str">
        <f t="shared" ref="E939" si="464">IF(C939="","",_xlfn.XLOOKUP(C939,社員№,氏名,"",0,-1))</f>
        <v>NGUYEN TAT DIEP</v>
      </c>
      <c r="F939" s="20" t="str">
        <f t="shared" ref="F939" si="465">IF(C939="","",_xlfn.XLOOKUP(C939,社員№,カナ,"",0,-1))</f>
        <v>グエン　タット　デイエップ</v>
      </c>
      <c r="G939" s="11"/>
      <c r="H939" s="11"/>
      <c r="I939" s="11">
        <v>25000</v>
      </c>
      <c r="J939" s="65"/>
      <c r="K939" s="11">
        <v>25000</v>
      </c>
      <c r="L939" s="11">
        <v>25000</v>
      </c>
      <c r="M939" s="81">
        <v>25000</v>
      </c>
      <c r="N939" s="81">
        <v>25000</v>
      </c>
      <c r="O939" s="130">
        <v>25000</v>
      </c>
      <c r="P939" s="130">
        <v>25000</v>
      </c>
      <c r="Q939" s="130">
        <v>25000</v>
      </c>
      <c r="R939" s="130">
        <v>25000</v>
      </c>
      <c r="S939" s="130">
        <v>25000</v>
      </c>
      <c r="T939" s="130">
        <v>25000</v>
      </c>
      <c r="U939" s="130">
        <v>25000</v>
      </c>
      <c r="V939" s="130">
        <v>25000</v>
      </c>
      <c r="W939" s="130">
        <v>25000</v>
      </c>
      <c r="X939" s="130">
        <v>25000</v>
      </c>
      <c r="Y939" s="408">
        <v>25000</v>
      </c>
      <c r="Z939" s="437">
        <v>25000</v>
      </c>
      <c r="AA939" s="437">
        <v>25000</v>
      </c>
      <c r="AB939" s="437">
        <v>25000</v>
      </c>
      <c r="AC939" s="437">
        <v>25000</v>
      </c>
      <c r="AD939" s="437">
        <v>25000</v>
      </c>
      <c r="AE939" s="437">
        <v>25000</v>
      </c>
      <c r="AF939" s="437">
        <v>25000</v>
      </c>
      <c r="AG939" s="437">
        <v>25000</v>
      </c>
      <c r="AH939" s="437">
        <v>25000</v>
      </c>
      <c r="AI939" s="437">
        <v>25000</v>
      </c>
    </row>
    <row r="940" spans="1:35">
      <c r="A940" s="147"/>
      <c r="F940" s="160"/>
      <c r="G940" s="10"/>
      <c r="H940" s="10"/>
      <c r="I940" s="10"/>
      <c r="J940" s="74"/>
      <c r="K940" s="10"/>
      <c r="L940" s="10"/>
      <c r="M940" s="88"/>
      <c r="N940" s="88"/>
      <c r="O940" s="88"/>
      <c r="P940" s="88"/>
      <c r="Q940" s="88"/>
      <c r="R940" s="88"/>
      <c r="S940" s="88"/>
      <c r="T940" s="88"/>
      <c r="U940" s="88"/>
      <c r="V940" s="88"/>
      <c r="W940" s="88"/>
      <c r="X940" s="88"/>
      <c r="Y940" s="410"/>
      <c r="Z940" s="438"/>
      <c r="AA940" s="438"/>
      <c r="AB940" s="438"/>
    </row>
    <row r="941" spans="1:35">
      <c r="A941" s="147"/>
      <c r="C941" s="31"/>
      <c r="D941" s="31"/>
      <c r="E941" s="31" t="s">
        <v>2511</v>
      </c>
      <c r="F941" s="167"/>
      <c r="G941" s="210">
        <v>42000</v>
      </c>
      <c r="H941" s="210">
        <v>50000</v>
      </c>
      <c r="I941" s="210" t="s">
        <v>584</v>
      </c>
      <c r="J941" s="74" t="s">
        <v>1001</v>
      </c>
      <c r="K941" s="10"/>
      <c r="L941" s="10"/>
      <c r="M941" s="88"/>
      <c r="N941" s="88"/>
      <c r="O941" s="88"/>
      <c r="P941" s="88"/>
      <c r="Q941" s="88"/>
      <c r="R941" s="88"/>
      <c r="S941" s="88"/>
      <c r="T941" s="88"/>
      <c r="U941" s="88"/>
      <c r="V941" s="88"/>
      <c r="W941" s="88"/>
      <c r="X941" s="88"/>
      <c r="Y941" s="410"/>
      <c r="Z941" s="438"/>
      <c r="AA941" s="438"/>
      <c r="AB941" s="438"/>
    </row>
    <row r="942" spans="1:35">
      <c r="A942" s="148" t="s">
        <v>1</v>
      </c>
      <c r="B942" s="377" t="s">
        <v>529</v>
      </c>
      <c r="C942" s="27" t="s">
        <v>2</v>
      </c>
      <c r="D942" s="27" t="s">
        <v>2532</v>
      </c>
      <c r="E942" s="27" t="s">
        <v>2433</v>
      </c>
      <c r="F942" s="165"/>
      <c r="G942" s="22"/>
      <c r="H942" s="22"/>
      <c r="I942" s="22" t="s">
        <v>3</v>
      </c>
      <c r="J942" s="90"/>
      <c r="K942" s="91"/>
      <c r="L942" s="91"/>
      <c r="M942" s="92"/>
      <c r="N942" s="92"/>
      <c r="O942" s="92"/>
      <c r="P942" s="92"/>
      <c r="Q942" s="92"/>
      <c r="R942" s="92"/>
      <c r="S942" s="92"/>
      <c r="T942" s="92"/>
      <c r="U942" s="92"/>
      <c r="V942" s="92"/>
      <c r="W942" s="92"/>
      <c r="X942" s="92"/>
      <c r="Y942" s="411"/>
      <c r="Z942" s="439"/>
      <c r="AA942" s="439"/>
      <c r="AB942" s="439"/>
    </row>
    <row r="943" spans="1:35" hidden="1">
      <c r="A943" s="148">
        <v>44750</v>
      </c>
      <c r="B943" s="377">
        <v>45657</v>
      </c>
      <c r="C943" s="27">
        <v>220705</v>
      </c>
      <c r="D943" s="20" t="str">
        <f t="shared" si="436"/>
        <v>瑞陵精機</v>
      </c>
      <c r="E943" s="20" t="str">
        <f t="shared" si="437"/>
        <v>NGUYEN PHAN BANG</v>
      </c>
      <c r="F943" s="20" t="str">
        <f t="shared" si="438"/>
        <v>グエン　ファン　バン</v>
      </c>
      <c r="G943" s="12"/>
      <c r="H943" s="12"/>
      <c r="I943" s="12">
        <v>25000</v>
      </c>
      <c r="J943" s="69" t="s">
        <v>117</v>
      </c>
      <c r="K943" s="11">
        <v>25000</v>
      </c>
      <c r="L943" s="11">
        <v>25000</v>
      </c>
      <c r="M943" s="81">
        <v>25000</v>
      </c>
      <c r="N943" s="81">
        <v>25000</v>
      </c>
      <c r="O943" s="130">
        <v>25000</v>
      </c>
      <c r="P943" s="130">
        <v>25000</v>
      </c>
      <c r="Q943" s="130">
        <v>25000</v>
      </c>
      <c r="R943" s="130">
        <v>25000</v>
      </c>
      <c r="S943" s="130">
        <v>25000</v>
      </c>
      <c r="T943" s="130">
        <v>25000</v>
      </c>
      <c r="U943" s="130">
        <v>25000</v>
      </c>
      <c r="V943" s="130">
        <f>25000+20000</f>
        <v>45000</v>
      </c>
      <c r="W943" s="130">
        <v>0</v>
      </c>
      <c r="X943" s="130">
        <v>0</v>
      </c>
      <c r="Y943" s="408">
        <v>0</v>
      </c>
      <c r="Z943" s="437">
        <v>0</v>
      </c>
      <c r="AA943" s="437">
        <v>0</v>
      </c>
      <c r="AB943" s="437">
        <v>0</v>
      </c>
    </row>
    <row r="944" spans="1:35" hidden="1">
      <c r="A944" s="145">
        <v>45165</v>
      </c>
      <c r="B944" s="376">
        <v>45726</v>
      </c>
      <c r="C944" s="27">
        <v>230715</v>
      </c>
      <c r="D944" s="20" t="str">
        <f t="shared" ref="D944:D947" si="466">IF(C944="","",_xlfn.XLOOKUP(C944,社員№,派遣先,"",0,-1))</f>
        <v>瑞陵精機</v>
      </c>
      <c r="E944" s="20" t="str">
        <f t="shared" ref="E944:E947" si="467">IF(C944="","",_xlfn.XLOOKUP(C944,社員№,氏名,"",0,-1))</f>
        <v>NGUYEN THANH LONG</v>
      </c>
      <c r="F944" s="20" t="str">
        <f t="shared" ref="F944:F947" si="468">IF(C944="","",_xlfn.XLOOKUP(C944,社員№,カナ,"",0,-1))</f>
        <v>グエン　タイン　ロン</v>
      </c>
      <c r="G944" s="12"/>
      <c r="H944" s="12"/>
      <c r="I944" s="12">
        <v>25000</v>
      </c>
      <c r="J944" s="69"/>
      <c r="K944" s="11">
        <v>25000</v>
      </c>
      <c r="L944" s="11">
        <v>25000</v>
      </c>
      <c r="M944" s="81">
        <v>25000</v>
      </c>
      <c r="N944" s="81">
        <v>25000</v>
      </c>
      <c r="O944" s="130">
        <v>25000</v>
      </c>
      <c r="P944" s="130">
        <v>25000</v>
      </c>
      <c r="Q944" s="130">
        <v>25000</v>
      </c>
      <c r="R944" s="130">
        <v>25000</v>
      </c>
      <c r="S944" s="130">
        <v>25000</v>
      </c>
      <c r="T944" s="130">
        <v>25000</v>
      </c>
      <c r="U944" s="130">
        <v>25000</v>
      </c>
      <c r="V944" s="130">
        <v>25000</v>
      </c>
      <c r="W944" s="130">
        <v>25000</v>
      </c>
      <c r="X944" s="130">
        <v>25000</v>
      </c>
      <c r="Y944" s="408">
        <f>12500+20000</f>
        <v>32500</v>
      </c>
      <c r="Z944" s="437">
        <v>0</v>
      </c>
      <c r="AA944" s="437">
        <v>0</v>
      </c>
      <c r="AB944" s="437">
        <v>0</v>
      </c>
      <c r="AC944" s="443">
        <v>0</v>
      </c>
    </row>
    <row r="945" spans="1:35" hidden="1">
      <c r="A945" s="145">
        <v>45661</v>
      </c>
      <c r="B945" s="376">
        <v>45739</v>
      </c>
      <c r="C945" s="27">
        <v>230326</v>
      </c>
      <c r="D945" s="20" t="str">
        <f t="shared" si="466"/>
        <v>瑞陵精機</v>
      </c>
      <c r="E945" s="20" t="str">
        <f t="shared" si="467"/>
        <v>NGUYEN VAN DUNG</v>
      </c>
      <c r="F945" s="20" t="str">
        <f t="shared" si="468"/>
        <v>グエン　ヴァン　ズン</v>
      </c>
      <c r="G945" s="11"/>
      <c r="H945" s="11"/>
      <c r="I945" s="11">
        <v>25000</v>
      </c>
      <c r="J945" s="65"/>
      <c r="O945" s="81"/>
      <c r="P945" s="81"/>
      <c r="Q945" s="81"/>
      <c r="R945" s="81"/>
      <c r="S945" s="81"/>
      <c r="T945" s="81"/>
      <c r="U945" s="81"/>
      <c r="V945" s="81"/>
      <c r="W945" s="82">
        <v>15355</v>
      </c>
      <c r="X945" s="82">
        <v>17000</v>
      </c>
      <c r="Y945" s="202">
        <v>59926</v>
      </c>
      <c r="Z945" s="446">
        <v>0</v>
      </c>
      <c r="AA945" s="446">
        <v>0</v>
      </c>
      <c r="AB945" s="446">
        <v>0</v>
      </c>
      <c r="AC945" s="448">
        <v>0</v>
      </c>
    </row>
    <row r="946" spans="1:35">
      <c r="A946" s="145">
        <v>45805</v>
      </c>
      <c r="B946" s="376">
        <v>46016</v>
      </c>
      <c r="C946" s="27">
        <v>250601</v>
      </c>
      <c r="D946" s="20" t="str">
        <f t="shared" si="466"/>
        <v>瑞陵精機</v>
      </c>
      <c r="E946" s="20" t="str">
        <f t="shared" si="467"/>
        <v>NINH NGOC HIEU</v>
      </c>
      <c r="F946" s="20" t="str">
        <f t="shared" si="468"/>
        <v>ニン　ゴック　ヒエウ</v>
      </c>
      <c r="G946" s="11"/>
      <c r="H946" s="11"/>
      <c r="I946" s="11">
        <v>25000</v>
      </c>
      <c r="J946" s="65"/>
      <c r="O946" s="81"/>
      <c r="P946" s="81"/>
      <c r="Q946" s="81"/>
      <c r="R946" s="81"/>
      <c r="S946" s="81"/>
      <c r="T946" s="81"/>
      <c r="U946" s="81"/>
      <c r="V946" s="81"/>
      <c r="W946" s="82"/>
      <c r="X946" s="82"/>
      <c r="Y946" s="202"/>
      <c r="Z946" s="446"/>
      <c r="AA946" s="446"/>
      <c r="AB946" s="446">
        <f t="shared" ref="AB946:AB947" si="469">3226+25000</f>
        <v>28226</v>
      </c>
      <c r="AC946" s="448">
        <v>25000</v>
      </c>
      <c r="AD946" s="448">
        <v>25000</v>
      </c>
      <c r="AE946" s="508">
        <v>25000</v>
      </c>
      <c r="AF946" s="508">
        <v>25000</v>
      </c>
      <c r="AG946" s="508">
        <v>25000</v>
      </c>
      <c r="AH946" s="508">
        <v>45000</v>
      </c>
      <c r="AI946" s="448">
        <v>0</v>
      </c>
    </row>
    <row r="947" spans="1:35">
      <c r="A947" s="145">
        <v>45805</v>
      </c>
      <c r="B947" s="376">
        <v>46032</v>
      </c>
      <c r="C947" s="27">
        <v>250602</v>
      </c>
      <c r="D947" s="20" t="str">
        <f t="shared" si="466"/>
        <v>瑞陵精機</v>
      </c>
      <c r="E947" s="20" t="str">
        <f t="shared" si="467"/>
        <v>NGUYEN VAN TRUNG</v>
      </c>
      <c r="F947" s="20" t="str">
        <f t="shared" si="468"/>
        <v>グエン　ヴァン　チュン</v>
      </c>
      <c r="G947" s="11"/>
      <c r="H947" s="11"/>
      <c r="I947" s="11">
        <v>25000</v>
      </c>
      <c r="J947" s="65"/>
      <c r="O947" s="81"/>
      <c r="P947" s="81"/>
      <c r="Q947" s="81"/>
      <c r="R947" s="81"/>
      <c r="S947" s="81"/>
      <c r="T947" s="81"/>
      <c r="U947" s="81"/>
      <c r="V947" s="81"/>
      <c r="W947" s="82"/>
      <c r="X947" s="82"/>
      <c r="Y947" s="202"/>
      <c r="Z947" s="446"/>
      <c r="AA947" s="446"/>
      <c r="AB947" s="446">
        <f t="shared" si="469"/>
        <v>28226</v>
      </c>
      <c r="AC947" s="448">
        <v>25000</v>
      </c>
      <c r="AD947" s="448">
        <v>25000</v>
      </c>
      <c r="AE947" s="508">
        <v>25000</v>
      </c>
      <c r="AF947" s="508">
        <v>25000</v>
      </c>
      <c r="AG947" s="508">
        <v>25000</v>
      </c>
      <c r="AH947" s="508">
        <v>25000</v>
      </c>
      <c r="AI947" s="448">
        <v>45000</v>
      </c>
    </row>
    <row r="948" spans="1:35">
      <c r="A948" s="145">
        <v>46032</v>
      </c>
      <c r="B948" s="376"/>
      <c r="C948" s="27">
        <v>251203</v>
      </c>
      <c r="D948" s="20" t="s">
        <v>76</v>
      </c>
      <c r="E948" s="20" t="s">
        <v>2678</v>
      </c>
      <c r="F948" s="20" t="s">
        <v>2679</v>
      </c>
      <c r="G948" s="11"/>
      <c r="H948" s="11"/>
      <c r="I948" s="11"/>
      <c r="J948" s="65"/>
      <c r="O948" s="81"/>
      <c r="P948" s="81"/>
      <c r="Q948" s="81"/>
      <c r="R948" s="81"/>
      <c r="S948" s="81"/>
      <c r="T948" s="81"/>
      <c r="U948" s="81"/>
      <c r="V948" s="81"/>
      <c r="W948" s="82"/>
      <c r="X948" s="82"/>
      <c r="Y948" s="202"/>
      <c r="Z948" s="446"/>
      <c r="AA948" s="446"/>
      <c r="AB948" s="446"/>
      <c r="AC948" s="448"/>
      <c r="AD948" s="448"/>
      <c r="AE948" s="448"/>
      <c r="AF948" s="508"/>
      <c r="AG948" s="508"/>
      <c r="AI948" s="448">
        <v>22419</v>
      </c>
    </row>
    <row r="949" spans="1:35">
      <c r="A949" s="145">
        <v>46032</v>
      </c>
      <c r="B949" s="376"/>
      <c r="C949" s="27">
        <v>251205</v>
      </c>
      <c r="D949" s="20" t="s">
        <v>76</v>
      </c>
      <c r="E949" s="20" t="s">
        <v>2682</v>
      </c>
      <c r="F949" s="20" t="s">
        <v>2683</v>
      </c>
      <c r="G949" s="11"/>
      <c r="H949" s="11"/>
      <c r="I949" s="11"/>
      <c r="J949" s="65"/>
      <c r="O949" s="81"/>
      <c r="P949" s="81"/>
      <c r="Q949" s="81"/>
      <c r="R949" s="81"/>
      <c r="S949" s="81"/>
      <c r="T949" s="81"/>
      <c r="U949" s="81"/>
      <c r="V949" s="81"/>
      <c r="W949" s="82"/>
      <c r="X949" s="82"/>
      <c r="Y949" s="202"/>
      <c r="Z949" s="446"/>
      <c r="AA949" s="446"/>
      <c r="AB949" s="446"/>
      <c r="AC949" s="448"/>
      <c r="AD949" s="448"/>
      <c r="AE949" s="448"/>
      <c r="AF949" s="508"/>
      <c r="AG949" s="508"/>
      <c r="AI949" s="448">
        <v>22419</v>
      </c>
    </row>
    <row r="950" spans="1:35">
      <c r="F950" s="160"/>
      <c r="G950" s="6"/>
      <c r="H950" s="6"/>
      <c r="I950" s="6"/>
      <c r="J950" s="74"/>
      <c r="K950" s="10"/>
      <c r="L950" s="10"/>
      <c r="M950" s="88"/>
      <c r="N950" s="88"/>
      <c r="O950" s="88"/>
      <c r="P950" s="88"/>
      <c r="Q950" s="88"/>
      <c r="R950" s="88"/>
      <c r="S950" s="88"/>
      <c r="T950" s="88"/>
      <c r="U950" s="88"/>
      <c r="V950" s="88"/>
      <c r="W950" s="88"/>
      <c r="X950" s="88"/>
      <c r="Y950" s="410"/>
      <c r="Z950" s="438"/>
      <c r="AA950" s="438"/>
      <c r="AB950" s="438"/>
    </row>
    <row r="951" spans="1:35">
      <c r="C951" s="24"/>
      <c r="D951" s="24"/>
      <c r="E951" s="24" t="s">
        <v>2512</v>
      </c>
      <c r="F951" s="196"/>
      <c r="G951" s="210">
        <v>42000</v>
      </c>
      <c r="H951" s="210">
        <v>50000</v>
      </c>
      <c r="I951" s="210" t="s">
        <v>584</v>
      </c>
      <c r="J951" s="74"/>
      <c r="K951" s="10"/>
      <c r="L951" s="10"/>
      <c r="M951" s="88"/>
      <c r="N951" s="88"/>
      <c r="O951" s="88"/>
      <c r="P951" s="88"/>
      <c r="Q951" s="88"/>
      <c r="R951" s="88"/>
      <c r="S951" s="88"/>
      <c r="T951" s="88"/>
      <c r="U951" s="88"/>
      <c r="V951" s="88"/>
      <c r="W951" s="88"/>
      <c r="X951" s="88"/>
      <c r="Y951" s="410"/>
      <c r="Z951" s="438"/>
      <c r="AA951" s="438"/>
      <c r="AB951" s="438"/>
    </row>
    <row r="952" spans="1:35">
      <c r="A952" s="145" t="s">
        <v>1</v>
      </c>
      <c r="B952" s="376" t="s">
        <v>529</v>
      </c>
      <c r="C952" s="27" t="s">
        <v>2</v>
      </c>
      <c r="D952" s="27" t="s">
        <v>2532</v>
      </c>
      <c r="E952" s="27" t="s">
        <v>2433</v>
      </c>
      <c r="F952" s="165"/>
      <c r="G952" s="108"/>
      <c r="H952" s="108"/>
      <c r="I952" s="108" t="s">
        <v>3</v>
      </c>
      <c r="J952" s="90"/>
      <c r="K952" s="91"/>
      <c r="L952" s="91"/>
      <c r="M952" s="92"/>
      <c r="N952" s="92"/>
      <c r="O952" s="92"/>
      <c r="P952" s="92"/>
      <c r="Q952" s="92"/>
      <c r="R952" s="92"/>
      <c r="S952" s="92"/>
      <c r="T952" s="92"/>
      <c r="U952" s="92"/>
      <c r="V952" s="92"/>
      <c r="W952" s="92"/>
      <c r="X952" s="92"/>
      <c r="Y952" s="411"/>
      <c r="Z952" s="439"/>
      <c r="AA952" s="439"/>
      <c r="AB952" s="439"/>
    </row>
    <row r="953" spans="1:35" hidden="1">
      <c r="A953" s="145">
        <v>45257</v>
      </c>
      <c r="B953" s="376">
        <v>45648</v>
      </c>
      <c r="C953" s="27">
        <v>231207</v>
      </c>
      <c r="D953" s="20" t="str">
        <f t="shared" ref="D953:D1024" si="470">IF(C953="","",_xlfn.XLOOKUP(C953,社員№,派遣先,"",0,-1))</f>
        <v>瑞陵精機</v>
      </c>
      <c r="E953" s="20" t="str">
        <f t="shared" ref="E953:E1024" si="471">IF(C953="","",_xlfn.XLOOKUP(C953,社員№,氏名,"",0,-1))</f>
        <v>HO VAN PHUONG</v>
      </c>
      <c r="F953" s="20" t="str">
        <f t="shared" ref="F953:F1024" si="472">IF(C953="","",_xlfn.XLOOKUP(C953,社員№,カナ,"",0,-1))</f>
        <v>ホ　ヴァン　フォン</v>
      </c>
      <c r="G953" s="12"/>
      <c r="H953" s="12"/>
      <c r="I953" s="12">
        <v>25000</v>
      </c>
      <c r="J953" s="65"/>
      <c r="K953" s="11">
        <v>25000</v>
      </c>
      <c r="L953" s="11">
        <v>25000</v>
      </c>
      <c r="M953" s="81">
        <v>25000</v>
      </c>
      <c r="N953" s="81">
        <v>25000</v>
      </c>
      <c r="O953" s="130">
        <v>25000</v>
      </c>
      <c r="P953" s="130">
        <v>25000</v>
      </c>
      <c r="Q953" s="130">
        <v>25000</v>
      </c>
      <c r="R953" s="130">
        <v>25000</v>
      </c>
      <c r="S953" s="130">
        <v>25000</v>
      </c>
      <c r="T953" s="130">
        <v>25000</v>
      </c>
      <c r="U953" s="130">
        <v>25000</v>
      </c>
      <c r="V953" s="130">
        <f>25000+20000</f>
        <v>45000</v>
      </c>
      <c r="W953" s="130">
        <v>0</v>
      </c>
      <c r="X953" s="130">
        <v>0</v>
      </c>
      <c r="Y953" s="408">
        <v>0</v>
      </c>
      <c r="Z953" s="437">
        <v>0</v>
      </c>
      <c r="AA953" s="437">
        <v>0</v>
      </c>
      <c r="AB953" s="437">
        <v>0</v>
      </c>
    </row>
    <row r="954" spans="1:35">
      <c r="A954" s="145">
        <v>45260</v>
      </c>
      <c r="B954" s="376"/>
      <c r="C954" s="27">
        <v>231208</v>
      </c>
      <c r="D954" s="20" t="str">
        <f t="shared" ref="D954:D955" si="473">IF(C954="","",_xlfn.XLOOKUP(C954,社員№,派遣先,"",0,-1))</f>
        <v>瑞陵精機</v>
      </c>
      <c r="E954" s="20" t="str">
        <f t="shared" ref="E954:E955" si="474">IF(C954="","",_xlfn.XLOOKUP(C954,社員№,氏名,"",0,-1))</f>
        <v>DANG MAU THIEN</v>
      </c>
      <c r="F954" s="20" t="str">
        <f t="shared" ref="F954:F955" si="475">IF(C954="","",_xlfn.XLOOKUP(C954,社員№,カナ,"",0,-1))</f>
        <v>ダン　マウ　ティエン</v>
      </c>
      <c r="G954" s="12"/>
      <c r="H954" s="12"/>
      <c r="I954" s="12">
        <v>25000</v>
      </c>
      <c r="J954" s="65"/>
      <c r="K954" s="11">
        <v>25000</v>
      </c>
      <c r="L954" s="11">
        <v>25000</v>
      </c>
      <c r="M954" s="81">
        <v>25000</v>
      </c>
      <c r="N954" s="81">
        <v>25000</v>
      </c>
      <c r="O954" s="81">
        <v>25000</v>
      </c>
      <c r="P954" s="81">
        <v>25000</v>
      </c>
      <c r="Q954" s="81">
        <v>25000</v>
      </c>
      <c r="R954" s="81">
        <v>25000</v>
      </c>
      <c r="S954" s="81">
        <v>25000</v>
      </c>
      <c r="T954" s="81">
        <v>25000</v>
      </c>
      <c r="U954" s="81">
        <v>25000</v>
      </c>
      <c r="V954" s="81">
        <v>25000</v>
      </c>
      <c r="W954" s="81">
        <v>25000</v>
      </c>
      <c r="X954" s="81">
        <v>25000</v>
      </c>
      <c r="Y954" s="413">
        <v>25000</v>
      </c>
      <c r="Z954" s="441">
        <v>25000</v>
      </c>
      <c r="AA954" s="441">
        <v>25000</v>
      </c>
      <c r="AB954" s="441">
        <v>25000</v>
      </c>
      <c r="AC954" s="441">
        <v>25000</v>
      </c>
      <c r="AD954" s="441">
        <v>25000</v>
      </c>
      <c r="AE954" s="437">
        <v>25000</v>
      </c>
      <c r="AF954" s="437">
        <v>25000</v>
      </c>
      <c r="AG954" s="437">
        <v>25000</v>
      </c>
      <c r="AH954" s="437">
        <v>25000</v>
      </c>
      <c r="AI954" s="437">
        <v>25000</v>
      </c>
    </row>
    <row r="955" spans="1:35">
      <c r="A955" s="145">
        <v>45658</v>
      </c>
      <c r="B955" s="376"/>
      <c r="C955" s="27">
        <v>241216</v>
      </c>
      <c r="D955" s="20" t="str">
        <f t="shared" si="473"/>
        <v>瑞陵精機</v>
      </c>
      <c r="E955" s="20" t="str">
        <f t="shared" si="474"/>
        <v>NGUYEN VAN THUAN</v>
      </c>
      <c r="F955" s="20" t="str">
        <f t="shared" si="475"/>
        <v>グエン　ヴァン　トゥアン</v>
      </c>
      <c r="G955" s="12"/>
      <c r="H955" s="12"/>
      <c r="I955" s="12"/>
      <c r="J955" s="65"/>
      <c r="O955" s="81"/>
      <c r="P955" s="81"/>
      <c r="Q955" s="81"/>
      <c r="R955" s="81"/>
      <c r="S955" s="81"/>
      <c r="T955" s="81"/>
      <c r="U955" s="81"/>
      <c r="V955" s="81"/>
      <c r="W955" s="81">
        <v>25000</v>
      </c>
      <c r="X955" s="81">
        <v>25000</v>
      </c>
      <c r="Y955" s="413">
        <v>25000</v>
      </c>
      <c r="Z955" s="441">
        <v>25000</v>
      </c>
      <c r="AA955" s="441">
        <v>25000</v>
      </c>
      <c r="AB955" s="441">
        <v>25000</v>
      </c>
      <c r="AC955" s="441">
        <v>25000</v>
      </c>
      <c r="AD955" s="441">
        <v>25000</v>
      </c>
      <c r="AE955" s="437">
        <v>25000</v>
      </c>
      <c r="AF955" s="437">
        <v>25000</v>
      </c>
      <c r="AG955" s="437">
        <v>25000</v>
      </c>
      <c r="AH955" s="437">
        <v>25000</v>
      </c>
      <c r="AI955" s="437">
        <v>25000</v>
      </c>
    </row>
    <row r="956" spans="1:35">
      <c r="A956" s="147"/>
      <c r="F956" s="160"/>
      <c r="G956" s="10"/>
      <c r="H956" s="10"/>
      <c r="I956" s="10"/>
      <c r="J956" s="74"/>
      <c r="K956" s="10"/>
      <c r="L956" s="10"/>
      <c r="M956" s="88"/>
      <c r="N956" s="88"/>
      <c r="O956" s="88"/>
      <c r="P956" s="88"/>
      <c r="Q956" s="88"/>
      <c r="R956" s="88"/>
      <c r="S956" s="88"/>
      <c r="T956" s="88"/>
      <c r="U956" s="88"/>
      <c r="V956" s="88"/>
      <c r="W956" s="88"/>
      <c r="X956" s="88"/>
      <c r="Y956" s="410"/>
      <c r="Z956" s="438"/>
      <c r="AA956" s="438"/>
      <c r="AB956" s="438"/>
    </row>
    <row r="957" spans="1:35">
      <c r="A957" s="147"/>
      <c r="C957" s="37"/>
      <c r="D957" s="38"/>
      <c r="E957" s="37" t="s">
        <v>22</v>
      </c>
      <c r="F957" s="197"/>
      <c r="G957" s="210">
        <v>47000</v>
      </c>
      <c r="H957" s="210">
        <v>50000</v>
      </c>
      <c r="I957" s="210" t="s">
        <v>574</v>
      </c>
      <c r="J957" s="74"/>
      <c r="K957" s="10"/>
      <c r="L957" s="10"/>
      <c r="M957" s="88"/>
      <c r="N957" s="88"/>
      <c r="O957" s="88"/>
      <c r="P957" s="88"/>
      <c r="Q957" s="88"/>
      <c r="R957" s="88"/>
      <c r="S957" s="88"/>
      <c r="T957" s="88"/>
      <c r="U957" s="88"/>
      <c r="V957" s="88"/>
      <c r="W957" s="88"/>
      <c r="X957" s="88"/>
      <c r="Y957" s="410"/>
      <c r="Z957" s="438"/>
      <c r="AA957" s="438"/>
      <c r="AB957" s="438"/>
    </row>
    <row r="958" spans="1:35">
      <c r="A958" s="148" t="s">
        <v>1</v>
      </c>
      <c r="B958" s="377" t="s">
        <v>529</v>
      </c>
      <c r="C958" s="27" t="s">
        <v>2</v>
      </c>
      <c r="D958" s="27" t="s">
        <v>2532</v>
      </c>
      <c r="E958" s="27" t="s">
        <v>2433</v>
      </c>
      <c r="F958" s="165"/>
      <c r="G958" s="22"/>
      <c r="H958" s="22" t="s">
        <v>3</v>
      </c>
      <c r="I958" s="22" t="s">
        <v>353</v>
      </c>
      <c r="J958" s="90"/>
      <c r="K958" s="91"/>
      <c r="L958" s="91"/>
      <c r="M958" s="92"/>
      <c r="N958" s="92"/>
      <c r="O958" s="92"/>
      <c r="P958" s="92"/>
      <c r="Q958" s="92"/>
      <c r="R958" s="92"/>
      <c r="S958" s="92"/>
      <c r="T958" s="92"/>
      <c r="U958" s="92"/>
      <c r="V958" s="92"/>
      <c r="W958" s="92"/>
      <c r="X958" s="92"/>
      <c r="Y958" s="411"/>
      <c r="Z958" s="439"/>
      <c r="AA958" s="439"/>
      <c r="AB958" s="439"/>
    </row>
    <row r="959" spans="1:35" hidden="1">
      <c r="A959" s="145">
        <v>44708</v>
      </c>
      <c r="B959" s="376">
        <v>45562</v>
      </c>
      <c r="C959" s="27">
        <v>220525</v>
      </c>
      <c r="D959" s="20" t="str">
        <f t="shared" si="470"/>
        <v>瑞陵精機</v>
      </c>
      <c r="E959" s="20" t="str">
        <f t="shared" si="471"/>
        <v>NGUYEN CHI TUAN</v>
      </c>
      <c r="F959" s="20" t="str">
        <f t="shared" si="472"/>
        <v>グエン　チー　トゥアン</v>
      </c>
      <c r="G959" s="11"/>
      <c r="H959" s="11"/>
      <c r="I959" s="11">
        <v>25000</v>
      </c>
      <c r="J959" s="65"/>
      <c r="K959" s="11">
        <v>25000</v>
      </c>
      <c r="L959" s="11">
        <v>25000</v>
      </c>
      <c r="M959" s="81">
        <v>25000</v>
      </c>
      <c r="N959" s="81">
        <v>25000</v>
      </c>
      <c r="O959" s="81">
        <v>25000</v>
      </c>
      <c r="P959" s="81">
        <v>25000</v>
      </c>
      <c r="Q959" s="81">
        <v>25000</v>
      </c>
      <c r="R959" s="81">
        <v>25000</v>
      </c>
      <c r="S959" s="81">
        <f>25000+20000</f>
        <v>45000</v>
      </c>
      <c r="T959" s="81">
        <v>0</v>
      </c>
      <c r="U959" s="81">
        <v>0</v>
      </c>
      <c r="V959" s="81">
        <v>0</v>
      </c>
      <c r="W959" s="81">
        <v>0</v>
      </c>
      <c r="X959" s="81">
        <v>0</v>
      </c>
      <c r="Y959" s="413">
        <v>0</v>
      </c>
      <c r="Z959" s="441">
        <v>0</v>
      </c>
      <c r="AA959" s="441">
        <v>0</v>
      </c>
      <c r="AB959" s="441">
        <v>0</v>
      </c>
    </row>
    <row r="960" spans="1:35">
      <c r="A960" s="145">
        <v>44743</v>
      </c>
      <c r="B960" s="376">
        <v>45961</v>
      </c>
      <c r="C960" s="27">
        <v>220718</v>
      </c>
      <c r="D960" s="20" t="str">
        <f t="shared" ref="D960:D963" si="476">IF(C960="","",_xlfn.XLOOKUP(C960,社員№,派遣先,"",0,-1))</f>
        <v>瑞陵精機</v>
      </c>
      <c r="E960" s="20" t="str">
        <f t="shared" ref="E960:E963" si="477">IF(C960="","",_xlfn.XLOOKUP(C960,社員№,氏名,"",0,-1))</f>
        <v>VU DUC QUOC DAT</v>
      </c>
      <c r="F960" s="20" t="str">
        <f t="shared" ref="F960:F963" si="478">IF(C960="","",_xlfn.XLOOKUP(C960,社員№,カナ,"",0,-1))</f>
        <v>ヴー　ドウック　クオック　ダット</v>
      </c>
      <c r="G960" s="11"/>
      <c r="H960" s="11">
        <v>25000</v>
      </c>
      <c r="I960" s="11">
        <v>17000</v>
      </c>
      <c r="J960" s="65"/>
      <c r="K960" s="11">
        <v>25000</v>
      </c>
      <c r="L960" s="11">
        <v>25000</v>
      </c>
      <c r="M960" s="81">
        <v>25000</v>
      </c>
      <c r="N960" s="81">
        <v>25000</v>
      </c>
      <c r="O960" s="81">
        <v>25000</v>
      </c>
      <c r="P960" s="81">
        <v>25000</v>
      </c>
      <c r="Q960" s="81">
        <v>25000</v>
      </c>
      <c r="R960" s="81">
        <v>25000</v>
      </c>
      <c r="S960" s="81">
        <v>25000</v>
      </c>
      <c r="T960" s="81">
        <v>25000</v>
      </c>
      <c r="U960" s="81">
        <v>25000</v>
      </c>
      <c r="V960" s="81">
        <v>25000</v>
      </c>
      <c r="W960" s="81">
        <f t="shared" ref="W960:W961" si="479">2419+15355</f>
        <v>17774</v>
      </c>
      <c r="X960" s="81">
        <v>17000</v>
      </c>
      <c r="Y960" s="413">
        <v>40226</v>
      </c>
      <c r="Z960" s="441">
        <v>25000</v>
      </c>
      <c r="AA960" s="441">
        <v>25000</v>
      </c>
      <c r="AB960" s="441">
        <v>25000</v>
      </c>
      <c r="AC960" s="441">
        <v>25000</v>
      </c>
      <c r="AD960" s="441">
        <v>25000</v>
      </c>
      <c r="AE960" s="437">
        <v>25000</v>
      </c>
      <c r="AF960" s="437">
        <v>25000</v>
      </c>
      <c r="AG960" s="536">
        <v>20000</v>
      </c>
      <c r="AH960" s="508">
        <v>0</v>
      </c>
      <c r="AI960" s="448">
        <v>0</v>
      </c>
    </row>
    <row r="961" spans="1:35">
      <c r="A961" s="145">
        <v>45566</v>
      </c>
      <c r="B961" s="376"/>
      <c r="C961" s="27">
        <v>220521</v>
      </c>
      <c r="D961" s="20" t="str">
        <f t="shared" si="476"/>
        <v>瑞陵精機</v>
      </c>
      <c r="E961" s="20" t="str">
        <f t="shared" si="477"/>
        <v>NGUYEN VIET CUONG</v>
      </c>
      <c r="F961" s="20" t="str">
        <f t="shared" si="478"/>
        <v>グエン　ヴィエット　クオン</v>
      </c>
      <c r="G961" s="11"/>
      <c r="H961" s="11">
        <v>25000</v>
      </c>
      <c r="I961" s="11">
        <v>17000</v>
      </c>
      <c r="J961" s="65"/>
      <c r="O961" s="81"/>
      <c r="P961" s="81"/>
      <c r="Q961" s="81"/>
      <c r="R961" s="81"/>
      <c r="S961" s="81"/>
      <c r="T961" s="81">
        <v>25000</v>
      </c>
      <c r="U961" s="81">
        <v>25000</v>
      </c>
      <c r="V961" s="81">
        <v>25000</v>
      </c>
      <c r="W961" s="81">
        <f t="shared" si="479"/>
        <v>17774</v>
      </c>
      <c r="X961" s="81">
        <v>17000</v>
      </c>
      <c r="Y961" s="413">
        <v>40226</v>
      </c>
      <c r="Z961" s="441">
        <v>25000</v>
      </c>
      <c r="AA961" s="441">
        <v>25000</v>
      </c>
      <c r="AB961" s="441">
        <v>25000</v>
      </c>
      <c r="AC961" s="441">
        <v>25000</v>
      </c>
      <c r="AD961" s="441">
        <v>25000</v>
      </c>
      <c r="AE961" s="437">
        <v>25000</v>
      </c>
      <c r="AF961" s="437">
        <v>25000</v>
      </c>
      <c r="AG961" s="437">
        <v>25000</v>
      </c>
      <c r="AH961" s="437">
        <v>19581</v>
      </c>
      <c r="AI961" s="448">
        <v>22419</v>
      </c>
    </row>
    <row r="962" spans="1:35">
      <c r="A962" s="145">
        <v>46002</v>
      </c>
      <c r="B962" s="376">
        <v>46032</v>
      </c>
      <c r="C962" s="27">
        <v>251203</v>
      </c>
      <c r="D962" s="20" t="str">
        <f t="shared" si="476"/>
        <v>瑞陵精機</v>
      </c>
      <c r="E962" s="20" t="str">
        <f t="shared" si="477"/>
        <v>VO TRUNG NGUYEN</v>
      </c>
      <c r="F962" s="20" t="str">
        <f t="shared" si="478"/>
        <v>ヴォ　チュン　グエン</v>
      </c>
      <c r="G962" s="11"/>
      <c r="H962" s="11"/>
      <c r="I962" s="11">
        <v>17000</v>
      </c>
      <c r="J962" s="65"/>
      <c r="O962" s="81"/>
      <c r="P962" s="81"/>
      <c r="Q962" s="81"/>
      <c r="R962" s="81"/>
      <c r="S962" s="81"/>
      <c r="T962" s="81"/>
      <c r="U962" s="81"/>
      <c r="V962" s="81"/>
      <c r="W962" s="81"/>
      <c r="X962" s="81"/>
      <c r="Y962" s="413"/>
      <c r="Z962" s="441"/>
      <c r="AA962" s="441"/>
      <c r="AB962" s="441"/>
      <c r="AC962" s="441"/>
      <c r="AD962" s="441"/>
      <c r="AE962" s="441"/>
      <c r="AF962" s="441"/>
      <c r="AG962" s="441"/>
      <c r="AH962" s="508">
        <v>11516</v>
      </c>
      <c r="AI962" s="448">
        <v>0</v>
      </c>
    </row>
    <row r="963" spans="1:35">
      <c r="A963" s="145">
        <v>46002</v>
      </c>
      <c r="B963" s="376">
        <v>46032</v>
      </c>
      <c r="C963" s="27">
        <v>251205</v>
      </c>
      <c r="D963" s="20" t="str">
        <f t="shared" si="476"/>
        <v>瑞陵精機</v>
      </c>
      <c r="E963" s="20" t="str">
        <f t="shared" si="477"/>
        <v>DANG NGUYEN HOANG ANH</v>
      </c>
      <c r="F963" s="20" t="str">
        <f t="shared" si="478"/>
        <v>ダン　グエン　ホアン　アイン</v>
      </c>
      <c r="G963" s="11"/>
      <c r="H963" s="11"/>
      <c r="I963" s="11">
        <v>17000</v>
      </c>
      <c r="J963" s="65"/>
      <c r="O963" s="81"/>
      <c r="P963" s="81"/>
      <c r="Q963" s="81"/>
      <c r="R963" s="81"/>
      <c r="S963" s="81"/>
      <c r="T963" s="81"/>
      <c r="U963" s="81"/>
      <c r="V963" s="81"/>
      <c r="W963" s="81"/>
      <c r="X963" s="81"/>
      <c r="Y963" s="413"/>
      <c r="Z963" s="441"/>
      <c r="AA963" s="441"/>
      <c r="AB963" s="441"/>
      <c r="AC963" s="441"/>
      <c r="AD963" s="441"/>
      <c r="AE963" s="441"/>
      <c r="AF963" s="441"/>
      <c r="AG963" s="441"/>
      <c r="AH963" s="508">
        <v>11516</v>
      </c>
      <c r="AI963" s="448">
        <v>0</v>
      </c>
    </row>
    <row r="964" spans="1:35">
      <c r="A964" s="147"/>
      <c r="F964" s="160"/>
      <c r="G964" s="10"/>
      <c r="H964" s="10"/>
      <c r="I964" s="10"/>
      <c r="J964" s="74"/>
      <c r="K964" s="10"/>
      <c r="L964" s="10"/>
      <c r="M964" s="88"/>
      <c r="N964" s="88"/>
      <c r="O964" s="88"/>
      <c r="P964" s="88"/>
      <c r="Q964" s="88"/>
      <c r="R964" s="88"/>
      <c r="S964" s="88"/>
      <c r="T964" s="88"/>
      <c r="U964" s="88"/>
      <c r="V964" s="88"/>
      <c r="W964" s="88"/>
      <c r="X964" s="88"/>
      <c r="Y964" s="410"/>
      <c r="Z964" s="438"/>
      <c r="AA964" s="438"/>
      <c r="AB964" s="438"/>
      <c r="AF964" s="538"/>
      <c r="AG964" s="544"/>
      <c r="AH964" s="550"/>
    </row>
    <row r="965" spans="1:35">
      <c r="A965" s="147"/>
      <c r="C965" s="24"/>
      <c r="D965" s="24"/>
      <c r="E965" s="24" t="s">
        <v>2513</v>
      </c>
      <c r="F965" s="196"/>
      <c r="G965" s="210">
        <v>42000</v>
      </c>
      <c r="H965" s="210">
        <v>50000</v>
      </c>
      <c r="I965" s="210" t="s">
        <v>584</v>
      </c>
      <c r="J965" s="90"/>
      <c r="K965" s="91"/>
      <c r="L965" s="91"/>
      <c r="M965" s="92"/>
      <c r="N965" s="92"/>
      <c r="O965" s="92"/>
      <c r="P965" s="92"/>
      <c r="Q965" s="92"/>
      <c r="R965" s="92"/>
      <c r="S965" s="92"/>
      <c r="T965" s="92"/>
      <c r="U965" s="92"/>
      <c r="V965" s="92"/>
      <c r="W965" s="92"/>
      <c r="X965" s="92"/>
      <c r="Y965" s="411"/>
      <c r="Z965" s="439"/>
      <c r="AA965" s="439"/>
      <c r="AB965" s="439"/>
    </row>
    <row r="966" spans="1:35">
      <c r="A966" s="145" t="s">
        <v>1</v>
      </c>
      <c r="B966" s="376" t="s">
        <v>529</v>
      </c>
      <c r="C966" s="27" t="s">
        <v>2</v>
      </c>
      <c r="D966" s="27" t="s">
        <v>2532</v>
      </c>
      <c r="E966" s="27" t="s">
        <v>2433</v>
      </c>
      <c r="F966" s="165"/>
      <c r="G966" s="11"/>
      <c r="H966" s="11"/>
      <c r="I966" s="11" t="s">
        <v>3</v>
      </c>
      <c r="J966" s="65" t="s">
        <v>251</v>
      </c>
    </row>
    <row r="967" spans="1:35">
      <c r="A967" s="145">
        <v>45063</v>
      </c>
      <c r="B967" s="376"/>
      <c r="C967" s="27">
        <v>230507</v>
      </c>
      <c r="D967" s="20" t="str">
        <f t="shared" si="470"/>
        <v>瑞陵精機</v>
      </c>
      <c r="E967" s="20" t="str">
        <f t="shared" si="471"/>
        <v>DAU DUC NGUYEN</v>
      </c>
      <c r="F967" s="20" t="str">
        <f t="shared" si="472"/>
        <v>ダウ　ドゥック　グエン</v>
      </c>
      <c r="G967" s="11"/>
      <c r="H967" s="11"/>
      <c r="I967" s="11">
        <v>25000</v>
      </c>
      <c r="J967" s="65">
        <v>12500</v>
      </c>
      <c r="K967" s="11">
        <v>25000</v>
      </c>
      <c r="L967" s="11">
        <v>25000</v>
      </c>
      <c r="M967" s="81">
        <v>25000</v>
      </c>
      <c r="N967" s="81">
        <v>25000</v>
      </c>
      <c r="O967" s="130">
        <v>25000</v>
      </c>
      <c r="P967" s="130">
        <v>25000</v>
      </c>
      <c r="Q967" s="130">
        <v>25000</v>
      </c>
      <c r="R967" s="130">
        <v>25000</v>
      </c>
      <c r="S967" s="130">
        <v>25000</v>
      </c>
      <c r="T967" s="130">
        <v>25000</v>
      </c>
      <c r="U967" s="130">
        <v>25000</v>
      </c>
      <c r="V967" s="130">
        <v>25000</v>
      </c>
      <c r="W967" s="130">
        <v>25000</v>
      </c>
      <c r="X967" s="130">
        <v>25000</v>
      </c>
      <c r="Y967" s="408">
        <v>25000</v>
      </c>
      <c r="Z967" s="437">
        <v>25000</v>
      </c>
      <c r="AA967" s="437">
        <v>25000</v>
      </c>
      <c r="AB967" s="437">
        <v>25000</v>
      </c>
      <c r="AC967" s="437">
        <v>25000</v>
      </c>
      <c r="AD967" s="437">
        <v>25000</v>
      </c>
      <c r="AE967" s="437">
        <v>25000</v>
      </c>
      <c r="AF967" s="437">
        <v>25000</v>
      </c>
      <c r="AG967" s="437">
        <v>25000</v>
      </c>
      <c r="AH967" s="437">
        <v>25000</v>
      </c>
      <c r="AI967" s="437">
        <v>25000</v>
      </c>
    </row>
    <row r="968" spans="1:35">
      <c r="A968" s="145">
        <v>45063</v>
      </c>
      <c r="B968" s="376">
        <v>45961</v>
      </c>
      <c r="C968" s="27">
        <v>230508</v>
      </c>
      <c r="D968" s="20" t="str">
        <f t="shared" ref="D968:D969" si="480">IF(C968="","",_xlfn.XLOOKUP(C968,社員№,派遣先,"",0,-1))</f>
        <v>瑞陵精機</v>
      </c>
      <c r="E968" s="20" t="str">
        <f t="shared" ref="E968:E969" si="481">IF(C968="","",_xlfn.XLOOKUP(C968,社員№,氏名,"",0,-1))</f>
        <v>NGUYEN XUAN QUYET</v>
      </c>
      <c r="F968" s="20" t="str">
        <f t="shared" ref="F968:F969" si="482">IF(C968="","",_xlfn.XLOOKUP(C968,社員№,カナ,"",0,-1))</f>
        <v>グエン　スアン　クエット</v>
      </c>
      <c r="G968" s="11"/>
      <c r="H968" s="11"/>
      <c r="I968" s="11">
        <v>25000</v>
      </c>
      <c r="J968" s="65">
        <v>12500</v>
      </c>
      <c r="K968" s="11">
        <v>25000</v>
      </c>
      <c r="L968" s="11">
        <v>25000</v>
      </c>
      <c r="M968" s="81">
        <v>25000</v>
      </c>
      <c r="N968" s="81">
        <v>25000</v>
      </c>
      <c r="O968" s="130">
        <v>25000</v>
      </c>
      <c r="P968" s="130">
        <v>25000</v>
      </c>
      <c r="Q968" s="130">
        <v>25000</v>
      </c>
      <c r="R968" s="130">
        <v>25000</v>
      </c>
      <c r="S968" s="130">
        <v>25000</v>
      </c>
      <c r="T968" s="130">
        <v>25000</v>
      </c>
      <c r="U968" s="130">
        <v>25000</v>
      </c>
      <c r="V968" s="130">
        <v>25000</v>
      </c>
      <c r="W968" s="130">
        <v>25000</v>
      </c>
      <c r="X968" s="130">
        <v>25000</v>
      </c>
      <c r="Y968" s="408">
        <v>25000</v>
      </c>
      <c r="Z968" s="437">
        <v>25000</v>
      </c>
      <c r="AA968" s="437">
        <v>25000</v>
      </c>
      <c r="AB968" s="437">
        <v>25000</v>
      </c>
      <c r="AC968" s="437">
        <v>25000</v>
      </c>
      <c r="AD968" s="437">
        <v>25000</v>
      </c>
      <c r="AE968" s="437">
        <v>25000</v>
      </c>
      <c r="AF968" s="437">
        <v>25000</v>
      </c>
      <c r="AG968" s="522">
        <v>0</v>
      </c>
    </row>
    <row r="969" spans="1:35">
      <c r="A969" s="145">
        <v>46002</v>
      </c>
      <c r="B969" s="376"/>
      <c r="C969" s="27">
        <v>251204</v>
      </c>
      <c r="D969" s="20" t="str">
        <f t="shared" si="480"/>
        <v>瑞陵精機</v>
      </c>
      <c r="E969" s="20" t="str">
        <f t="shared" si="481"/>
        <v>DANG HOAI PHUONG</v>
      </c>
      <c r="F969" s="20" t="str">
        <f t="shared" si="482"/>
        <v>ダン　ホアイ　フオン</v>
      </c>
      <c r="G969" s="11"/>
      <c r="H969" s="11"/>
      <c r="I969" s="11"/>
      <c r="J969" s="65"/>
      <c r="O969" s="81"/>
      <c r="P969" s="81"/>
      <c r="Q969" s="81"/>
      <c r="R969" s="81"/>
      <c r="S969" s="81"/>
      <c r="T969" s="81"/>
      <c r="U969" s="81"/>
      <c r="V969" s="81"/>
      <c r="W969" s="81"/>
      <c r="X969" s="81"/>
      <c r="Y969" s="413"/>
      <c r="Z969" s="441"/>
      <c r="AA969" s="441"/>
      <c r="AB969" s="441"/>
      <c r="AC969" s="441"/>
      <c r="AD969" s="441"/>
      <c r="AE969" s="441"/>
      <c r="AF969" s="437"/>
      <c r="AG969" s="522"/>
      <c r="AH969" s="508">
        <v>16935</v>
      </c>
      <c r="AI969" s="448">
        <v>25000</v>
      </c>
    </row>
    <row r="970" spans="1:35">
      <c r="D970" s="47"/>
      <c r="E970" s="47"/>
      <c r="F970" s="47"/>
      <c r="G970" s="10"/>
      <c r="H970" s="10"/>
      <c r="I970" s="10"/>
      <c r="J970" s="74"/>
      <c r="K970" s="10"/>
      <c r="L970" s="10"/>
      <c r="M970" s="88"/>
      <c r="N970" s="88"/>
      <c r="O970" s="88"/>
      <c r="P970" s="88"/>
      <c r="Q970" s="88"/>
      <c r="R970" s="88"/>
      <c r="S970" s="88"/>
      <c r="T970" s="88"/>
      <c r="U970" s="88"/>
      <c r="V970" s="88"/>
      <c r="W970" s="88"/>
      <c r="X970" s="88"/>
      <c r="Y970" s="410"/>
      <c r="Z970" s="438"/>
      <c r="AA970" s="438"/>
      <c r="AB970" s="438"/>
      <c r="AC970" s="438"/>
      <c r="AD970" s="438"/>
      <c r="AE970" s="438"/>
      <c r="AF970" s="437"/>
      <c r="AG970" s="522"/>
    </row>
    <row r="971" spans="1:35">
      <c r="C971" s="541"/>
      <c r="D971" s="541"/>
      <c r="E971" s="541" t="s">
        <v>2647</v>
      </c>
      <c r="F971" s="541"/>
      <c r="G971" s="10">
        <v>42000</v>
      </c>
      <c r="H971" s="10">
        <v>42000</v>
      </c>
      <c r="I971" s="10"/>
      <c r="J971" s="97"/>
      <c r="K971" s="98"/>
      <c r="L971" s="98"/>
      <c r="M971" s="99"/>
      <c r="N971" s="99"/>
      <c r="O971" s="99"/>
      <c r="P971" s="99"/>
      <c r="Q971" s="99"/>
      <c r="R971" s="99"/>
      <c r="S971" s="99"/>
      <c r="T971" s="99"/>
      <c r="U971" s="99"/>
      <c r="V971" s="99"/>
      <c r="W971" s="99"/>
      <c r="X971" s="99"/>
      <c r="Y971" s="416"/>
      <c r="Z971" s="445"/>
      <c r="AA971" s="445"/>
      <c r="AB971" s="445"/>
      <c r="AC971" s="438"/>
      <c r="AD971" s="438"/>
      <c r="AE971" s="438"/>
      <c r="AF971" s="437"/>
      <c r="AG971" s="522"/>
    </row>
    <row r="972" spans="1:35">
      <c r="A972" s="145" t="s">
        <v>1</v>
      </c>
      <c r="B972" s="376" t="s">
        <v>529</v>
      </c>
      <c r="C972" s="27" t="s">
        <v>2</v>
      </c>
      <c r="D972" s="20" t="s">
        <v>2547</v>
      </c>
      <c r="E972" s="20" t="s">
        <v>2548</v>
      </c>
      <c r="F972" s="20"/>
      <c r="G972" s="10"/>
      <c r="H972" s="10"/>
      <c r="I972" s="10"/>
      <c r="J972" s="97"/>
      <c r="K972" s="98"/>
      <c r="L972" s="98"/>
      <c r="M972" s="99"/>
      <c r="N972" s="99"/>
      <c r="O972" s="99"/>
      <c r="P972" s="99"/>
      <c r="Q972" s="99"/>
      <c r="R972" s="99"/>
      <c r="S972" s="99"/>
      <c r="T972" s="99"/>
      <c r="U972" s="99"/>
      <c r="V972" s="99"/>
      <c r="W972" s="99"/>
      <c r="X972" s="99"/>
      <c r="Y972" s="416"/>
      <c r="Z972" s="445"/>
      <c r="AA972" s="445"/>
      <c r="AB972" s="445"/>
      <c r="AC972" s="438"/>
      <c r="AD972" s="438"/>
      <c r="AE972" s="438"/>
      <c r="AF972" s="437"/>
      <c r="AG972" s="522"/>
    </row>
    <row r="973" spans="1:35">
      <c r="A973" s="145">
        <v>45961</v>
      </c>
      <c r="B973" s="376"/>
      <c r="C973" s="27">
        <v>230508</v>
      </c>
      <c r="D973" s="20" t="str">
        <f t="shared" ref="D973" si="483">IF(C973="","",_xlfn.XLOOKUP(C973,社員№,派遣先,"",0,-1))</f>
        <v>瑞陵精機</v>
      </c>
      <c r="E973" s="20" t="str">
        <f t="shared" ref="E973" si="484">IF(C973="","",_xlfn.XLOOKUP(C973,社員№,氏名,"",0,-1))</f>
        <v>NGUYEN XUAN QUYET</v>
      </c>
      <c r="F973" s="20" t="str">
        <f t="shared" ref="F973" si="485">IF(C973="","",_xlfn.XLOOKUP(C973,社員№,カナ,"",0,-1))</f>
        <v>グエン　スアン　クエット</v>
      </c>
      <c r="G973" s="10"/>
      <c r="H973" s="10"/>
      <c r="I973" s="10"/>
      <c r="J973" s="97"/>
      <c r="K973" s="98"/>
      <c r="L973" s="98"/>
      <c r="M973" s="99"/>
      <c r="N973" s="99"/>
      <c r="O973" s="99"/>
      <c r="P973" s="99"/>
      <c r="Q973" s="99"/>
      <c r="R973" s="99"/>
      <c r="S973" s="99"/>
      <c r="T973" s="99"/>
      <c r="U973" s="99"/>
      <c r="V973" s="99"/>
      <c r="W973" s="99"/>
      <c r="X973" s="99"/>
      <c r="Y973" s="416"/>
      <c r="Z973" s="445"/>
      <c r="AA973" s="445"/>
      <c r="AB973" s="445"/>
      <c r="AC973" s="438"/>
      <c r="AD973" s="438"/>
      <c r="AE973" s="438"/>
      <c r="AF973" s="437"/>
      <c r="AG973" s="522">
        <v>42000</v>
      </c>
      <c r="AH973" s="522">
        <v>42000</v>
      </c>
      <c r="AI973" s="522">
        <v>42000</v>
      </c>
    </row>
    <row r="974" spans="1:35">
      <c r="F974" s="160"/>
      <c r="G974" s="10"/>
      <c r="H974" s="10"/>
      <c r="I974" s="10"/>
      <c r="J974" s="97"/>
      <c r="K974" s="98"/>
      <c r="L974" s="98"/>
      <c r="M974" s="99"/>
      <c r="N974" s="99"/>
      <c r="O974" s="99"/>
      <c r="P974" s="99"/>
      <c r="Q974" s="99"/>
      <c r="R974" s="99"/>
      <c r="S974" s="99"/>
      <c r="T974" s="99"/>
      <c r="U974" s="99"/>
      <c r="V974" s="99"/>
      <c r="W974" s="99"/>
      <c r="X974" s="99"/>
      <c r="Y974" s="416"/>
      <c r="Z974" s="445"/>
      <c r="AA974" s="445"/>
      <c r="AB974" s="445"/>
    </row>
    <row r="975" spans="1:35">
      <c r="C975" s="24"/>
      <c r="D975" s="24"/>
      <c r="E975" s="24" t="s">
        <v>2514</v>
      </c>
      <c r="F975" s="196"/>
      <c r="G975" s="210">
        <v>42000</v>
      </c>
      <c r="H975" s="210">
        <v>50000</v>
      </c>
      <c r="I975" s="210" t="s">
        <v>584</v>
      </c>
      <c r="J975" s="74"/>
      <c r="K975" s="10"/>
      <c r="L975" s="10"/>
      <c r="M975" s="88"/>
      <c r="N975" s="88"/>
      <c r="O975" s="88"/>
      <c r="P975" s="88"/>
      <c r="Q975" s="88"/>
      <c r="R975" s="88"/>
      <c r="S975" s="88"/>
      <c r="T975" s="88"/>
      <c r="U975" s="88"/>
      <c r="V975" s="88"/>
      <c r="W975" s="88"/>
      <c r="X975" s="88"/>
      <c r="Y975" s="410"/>
      <c r="Z975" s="438"/>
      <c r="AA975" s="438"/>
      <c r="AB975" s="438"/>
    </row>
    <row r="976" spans="1:35">
      <c r="A976" s="145" t="s">
        <v>1</v>
      </c>
      <c r="B976" s="376" t="s">
        <v>529</v>
      </c>
      <c r="C976" s="27" t="s">
        <v>2</v>
      </c>
      <c r="D976" s="27" t="s">
        <v>2532</v>
      </c>
      <c r="E976" s="27" t="s">
        <v>2433</v>
      </c>
      <c r="F976" s="165"/>
      <c r="G976" s="22"/>
      <c r="H976" s="22"/>
      <c r="I976" s="22" t="s">
        <v>3</v>
      </c>
      <c r="J976" s="90"/>
      <c r="K976" s="91"/>
      <c r="L976" s="91"/>
      <c r="M976" s="92"/>
      <c r="N976" s="92"/>
      <c r="O976" s="92"/>
      <c r="P976" s="92"/>
      <c r="Q976" s="92"/>
      <c r="R976" s="92"/>
      <c r="S976" s="92"/>
      <c r="T976" s="92"/>
      <c r="U976" s="92"/>
      <c r="V976" s="92"/>
      <c r="W976" s="92"/>
      <c r="X976" s="92"/>
      <c r="Y976" s="411"/>
      <c r="Z976" s="439"/>
      <c r="AA976" s="439"/>
      <c r="AB976" s="439"/>
    </row>
    <row r="977" spans="1:35">
      <c r="A977" s="145">
        <v>45566</v>
      </c>
      <c r="B977" s="376"/>
      <c r="C977" s="27">
        <v>220903</v>
      </c>
      <c r="D977" s="20" t="str">
        <f t="shared" si="470"/>
        <v>瑞陵精機</v>
      </c>
      <c r="E977" s="20" t="str">
        <f t="shared" si="471"/>
        <v>NGUYEN HUU THANG</v>
      </c>
      <c r="F977" s="20" t="str">
        <f t="shared" si="472"/>
        <v>グエン　フゥ　タン</v>
      </c>
      <c r="G977" s="11"/>
      <c r="H977" s="11"/>
      <c r="I977" s="11">
        <v>25000</v>
      </c>
      <c r="J977" s="65"/>
      <c r="O977" s="81"/>
      <c r="P977" s="81"/>
      <c r="Q977" s="81"/>
      <c r="R977" s="81"/>
      <c r="S977" s="81"/>
      <c r="T977" s="81">
        <v>25000</v>
      </c>
      <c r="U977" s="81">
        <v>25000</v>
      </c>
      <c r="V977" s="81">
        <v>25000</v>
      </c>
      <c r="W977" s="81">
        <v>25000</v>
      </c>
      <c r="X977" s="81">
        <v>25000</v>
      </c>
      <c r="Y977" s="413">
        <v>25000</v>
      </c>
      <c r="Z977" s="441">
        <v>25000</v>
      </c>
      <c r="AA977" s="441">
        <v>25000</v>
      </c>
      <c r="AB977" s="441">
        <v>25000</v>
      </c>
      <c r="AC977" s="441">
        <v>25000</v>
      </c>
      <c r="AD977" s="441">
        <v>25000</v>
      </c>
      <c r="AE977" s="437">
        <v>25000</v>
      </c>
      <c r="AF977" s="437">
        <v>25000</v>
      </c>
      <c r="AG977" s="437">
        <v>25000</v>
      </c>
      <c r="AH977" s="437">
        <v>25000</v>
      </c>
      <c r="AI977" s="437">
        <v>25000</v>
      </c>
    </row>
    <row r="978" spans="1:35">
      <c r="A978" s="145">
        <v>45566</v>
      </c>
      <c r="B978" s="376"/>
      <c r="C978" s="27">
        <v>221203</v>
      </c>
      <c r="D978" s="20" t="str">
        <f t="shared" ref="D978" si="486">IF(C978="","",_xlfn.XLOOKUP(C978,社員№,派遣先,"",0,-1))</f>
        <v>瑞陵精機</v>
      </c>
      <c r="E978" s="20" t="str">
        <f t="shared" ref="E978" si="487">IF(C978="","",_xlfn.XLOOKUP(C978,社員№,氏名,"",0,-1))</f>
        <v>LE NHU ANH</v>
      </c>
      <c r="F978" s="20" t="str">
        <f t="shared" ref="F978" si="488">IF(C978="","",_xlfn.XLOOKUP(C978,社員№,カナ,"",0,-1))</f>
        <v>レー　ヌー　アイン</v>
      </c>
      <c r="G978" s="11"/>
      <c r="H978" s="11"/>
      <c r="I978" s="11">
        <v>25000</v>
      </c>
      <c r="J978" s="65"/>
      <c r="O978" s="81"/>
      <c r="P978" s="81"/>
      <c r="Q978" s="81"/>
      <c r="R978" s="81"/>
      <c r="S978" s="81"/>
      <c r="T978" s="81">
        <v>25000</v>
      </c>
      <c r="U978" s="81">
        <v>25000</v>
      </c>
      <c r="V978" s="81">
        <v>25000</v>
      </c>
      <c r="W978" s="81">
        <v>25000</v>
      </c>
      <c r="X978" s="81">
        <v>25000</v>
      </c>
      <c r="Y978" s="413">
        <v>25000</v>
      </c>
      <c r="Z978" s="441">
        <v>25000</v>
      </c>
      <c r="AA978" s="441">
        <v>25000</v>
      </c>
      <c r="AB978" s="441">
        <v>25000</v>
      </c>
      <c r="AC978" s="441">
        <v>25000</v>
      </c>
      <c r="AD978" s="441">
        <v>25000</v>
      </c>
      <c r="AE978" s="437">
        <v>25000</v>
      </c>
      <c r="AF978" s="437">
        <v>25000</v>
      </c>
      <c r="AG978" s="437">
        <v>25000</v>
      </c>
      <c r="AH978" s="437">
        <v>25000</v>
      </c>
      <c r="AI978" s="437">
        <v>25000</v>
      </c>
    </row>
    <row r="979" spans="1:35">
      <c r="F979" s="160"/>
      <c r="G979" s="10"/>
      <c r="H979" s="10"/>
      <c r="I979" s="10"/>
      <c r="J979" s="97"/>
      <c r="K979" s="98"/>
      <c r="L979" s="98"/>
      <c r="M979" s="99"/>
      <c r="N979" s="99"/>
      <c r="O979" s="99"/>
      <c r="P979" s="99"/>
      <c r="Q979" s="99"/>
      <c r="R979" s="99"/>
      <c r="S979" s="99"/>
      <c r="T979" s="99"/>
      <c r="U979" s="99"/>
      <c r="V979" s="99"/>
      <c r="W979" s="99"/>
      <c r="X979" s="99"/>
      <c r="Y979" s="416"/>
      <c r="Z979" s="445"/>
      <c r="AA979" s="445"/>
      <c r="AB979" s="445"/>
    </row>
    <row r="980" spans="1:35">
      <c r="C980" s="24"/>
      <c r="D980" s="24"/>
      <c r="E980" s="24" t="s">
        <v>2515</v>
      </c>
      <c r="F980" s="196"/>
      <c r="G980" s="210">
        <v>42000</v>
      </c>
      <c r="H980" s="210">
        <v>50000</v>
      </c>
      <c r="I980" s="210" t="s">
        <v>584</v>
      </c>
      <c r="J980" s="90"/>
      <c r="K980" s="91"/>
      <c r="L980" s="91"/>
      <c r="M980" s="92"/>
      <c r="N980" s="92"/>
      <c r="O980" s="92"/>
      <c r="P980" s="92"/>
      <c r="Q980" s="92"/>
      <c r="R980" s="92"/>
      <c r="S980" s="92"/>
      <c r="T980" s="92"/>
      <c r="U980" s="92"/>
      <c r="V980" s="92"/>
      <c r="W980" s="92"/>
      <c r="X980" s="92"/>
      <c r="Y980" s="411"/>
      <c r="Z980" s="439"/>
      <c r="AA980" s="439"/>
      <c r="AB980" s="439"/>
    </row>
    <row r="981" spans="1:35">
      <c r="A981" s="145" t="s">
        <v>1</v>
      </c>
      <c r="B981" s="376" t="s">
        <v>529</v>
      </c>
      <c r="C981" s="27" t="s">
        <v>2</v>
      </c>
      <c r="D981" s="27" t="s">
        <v>2532</v>
      </c>
      <c r="E981" s="27" t="s">
        <v>2433</v>
      </c>
      <c r="F981" s="165"/>
      <c r="G981" s="11"/>
      <c r="H981" s="11"/>
      <c r="I981" s="11" t="s">
        <v>3</v>
      </c>
      <c r="J981" s="65" t="s">
        <v>154</v>
      </c>
      <c r="O981" s="81"/>
      <c r="P981" s="81"/>
      <c r="Q981" s="81"/>
      <c r="R981" s="81"/>
      <c r="S981" s="81"/>
      <c r="T981" s="81"/>
      <c r="U981" s="81"/>
      <c r="V981" s="81"/>
      <c r="W981" s="81"/>
      <c r="X981" s="81"/>
      <c r="Y981" s="413"/>
      <c r="Z981" s="441"/>
      <c r="AA981" s="441"/>
      <c r="AB981" s="441"/>
    </row>
    <row r="982" spans="1:35">
      <c r="A982" s="145">
        <v>45133</v>
      </c>
      <c r="B982" s="376"/>
      <c r="C982" s="27">
        <v>230714</v>
      </c>
      <c r="D982" s="20" t="str">
        <f t="shared" si="470"/>
        <v>瑞陵精機</v>
      </c>
      <c r="E982" s="20" t="str">
        <f t="shared" si="471"/>
        <v>THAI VAN HUNG</v>
      </c>
      <c r="F982" s="20" t="str">
        <f t="shared" si="472"/>
        <v>タイ　ヴァン　フン</v>
      </c>
      <c r="G982" s="11"/>
      <c r="H982" s="11"/>
      <c r="I982" s="11">
        <v>25000</v>
      </c>
      <c r="J982" s="65">
        <v>17000</v>
      </c>
      <c r="K982" s="11">
        <v>25000</v>
      </c>
      <c r="L982" s="11">
        <v>25000</v>
      </c>
      <c r="M982" s="81">
        <v>25000</v>
      </c>
      <c r="N982" s="81">
        <v>25000</v>
      </c>
      <c r="O982" s="81">
        <v>25000</v>
      </c>
      <c r="P982" s="81">
        <v>25000</v>
      </c>
      <c r="Q982" s="81">
        <v>25000</v>
      </c>
      <c r="R982" s="81">
        <v>25000</v>
      </c>
      <c r="S982" s="81">
        <v>25000</v>
      </c>
      <c r="T982" s="81">
        <v>25000</v>
      </c>
      <c r="U982" s="81">
        <v>25000</v>
      </c>
      <c r="V982" s="81">
        <v>25000</v>
      </c>
      <c r="W982" s="81">
        <v>25000</v>
      </c>
      <c r="X982" s="81">
        <v>25000</v>
      </c>
      <c r="Y982" s="413">
        <v>25000</v>
      </c>
      <c r="Z982" s="441">
        <v>25000</v>
      </c>
      <c r="AA982" s="441">
        <v>25000</v>
      </c>
      <c r="AB982" s="441">
        <v>25000</v>
      </c>
      <c r="AC982" s="441">
        <v>25000</v>
      </c>
      <c r="AD982" s="441">
        <v>25000</v>
      </c>
      <c r="AE982" s="437">
        <v>25000</v>
      </c>
      <c r="AF982" s="437">
        <v>25000</v>
      </c>
      <c r="AG982" s="437">
        <v>25000</v>
      </c>
      <c r="AH982" s="437">
        <v>25000</v>
      </c>
      <c r="AI982" s="437">
        <v>25000</v>
      </c>
    </row>
    <row r="983" spans="1:35" hidden="1">
      <c r="A983" s="145">
        <v>45670</v>
      </c>
      <c r="B983" s="376">
        <v>45688</v>
      </c>
      <c r="C983" s="27">
        <v>250106</v>
      </c>
      <c r="D983" s="20" t="str">
        <f t="shared" ref="D983" si="489">IF(C983="","",_xlfn.XLOOKUP(C983,社員№,派遣先,"",0,-1))</f>
        <v>加藤木材工業 本社</v>
      </c>
      <c r="E983" s="20" t="str">
        <f t="shared" ref="E983" si="490">IF(C983="","",_xlfn.XLOOKUP(C983,社員№,氏名,"",0,-1))</f>
        <v>HOANG BA THIEN</v>
      </c>
      <c r="F983" s="20" t="str">
        <f t="shared" ref="F983" si="491">IF(C983="","",_xlfn.XLOOKUP(C983,社員№,カナ,"",0,-1))</f>
        <v>ホアン　バー　ティエン</v>
      </c>
      <c r="G983" s="11" t="s">
        <v>984</v>
      </c>
      <c r="H983" s="11"/>
      <c r="I983" s="11"/>
      <c r="J983" s="65"/>
      <c r="O983" s="81"/>
      <c r="P983" s="81"/>
      <c r="Q983" s="81"/>
      <c r="R983" s="81"/>
      <c r="S983" s="81"/>
      <c r="T983" s="81"/>
      <c r="U983" s="81"/>
      <c r="V983" s="81"/>
      <c r="W983" s="81">
        <v>15323</v>
      </c>
      <c r="X983" s="81">
        <v>0</v>
      </c>
      <c r="Y983" s="413">
        <v>0</v>
      </c>
      <c r="Z983" s="441">
        <v>0</v>
      </c>
      <c r="AA983" s="441">
        <v>0</v>
      </c>
      <c r="AB983" s="441">
        <v>0</v>
      </c>
    </row>
    <row r="984" spans="1:35">
      <c r="A984" s="147"/>
      <c r="F984" s="160"/>
      <c r="G984" s="10"/>
      <c r="H984" s="10"/>
      <c r="I984" s="10"/>
      <c r="J984" s="74"/>
      <c r="K984" s="10"/>
      <c r="L984" s="10"/>
      <c r="M984" s="88"/>
      <c r="N984" s="88"/>
      <c r="O984" s="88"/>
      <c r="P984" s="88"/>
      <c r="Q984" s="88"/>
      <c r="R984" s="88"/>
      <c r="S984" s="88"/>
      <c r="T984" s="88"/>
      <c r="U984" s="88"/>
      <c r="V984" s="88"/>
      <c r="W984" s="88"/>
      <c r="X984" s="88"/>
      <c r="Y984" s="410"/>
      <c r="Z984" s="438"/>
      <c r="AA984" s="438"/>
      <c r="AB984" s="438"/>
    </row>
    <row r="985" spans="1:35">
      <c r="A985" s="147"/>
      <c r="C985" s="31"/>
      <c r="D985" s="31"/>
      <c r="E985" s="31" t="s">
        <v>2516</v>
      </c>
      <c r="F985" s="167"/>
      <c r="G985" s="210">
        <v>70000</v>
      </c>
      <c r="H985" s="210">
        <v>72000</v>
      </c>
      <c r="I985" s="210" t="s">
        <v>595</v>
      </c>
      <c r="J985" s="74" t="s">
        <v>1004</v>
      </c>
      <c r="K985" s="10"/>
      <c r="L985" s="10"/>
      <c r="M985" s="88"/>
      <c r="N985" s="88"/>
      <c r="O985" s="88"/>
      <c r="P985" s="88"/>
      <c r="Q985" s="88"/>
      <c r="R985" s="88"/>
      <c r="S985" s="88"/>
      <c r="T985" s="88"/>
      <c r="U985" s="88"/>
      <c r="V985" s="88"/>
      <c r="W985" s="88"/>
      <c r="X985" s="88"/>
      <c r="Y985" s="410"/>
      <c r="Z985" s="438"/>
      <c r="AA985" s="438"/>
      <c r="AB985" s="438"/>
    </row>
    <row r="986" spans="1:35">
      <c r="A986" s="145" t="s">
        <v>1</v>
      </c>
      <c r="B986" s="376" t="s">
        <v>529</v>
      </c>
      <c r="C986" s="27" t="s">
        <v>2</v>
      </c>
      <c r="D986" s="27" t="s">
        <v>2532</v>
      </c>
      <c r="E986" s="27" t="s">
        <v>2433</v>
      </c>
      <c r="F986" s="165"/>
      <c r="G986" s="22"/>
      <c r="H986" s="22"/>
      <c r="I986" s="22" t="s">
        <v>3</v>
      </c>
      <c r="J986" s="90"/>
      <c r="K986" s="91"/>
      <c r="L986" s="91"/>
      <c r="M986" s="92"/>
      <c r="N986" s="92"/>
      <c r="O986" s="92"/>
      <c r="P986" s="92"/>
      <c r="Q986" s="92"/>
      <c r="R986" s="92"/>
      <c r="S986" s="92"/>
      <c r="T986" s="92"/>
      <c r="U986" s="92"/>
      <c r="V986" s="92"/>
      <c r="W986" s="92"/>
      <c r="X986" s="92"/>
      <c r="Y986" s="411"/>
      <c r="Z986" s="439"/>
      <c r="AA986" s="439"/>
      <c r="AB986" s="439"/>
    </row>
    <row r="987" spans="1:35">
      <c r="A987" s="145">
        <v>44904</v>
      </c>
      <c r="B987" s="485">
        <v>46050</v>
      </c>
      <c r="C987" s="27">
        <v>221212</v>
      </c>
      <c r="D987" s="20" t="str">
        <f t="shared" si="470"/>
        <v>瑞陵精機</v>
      </c>
      <c r="E987" s="20" t="str">
        <f t="shared" si="471"/>
        <v>NGUYEN MANH KHAI</v>
      </c>
      <c r="F987" s="20" t="str">
        <f t="shared" si="472"/>
        <v>グエン　マン　カイ</v>
      </c>
      <c r="G987" s="11"/>
      <c r="H987" s="11"/>
      <c r="I987" s="11">
        <v>24000</v>
      </c>
      <c r="J987" s="65"/>
      <c r="K987" s="11">
        <v>20000</v>
      </c>
      <c r="L987" s="11">
        <v>20000</v>
      </c>
      <c r="M987" s="81">
        <v>20000</v>
      </c>
      <c r="N987" s="81">
        <v>20000</v>
      </c>
      <c r="O987" s="130">
        <v>20000</v>
      </c>
      <c r="P987" s="130">
        <v>20000</v>
      </c>
      <c r="Q987" s="130">
        <v>20000</v>
      </c>
      <c r="R987" s="130">
        <v>20000</v>
      </c>
      <c r="S987" s="130">
        <v>20000</v>
      </c>
      <c r="T987" s="130">
        <v>20000</v>
      </c>
      <c r="U987" s="130">
        <v>20000</v>
      </c>
      <c r="V987" s="388">
        <v>24000</v>
      </c>
      <c r="W987" s="393">
        <v>24000</v>
      </c>
      <c r="X987" s="393">
        <v>24000</v>
      </c>
      <c r="Y987" s="427">
        <v>24000</v>
      </c>
      <c r="Z987" s="461">
        <v>24000</v>
      </c>
      <c r="AA987" s="461">
        <v>24000</v>
      </c>
      <c r="AB987" s="461">
        <v>24000</v>
      </c>
      <c r="AC987" s="461">
        <v>24000</v>
      </c>
      <c r="AD987" s="461">
        <v>24000</v>
      </c>
      <c r="AE987" s="461">
        <v>24000</v>
      </c>
      <c r="AF987" s="461">
        <v>24000</v>
      </c>
      <c r="AG987" s="461">
        <v>24000</v>
      </c>
      <c r="AH987" s="461">
        <v>24000</v>
      </c>
      <c r="AI987" s="448">
        <v>44000</v>
      </c>
    </row>
    <row r="988" spans="1:35" hidden="1">
      <c r="A988" s="145">
        <v>44904</v>
      </c>
      <c r="B988" s="376">
        <v>45714</v>
      </c>
      <c r="C988" s="27">
        <v>221215</v>
      </c>
      <c r="D988" s="20" t="str">
        <f t="shared" ref="D988:D989" si="492">IF(C988="","",_xlfn.XLOOKUP(C988,社員№,派遣先,"",0,-1))</f>
        <v>瑞陵精機</v>
      </c>
      <c r="E988" s="20" t="str">
        <f t="shared" ref="E988:E989" si="493">IF(C988="","",_xlfn.XLOOKUP(C988,社員№,氏名,"",0,-1))</f>
        <v>DINH PHU HUNG</v>
      </c>
      <c r="F988" s="20" t="str">
        <f t="shared" ref="F988:F989" si="494">IF(C988="","",_xlfn.XLOOKUP(C988,社員№,カナ,"",0,-1))</f>
        <v>ディン　フー　フン</v>
      </c>
      <c r="G988" s="11"/>
      <c r="H988" s="11"/>
      <c r="I988" s="11">
        <v>24000</v>
      </c>
      <c r="J988" s="65"/>
      <c r="K988" s="11">
        <v>20000</v>
      </c>
      <c r="L988" s="11">
        <v>20000</v>
      </c>
      <c r="M988" s="81">
        <v>20000</v>
      </c>
      <c r="N988" s="81">
        <v>20000</v>
      </c>
      <c r="O988" s="130">
        <v>20000</v>
      </c>
      <c r="P988" s="130">
        <v>20000</v>
      </c>
      <c r="Q988" s="130">
        <v>20000</v>
      </c>
      <c r="R988" s="130">
        <v>20000</v>
      </c>
      <c r="S988" s="130">
        <v>20000</v>
      </c>
      <c r="T988" s="130">
        <v>20000</v>
      </c>
      <c r="U988" s="130">
        <v>20000</v>
      </c>
      <c r="V988" s="388">
        <v>24000</v>
      </c>
      <c r="W988" s="393">
        <v>24000</v>
      </c>
      <c r="X988" s="393">
        <f>24000+20000</f>
        <v>44000</v>
      </c>
      <c r="Y988" s="427">
        <v>0</v>
      </c>
      <c r="Z988" s="461">
        <v>0</v>
      </c>
      <c r="AA988" s="461">
        <v>0</v>
      </c>
      <c r="AB988" s="461">
        <v>0</v>
      </c>
      <c r="AC988" s="461"/>
      <c r="AD988" s="461">
        <v>24000</v>
      </c>
      <c r="AE988" s="461">
        <v>24000</v>
      </c>
      <c r="AF988" s="461">
        <v>24000</v>
      </c>
      <c r="AG988" s="461">
        <v>24000</v>
      </c>
      <c r="AH988" s="461">
        <v>24000</v>
      </c>
    </row>
    <row r="989" spans="1:35">
      <c r="A989" s="145">
        <v>44904</v>
      </c>
      <c r="B989" s="376">
        <v>46022</v>
      </c>
      <c r="C989" s="27">
        <v>221216</v>
      </c>
      <c r="D989" s="20" t="str">
        <f t="shared" si="492"/>
        <v>瑞陵精機</v>
      </c>
      <c r="E989" s="20" t="str">
        <f t="shared" si="493"/>
        <v>KIEU DUC TUAN</v>
      </c>
      <c r="F989" s="20" t="str">
        <f t="shared" si="494"/>
        <v>キエウ　ドゥック　トゥアン</v>
      </c>
      <c r="G989" s="11"/>
      <c r="H989" s="11"/>
      <c r="I989" s="11">
        <v>24000</v>
      </c>
      <c r="J989" s="65"/>
      <c r="K989" s="11">
        <v>20000</v>
      </c>
      <c r="L989" s="11">
        <v>20000</v>
      </c>
      <c r="M989" s="81">
        <v>20000</v>
      </c>
      <c r="N989" s="81">
        <v>20000</v>
      </c>
      <c r="O989" s="130">
        <v>20000</v>
      </c>
      <c r="P989" s="130">
        <v>20000</v>
      </c>
      <c r="Q989" s="130">
        <v>20000</v>
      </c>
      <c r="R989" s="130">
        <v>20000</v>
      </c>
      <c r="S989" s="130">
        <v>20000</v>
      </c>
      <c r="T989" s="130">
        <v>20000</v>
      </c>
      <c r="U989" s="130">
        <v>20000</v>
      </c>
      <c r="V989" s="388">
        <v>24000</v>
      </c>
      <c r="W989" s="393">
        <v>24000</v>
      </c>
      <c r="X989" s="393">
        <v>24000</v>
      </c>
      <c r="Y989" s="427">
        <v>24000</v>
      </c>
      <c r="Z989" s="461">
        <v>24000</v>
      </c>
      <c r="AA989" s="461">
        <v>24000</v>
      </c>
      <c r="AB989" s="461">
        <v>24000</v>
      </c>
      <c r="AC989" s="461">
        <v>24000</v>
      </c>
      <c r="AD989" s="461">
        <v>24000</v>
      </c>
      <c r="AE989" s="461">
        <v>24000</v>
      </c>
      <c r="AF989" s="461">
        <v>24000</v>
      </c>
      <c r="AG989" s="461">
        <v>24000</v>
      </c>
      <c r="AH989" s="461">
        <v>24000</v>
      </c>
      <c r="AI989" s="448">
        <v>0</v>
      </c>
    </row>
    <row r="990" spans="1:35">
      <c r="A990" s="147"/>
      <c r="F990" s="160"/>
      <c r="G990" s="10"/>
      <c r="H990" s="10"/>
      <c r="I990" s="10"/>
      <c r="J990" s="74"/>
      <c r="K990" s="10"/>
      <c r="L990" s="10"/>
      <c r="M990" s="88"/>
      <c r="N990" s="88"/>
      <c r="O990" s="88"/>
      <c r="P990" s="88"/>
      <c r="Q990" s="88"/>
      <c r="R990" s="88"/>
      <c r="S990" s="88"/>
      <c r="T990" s="88"/>
      <c r="U990" s="88"/>
      <c r="V990" s="88"/>
      <c r="W990" s="88"/>
      <c r="X990" s="88"/>
      <c r="Y990" s="410"/>
      <c r="Z990" s="438"/>
      <c r="AA990" s="438"/>
      <c r="AB990" s="438"/>
    </row>
    <row r="991" spans="1:35">
      <c r="A991" s="147"/>
      <c r="C991" s="31"/>
      <c r="D991" s="31"/>
      <c r="E991" s="31" t="s">
        <v>2517</v>
      </c>
      <c r="F991" s="167"/>
      <c r="G991" s="210">
        <v>100000</v>
      </c>
      <c r="H991" s="210"/>
      <c r="I991" s="210" t="s">
        <v>594</v>
      </c>
      <c r="J991" s="74" t="s">
        <v>1005</v>
      </c>
      <c r="K991" s="10"/>
      <c r="L991" s="10"/>
      <c r="M991" s="88"/>
      <c r="N991" s="88"/>
      <c r="O991" s="88"/>
      <c r="P991" s="88"/>
      <c r="Q991" s="88"/>
      <c r="R991" s="88"/>
      <c r="S991" s="88"/>
      <c r="T991" s="88"/>
      <c r="U991" s="88"/>
      <c r="V991" s="88"/>
      <c r="W991" s="88"/>
      <c r="X991" s="88"/>
      <c r="Y991" s="410"/>
      <c r="Z991" s="438"/>
      <c r="AA991" s="438"/>
      <c r="AB991" s="438"/>
    </row>
    <row r="992" spans="1:35">
      <c r="A992" s="145" t="s">
        <v>1</v>
      </c>
      <c r="B992" s="376" t="s">
        <v>530</v>
      </c>
      <c r="C992" s="27" t="s">
        <v>2</v>
      </c>
      <c r="D992" s="27" t="s">
        <v>2532</v>
      </c>
      <c r="E992" s="27" t="s">
        <v>2433</v>
      </c>
      <c r="F992" s="165"/>
      <c r="G992" s="22"/>
      <c r="H992" s="22"/>
      <c r="I992" s="22" t="s">
        <v>3</v>
      </c>
      <c r="J992" s="90"/>
      <c r="K992" s="91"/>
      <c r="L992" s="91"/>
      <c r="M992" s="92"/>
      <c r="N992" s="92"/>
      <c r="O992" s="92"/>
      <c r="P992" s="92"/>
      <c r="Q992" s="92"/>
      <c r="R992" s="92"/>
      <c r="S992" s="92"/>
      <c r="T992" s="92"/>
      <c r="U992" s="92"/>
      <c r="V992" s="92"/>
      <c r="W992" s="92"/>
      <c r="X992" s="92"/>
      <c r="Y992" s="411"/>
      <c r="Z992" s="439"/>
      <c r="AA992" s="439"/>
      <c r="AB992" s="439"/>
    </row>
    <row r="993" spans="1:35" hidden="1">
      <c r="A993" s="145">
        <v>45352</v>
      </c>
      <c r="B993" s="376">
        <v>45535</v>
      </c>
      <c r="C993" s="20">
        <v>240301</v>
      </c>
      <c r="D993" s="20" t="str">
        <f t="shared" si="470"/>
        <v>瑞陵精機</v>
      </c>
      <c r="E993" s="20" t="str">
        <f t="shared" si="471"/>
        <v>LE DINH LOI</v>
      </c>
      <c r="F993" s="20" t="str">
        <f t="shared" si="472"/>
        <v>レ　ディン　ロイ</v>
      </c>
      <c r="G993" s="11"/>
      <c r="H993" s="11"/>
      <c r="I993" s="11">
        <v>25000</v>
      </c>
      <c r="J993" s="65"/>
      <c r="M993" s="81">
        <v>25000</v>
      </c>
      <c r="N993" s="81">
        <v>25000</v>
      </c>
      <c r="O993" s="81">
        <v>25000</v>
      </c>
      <c r="P993" s="81">
        <v>25000</v>
      </c>
      <c r="Q993" s="81">
        <v>25000</v>
      </c>
      <c r="R993" s="81">
        <f>25000+5000</f>
        <v>30000</v>
      </c>
      <c r="S993" s="81">
        <v>5000</v>
      </c>
      <c r="T993" s="81">
        <v>5000</v>
      </c>
      <c r="U993" s="81">
        <v>5000</v>
      </c>
      <c r="V993" s="81">
        <v>0</v>
      </c>
      <c r="W993" s="81">
        <v>0</v>
      </c>
      <c r="X993" s="81">
        <v>0</v>
      </c>
      <c r="Y993" s="413">
        <v>0</v>
      </c>
      <c r="Z993" s="441">
        <v>0</v>
      </c>
      <c r="AA993" s="441">
        <v>0</v>
      </c>
      <c r="AB993" s="441">
        <v>0</v>
      </c>
      <c r="AC993" s="475">
        <v>0</v>
      </c>
    </row>
    <row r="994" spans="1:35">
      <c r="A994" s="145">
        <v>45471</v>
      </c>
      <c r="B994" s="376"/>
      <c r="C994" s="27">
        <v>240702</v>
      </c>
      <c r="D994" s="20" t="str">
        <f t="shared" ref="D994:D997" si="495">IF(C994="","",_xlfn.XLOOKUP(C994,社員№,派遣先,"",0,-1))</f>
        <v>瑞陵精機</v>
      </c>
      <c r="E994" s="20" t="str">
        <f t="shared" ref="E994:E997" si="496">IF(C994="","",_xlfn.XLOOKUP(C994,社員№,氏名,"",0,-1))</f>
        <v>CHU VAN TIEN</v>
      </c>
      <c r="F994" s="20" t="str">
        <f t="shared" ref="F994:F997" si="497">IF(C994="","",_xlfn.XLOOKUP(C994,社員№,カナ,"",0,-1))</f>
        <v>ツ　ヴァン　テイエン</v>
      </c>
      <c r="G994" s="11"/>
      <c r="H994" s="11"/>
      <c r="I994" s="11">
        <v>25000</v>
      </c>
      <c r="J994" s="65"/>
      <c r="O994" s="81"/>
      <c r="P994" s="81"/>
      <c r="Q994" s="81">
        <f>2500+25000</f>
        <v>27500</v>
      </c>
      <c r="R994" s="81">
        <v>25000</v>
      </c>
      <c r="S994" s="81">
        <v>25000</v>
      </c>
      <c r="T994" s="81">
        <v>25000</v>
      </c>
      <c r="U994" s="81">
        <v>25000</v>
      </c>
      <c r="V994" s="81">
        <v>25000</v>
      </c>
      <c r="W994" s="81">
        <v>25000</v>
      </c>
      <c r="X994" s="81">
        <v>25000</v>
      </c>
      <c r="Y994" s="413">
        <v>25000</v>
      </c>
      <c r="Z994" s="441">
        <v>25000</v>
      </c>
      <c r="AA994" s="441">
        <v>25000</v>
      </c>
      <c r="AB994" s="441">
        <v>25000</v>
      </c>
      <c r="AC994" s="441">
        <v>25000</v>
      </c>
      <c r="AD994" s="441">
        <v>25000</v>
      </c>
      <c r="AE994" s="437">
        <v>25000</v>
      </c>
      <c r="AF994" s="437">
        <v>25000</v>
      </c>
      <c r="AG994" s="437">
        <v>25000</v>
      </c>
      <c r="AH994" s="437">
        <v>25000</v>
      </c>
      <c r="AI994" s="437">
        <v>25000</v>
      </c>
    </row>
    <row r="995" spans="1:35">
      <c r="A995" s="145">
        <v>45543</v>
      </c>
      <c r="B995" s="376"/>
      <c r="C995" s="27">
        <v>221213</v>
      </c>
      <c r="D995" s="20" t="str">
        <f t="shared" si="495"/>
        <v>瑞陵精機</v>
      </c>
      <c r="E995" s="20" t="str">
        <f t="shared" si="496"/>
        <v>TRAN KHUONG DUY</v>
      </c>
      <c r="F995" s="20" t="str">
        <f t="shared" si="497"/>
        <v>チャン　クオン　ズイ</v>
      </c>
      <c r="G995" s="11"/>
      <c r="H995" s="11"/>
      <c r="I995" s="11">
        <v>25000</v>
      </c>
      <c r="J995" s="65"/>
      <c r="O995" s="81"/>
      <c r="P995" s="81"/>
      <c r="Q995" s="81"/>
      <c r="R995" s="81"/>
      <c r="S995" s="81">
        <f>5333+19167</f>
        <v>24500</v>
      </c>
      <c r="T995" s="81">
        <v>25000</v>
      </c>
      <c r="U995" s="81">
        <v>25000</v>
      </c>
      <c r="V995" s="81">
        <v>25000</v>
      </c>
      <c r="W995" s="81">
        <v>25000</v>
      </c>
      <c r="X995" s="81">
        <v>25000</v>
      </c>
      <c r="Y995" s="413">
        <v>25000</v>
      </c>
      <c r="Z995" s="441">
        <v>25000</v>
      </c>
      <c r="AA995" s="441">
        <v>25000</v>
      </c>
      <c r="AB995" s="441">
        <v>25000</v>
      </c>
      <c r="AC995" s="441">
        <v>25000</v>
      </c>
      <c r="AD995" s="441">
        <v>25000</v>
      </c>
      <c r="AE995" s="437">
        <v>25000</v>
      </c>
      <c r="AF995" s="437">
        <v>25000</v>
      </c>
      <c r="AG995" s="437">
        <v>25000</v>
      </c>
      <c r="AH995" s="437">
        <v>25000</v>
      </c>
      <c r="AI995" s="437">
        <v>25000</v>
      </c>
    </row>
    <row r="996" spans="1:35">
      <c r="A996" s="145">
        <v>45565</v>
      </c>
      <c r="B996" s="376"/>
      <c r="C996" s="27">
        <v>241004</v>
      </c>
      <c r="D996" s="20" t="str">
        <f t="shared" si="495"/>
        <v>瑞陵精機</v>
      </c>
      <c r="E996" s="20" t="str">
        <f t="shared" si="496"/>
        <v>NGUYEN QUOC THAI</v>
      </c>
      <c r="F996" s="20" t="str">
        <f t="shared" si="497"/>
        <v>グエン　クオック　タイ</v>
      </c>
      <c r="G996" s="11"/>
      <c r="H996" s="11"/>
      <c r="I996" s="11">
        <v>25000</v>
      </c>
      <c r="J996" s="65"/>
      <c r="O996" s="81"/>
      <c r="P996" s="81"/>
      <c r="Q996" s="81"/>
      <c r="R996" s="81"/>
      <c r="S996" s="81"/>
      <c r="T996" s="81">
        <v>25000</v>
      </c>
      <c r="U996" s="81">
        <v>25000</v>
      </c>
      <c r="V996" s="81">
        <v>25000</v>
      </c>
      <c r="W996" s="81">
        <v>25000</v>
      </c>
      <c r="X996" s="81">
        <v>25000</v>
      </c>
      <c r="Y996" s="413">
        <v>25000</v>
      </c>
      <c r="Z996" s="441">
        <v>25000</v>
      </c>
      <c r="AA996" s="441">
        <v>25000</v>
      </c>
      <c r="AB996" s="441">
        <v>25000</v>
      </c>
      <c r="AC996" s="441">
        <v>25000</v>
      </c>
      <c r="AD996" s="441">
        <v>25000</v>
      </c>
      <c r="AE996" s="437">
        <v>25000</v>
      </c>
      <c r="AF996" s="437">
        <v>25000</v>
      </c>
      <c r="AG996" s="437">
        <v>25000</v>
      </c>
      <c r="AH996" s="437">
        <v>25000</v>
      </c>
      <c r="AI996" s="437">
        <v>25000</v>
      </c>
    </row>
    <row r="997" spans="1:35">
      <c r="A997" s="228">
        <v>45631</v>
      </c>
      <c r="B997" s="375">
        <v>45808</v>
      </c>
      <c r="C997" s="43">
        <v>241204</v>
      </c>
      <c r="D997" s="20" t="str">
        <f t="shared" si="495"/>
        <v>瑞陵精機</v>
      </c>
      <c r="E997" s="20" t="str">
        <f t="shared" si="496"/>
        <v>VO KIM THANH</v>
      </c>
      <c r="F997" s="20" t="str">
        <f t="shared" si="497"/>
        <v>ヴォ　キム　タイン</v>
      </c>
      <c r="G997" s="3"/>
      <c r="H997" s="3"/>
      <c r="I997" s="3">
        <v>25000</v>
      </c>
      <c r="J997" s="71"/>
      <c r="K997" s="3"/>
      <c r="L997" s="3"/>
      <c r="M997" s="95"/>
      <c r="N997" s="95"/>
      <c r="O997" s="95"/>
      <c r="P997" s="95"/>
      <c r="Q997" s="95"/>
      <c r="R997" s="95"/>
      <c r="S997" s="95"/>
      <c r="T997" s="95"/>
      <c r="U997" s="95"/>
      <c r="V997" s="95">
        <v>21774</v>
      </c>
      <c r="W997" s="95">
        <v>25000</v>
      </c>
      <c r="X997" s="95">
        <v>25000</v>
      </c>
      <c r="Y997" s="429">
        <v>25000</v>
      </c>
      <c r="Z997" s="463">
        <v>25000</v>
      </c>
      <c r="AA997" s="463">
        <f>25000+20000</f>
        <v>45000</v>
      </c>
      <c r="AB997" s="463">
        <v>0</v>
      </c>
      <c r="AC997" s="475"/>
    </row>
    <row r="998" spans="1:35">
      <c r="A998" s="145">
        <v>46022</v>
      </c>
      <c r="B998" s="376"/>
      <c r="C998" s="27">
        <v>221216</v>
      </c>
      <c r="D998" s="20" t="s">
        <v>76</v>
      </c>
      <c r="E998" s="20" t="s">
        <v>194</v>
      </c>
      <c r="F998" s="20" t="s">
        <v>195</v>
      </c>
      <c r="G998" s="11"/>
      <c r="H998" s="11"/>
      <c r="I998" s="3">
        <v>25000</v>
      </c>
      <c r="J998" s="65"/>
      <c r="O998" s="81"/>
      <c r="P998" s="81"/>
      <c r="Q998" s="81"/>
      <c r="R998" s="81"/>
      <c r="S998" s="81"/>
      <c r="T998" s="81"/>
      <c r="U998" s="81"/>
      <c r="V998" s="81"/>
      <c r="W998" s="81"/>
      <c r="X998" s="81"/>
      <c r="Y998" s="413"/>
      <c r="Z998" s="441"/>
      <c r="AA998" s="441"/>
      <c r="AB998" s="441"/>
      <c r="AC998" s="443"/>
      <c r="AD998" s="1"/>
      <c r="AE998" s="1"/>
      <c r="AI998" s="448">
        <v>25000</v>
      </c>
    </row>
    <row r="999" spans="1:35">
      <c r="F999" s="160"/>
      <c r="G999" s="10"/>
      <c r="H999" s="10"/>
      <c r="I999" s="10"/>
      <c r="J999" s="74"/>
      <c r="K999" s="10"/>
      <c r="L999" s="10"/>
      <c r="M999" s="88"/>
      <c r="N999" s="88"/>
      <c r="O999" s="88"/>
      <c r="P999" s="88"/>
      <c r="Q999" s="88"/>
      <c r="R999" s="88"/>
      <c r="S999" s="88"/>
      <c r="T999" s="88"/>
      <c r="U999" s="88"/>
      <c r="V999" s="88"/>
      <c r="W999" s="88"/>
      <c r="X999" s="88"/>
      <c r="Y999" s="410"/>
      <c r="Z999" s="438"/>
      <c r="AA999" s="438"/>
      <c r="AB999" s="438"/>
    </row>
    <row r="1000" spans="1:35">
      <c r="A1000" s="147"/>
      <c r="C1000" s="31"/>
      <c r="D1000" s="31"/>
      <c r="E1000" s="31" t="s">
        <v>20</v>
      </c>
      <c r="F1000" s="167"/>
      <c r="G1000" s="211">
        <v>35000</v>
      </c>
      <c r="H1000" s="211">
        <v>40000</v>
      </c>
      <c r="I1000" s="211" t="s">
        <v>584</v>
      </c>
      <c r="J1000" s="74"/>
      <c r="K1000" s="10"/>
      <c r="L1000" s="10"/>
      <c r="M1000" s="88"/>
      <c r="N1000" s="88"/>
      <c r="O1000" s="88"/>
      <c r="P1000" s="88"/>
      <c r="Q1000" s="88"/>
      <c r="R1000" s="88"/>
      <c r="S1000" s="88"/>
      <c r="T1000" s="88"/>
      <c r="U1000" s="88"/>
      <c r="V1000" s="88"/>
      <c r="W1000" s="88"/>
      <c r="X1000" s="88"/>
      <c r="Y1000" s="410"/>
      <c r="Z1000" s="438"/>
      <c r="AA1000" s="438"/>
      <c r="AB1000" s="438"/>
    </row>
    <row r="1001" spans="1:35">
      <c r="A1001" s="148" t="s">
        <v>1</v>
      </c>
      <c r="B1001" s="377" t="s">
        <v>529</v>
      </c>
      <c r="C1001" s="27" t="s">
        <v>2</v>
      </c>
      <c r="D1001" s="27" t="s">
        <v>2532</v>
      </c>
      <c r="E1001" s="27" t="s">
        <v>2433</v>
      </c>
      <c r="F1001" s="165"/>
      <c r="G1001" s="22"/>
      <c r="H1001" s="22"/>
      <c r="I1001" s="22" t="s">
        <v>3</v>
      </c>
      <c r="J1001" s="90"/>
      <c r="K1001" s="91"/>
      <c r="L1001" s="91"/>
      <c r="M1001" s="92"/>
      <c r="N1001" s="92"/>
      <c r="O1001" s="92"/>
      <c r="P1001" s="92"/>
      <c r="Q1001" s="92"/>
      <c r="R1001" s="92"/>
      <c r="S1001" s="92"/>
      <c r="T1001" s="92"/>
      <c r="U1001" s="92"/>
      <c r="V1001" s="92"/>
      <c r="W1001" s="92"/>
      <c r="X1001" s="92"/>
      <c r="Y1001" s="411"/>
      <c r="Z1001" s="439"/>
      <c r="AA1001" s="439"/>
      <c r="AB1001" s="439"/>
    </row>
    <row r="1002" spans="1:35">
      <c r="A1002" s="148">
        <v>44455</v>
      </c>
      <c r="B1002" s="377"/>
      <c r="C1002" s="7">
        <v>210908</v>
      </c>
      <c r="D1002" s="20" t="str">
        <f t="shared" si="470"/>
        <v>PATEC</v>
      </c>
      <c r="E1002" s="20" t="str">
        <f t="shared" si="471"/>
        <v>NGUYEN MINH TIEN</v>
      </c>
      <c r="F1002" s="20" t="str">
        <f t="shared" si="472"/>
        <v>グエン　ミン　ティエン</v>
      </c>
      <c r="G1002" s="11"/>
      <c r="H1002" s="11"/>
      <c r="I1002" s="11">
        <v>20000</v>
      </c>
      <c r="J1002" s="65"/>
      <c r="K1002" s="11">
        <v>20000</v>
      </c>
      <c r="L1002" s="11">
        <v>20000</v>
      </c>
      <c r="M1002" s="81">
        <v>20000</v>
      </c>
      <c r="N1002" s="81">
        <f>20000+20000+20000</f>
        <v>60000</v>
      </c>
      <c r="O1002" s="130">
        <v>0</v>
      </c>
      <c r="P1002" s="130">
        <v>0</v>
      </c>
      <c r="Q1002" s="130">
        <v>20000</v>
      </c>
      <c r="R1002" s="130">
        <v>20000</v>
      </c>
      <c r="S1002" s="130">
        <v>20000</v>
      </c>
      <c r="T1002" s="130">
        <v>20000</v>
      </c>
      <c r="U1002" s="130">
        <v>20000</v>
      </c>
      <c r="V1002" s="130">
        <v>20000</v>
      </c>
      <c r="W1002" s="130">
        <v>20000</v>
      </c>
      <c r="X1002" s="130">
        <v>20000</v>
      </c>
      <c r="Y1002" s="408">
        <v>20000</v>
      </c>
      <c r="Z1002" s="437">
        <v>20000</v>
      </c>
      <c r="AA1002" s="437">
        <v>20000</v>
      </c>
      <c r="AB1002" s="437">
        <v>20000</v>
      </c>
      <c r="AC1002" s="437">
        <v>20000</v>
      </c>
      <c r="AD1002" s="437">
        <v>20000</v>
      </c>
      <c r="AE1002" s="437">
        <v>20000</v>
      </c>
      <c r="AF1002" s="437">
        <v>20000</v>
      </c>
      <c r="AG1002" s="437">
        <v>20000</v>
      </c>
      <c r="AH1002" s="437">
        <v>20000</v>
      </c>
      <c r="AI1002" s="437">
        <v>20000</v>
      </c>
    </row>
    <row r="1003" spans="1:35">
      <c r="A1003" s="145">
        <v>45522</v>
      </c>
      <c r="B1003" s="376">
        <v>45985</v>
      </c>
      <c r="C1003" s="27">
        <v>240812</v>
      </c>
      <c r="D1003" s="20" t="str">
        <f t="shared" ref="D1003" si="498">IF(C1003="","",_xlfn.XLOOKUP(C1003,社員№,派遣先,"",0,-1))</f>
        <v>PATEC</v>
      </c>
      <c r="E1003" s="20" t="str">
        <f t="shared" ref="E1003" si="499">IF(C1003="","",_xlfn.XLOOKUP(C1003,社員№,氏名,"",0,-1))</f>
        <v>TRAN NAM ANH</v>
      </c>
      <c r="F1003" s="20" t="str">
        <f t="shared" ref="F1003" si="500">IF(C1003="","",_xlfn.XLOOKUP(C1003,社員№,カナ,"",0,-1))</f>
        <v>チャン　ナム　アイン</v>
      </c>
      <c r="G1003" s="11"/>
      <c r="H1003" s="11"/>
      <c r="I1003" s="11">
        <v>20000</v>
      </c>
      <c r="J1003" s="566"/>
      <c r="K1003" s="567"/>
      <c r="R1003" s="130">
        <v>9032</v>
      </c>
      <c r="S1003" s="130">
        <v>20000</v>
      </c>
      <c r="T1003" s="130">
        <v>20000</v>
      </c>
      <c r="U1003" s="130">
        <v>20000</v>
      </c>
      <c r="V1003" s="130">
        <v>20000</v>
      </c>
      <c r="W1003" s="130">
        <v>20000</v>
      </c>
      <c r="X1003" s="130">
        <v>20000</v>
      </c>
      <c r="Y1003" s="408">
        <v>20000</v>
      </c>
      <c r="Z1003" s="437">
        <v>20000</v>
      </c>
      <c r="AA1003" s="437">
        <v>20000</v>
      </c>
      <c r="AB1003" s="437">
        <v>20000</v>
      </c>
      <c r="AC1003" s="437">
        <v>20000</v>
      </c>
      <c r="AD1003" s="437">
        <v>20000</v>
      </c>
      <c r="AE1003" s="437">
        <v>20000</v>
      </c>
      <c r="AF1003" s="437">
        <v>20000</v>
      </c>
      <c r="AG1003" s="522">
        <v>40000</v>
      </c>
      <c r="AI1003" s="448">
        <v>0</v>
      </c>
    </row>
    <row r="1004" spans="1:35">
      <c r="A1004" s="145">
        <v>46037</v>
      </c>
      <c r="B1004" s="376"/>
      <c r="C1004" s="27">
        <v>260105</v>
      </c>
      <c r="D1004" s="20" t="s">
        <v>50</v>
      </c>
      <c r="E1004" s="20" t="s">
        <v>2155</v>
      </c>
      <c r="F1004" s="20" t="s">
        <v>2156</v>
      </c>
      <c r="G1004" s="11"/>
      <c r="H1004" s="11"/>
      <c r="I1004" s="11">
        <v>20000</v>
      </c>
      <c r="J1004" s="120"/>
      <c r="K1004" s="120"/>
      <c r="O1004" s="81"/>
      <c r="P1004" s="81"/>
      <c r="Q1004" s="81"/>
      <c r="R1004" s="81"/>
      <c r="S1004" s="81"/>
      <c r="T1004" s="81"/>
      <c r="U1004" s="81"/>
      <c r="V1004" s="81"/>
      <c r="W1004" s="81"/>
      <c r="X1004" s="81"/>
      <c r="Y1004" s="413"/>
      <c r="Z1004" s="441"/>
      <c r="AA1004" s="441"/>
      <c r="AB1004" s="441"/>
      <c r="AC1004" s="441"/>
      <c r="AD1004" s="441"/>
      <c r="AE1004" s="441"/>
      <c r="AF1004" s="441"/>
      <c r="AG1004" s="499"/>
      <c r="AI1004" s="448">
        <v>10000</v>
      </c>
    </row>
    <row r="1005" spans="1:35">
      <c r="A1005" s="147"/>
      <c r="F1005" s="160"/>
      <c r="J1005" s="74"/>
      <c r="K1005" s="10"/>
      <c r="L1005" s="10"/>
      <c r="M1005" s="88"/>
      <c r="N1005" s="88"/>
      <c r="O1005" s="88"/>
      <c r="P1005" s="88"/>
      <c r="Q1005" s="88"/>
      <c r="R1005" s="88"/>
      <c r="S1005" s="88"/>
      <c r="T1005" s="88"/>
      <c r="U1005" s="88"/>
      <c r="V1005" s="88"/>
      <c r="W1005" s="88"/>
      <c r="X1005" s="88"/>
      <c r="Y1005" s="410"/>
      <c r="Z1005" s="438"/>
      <c r="AA1005" s="438"/>
      <c r="AB1005" s="438"/>
      <c r="AF1005" s="538"/>
      <c r="AG1005" s="544"/>
    </row>
    <row r="1006" spans="1:35">
      <c r="A1006" s="466"/>
      <c r="C1006" s="31"/>
      <c r="D1006" s="31"/>
      <c r="E1006" s="31" t="s">
        <v>41</v>
      </c>
      <c r="F1006" s="167"/>
      <c r="G1006" s="211">
        <v>35000</v>
      </c>
      <c r="H1006" s="211">
        <v>40000</v>
      </c>
      <c r="I1006" s="211" t="s">
        <v>584</v>
      </c>
      <c r="J1006" s="74"/>
      <c r="K1006" s="10"/>
      <c r="L1006" s="10"/>
      <c r="M1006" s="88"/>
      <c r="N1006" s="88"/>
      <c r="O1006" s="88"/>
      <c r="P1006" s="88"/>
      <c r="Q1006" s="88"/>
      <c r="R1006" s="88"/>
      <c r="S1006" s="88"/>
      <c r="T1006" s="88"/>
      <c r="U1006" s="88"/>
      <c r="V1006" s="88"/>
      <c r="W1006" s="88"/>
      <c r="X1006" s="88"/>
      <c r="Y1006" s="410"/>
      <c r="Z1006" s="438"/>
      <c r="AA1006" s="438"/>
      <c r="AB1006" s="438"/>
    </row>
    <row r="1007" spans="1:35">
      <c r="A1007" s="148" t="s">
        <v>1</v>
      </c>
      <c r="B1007" s="377" t="s">
        <v>529</v>
      </c>
      <c r="C1007" s="27" t="s">
        <v>2</v>
      </c>
      <c r="D1007" s="27" t="s">
        <v>2532</v>
      </c>
      <c r="E1007" s="27" t="s">
        <v>2433</v>
      </c>
      <c r="F1007" s="165"/>
      <c r="G1007" s="22"/>
      <c r="H1007" s="22"/>
      <c r="I1007" s="22" t="s">
        <v>3</v>
      </c>
      <c r="J1007" s="90"/>
      <c r="K1007" s="91"/>
      <c r="L1007" s="91"/>
      <c r="M1007" s="92"/>
      <c r="N1007" s="92"/>
      <c r="O1007" s="92"/>
      <c r="P1007" s="92"/>
      <c r="Q1007" s="92"/>
      <c r="R1007" s="92"/>
      <c r="S1007" s="92"/>
      <c r="T1007" s="92"/>
      <c r="U1007" s="92"/>
      <c r="V1007" s="92"/>
      <c r="W1007" s="92"/>
      <c r="X1007" s="92"/>
      <c r="Y1007" s="411"/>
      <c r="Z1007" s="439"/>
      <c r="AA1007" s="439"/>
      <c r="AB1007" s="439"/>
    </row>
    <row r="1008" spans="1:35">
      <c r="A1008" s="145">
        <v>45484</v>
      </c>
      <c r="B1008" s="376">
        <v>45807</v>
      </c>
      <c r="C1008" s="27">
        <v>240708</v>
      </c>
      <c r="D1008" s="20" t="str">
        <f t="shared" si="470"/>
        <v>PATEC</v>
      </c>
      <c r="E1008" s="20" t="str">
        <f t="shared" si="471"/>
        <v>PHAM HUYNH DUC</v>
      </c>
      <c r="F1008" s="20" t="str">
        <f t="shared" si="472"/>
        <v>ファム　フィン　ドゥック</v>
      </c>
      <c r="G1008" s="4"/>
      <c r="H1008" s="4" t="s">
        <v>965</v>
      </c>
      <c r="I1008" s="4">
        <v>20000</v>
      </c>
      <c r="J1008" s="65"/>
      <c r="K1008" s="98"/>
      <c r="L1008" s="98"/>
      <c r="M1008" s="99"/>
      <c r="N1008" s="99"/>
      <c r="O1008" s="99"/>
      <c r="P1008" s="81">
        <v>7040</v>
      </c>
      <c r="Q1008" s="81">
        <f>7040+5110+13548</f>
        <v>25698</v>
      </c>
      <c r="R1008" s="81">
        <v>20000</v>
      </c>
      <c r="S1008" s="81">
        <v>20000</v>
      </c>
      <c r="T1008" s="81">
        <v>20000</v>
      </c>
      <c r="U1008" s="81">
        <v>20000</v>
      </c>
      <c r="V1008" s="81">
        <v>20000</v>
      </c>
      <c r="W1008" s="81">
        <v>20000</v>
      </c>
      <c r="X1008" s="81">
        <v>20000</v>
      </c>
      <c r="Y1008" s="413">
        <v>20000</v>
      </c>
      <c r="Z1008" s="441">
        <v>20000</v>
      </c>
      <c r="AA1008" s="441">
        <v>20000</v>
      </c>
      <c r="AB1008" s="441">
        <v>0</v>
      </c>
      <c r="AC1008" s="475"/>
      <c r="AI1008" s="448">
        <v>0</v>
      </c>
    </row>
    <row r="1009" spans="1:35">
      <c r="A1009" s="228">
        <v>45484</v>
      </c>
      <c r="B1009" s="375"/>
      <c r="C1009" s="43">
        <v>240709</v>
      </c>
      <c r="D1009" s="20" t="str">
        <f t="shared" ref="D1009" si="501">IF(C1009="","",_xlfn.XLOOKUP(C1009,社員№,派遣先,"",0,-1))</f>
        <v>PATEC</v>
      </c>
      <c r="E1009" s="20" t="str">
        <f t="shared" ref="E1009" si="502">IF(C1009="","",_xlfn.XLOOKUP(C1009,社員№,氏名,"",0,-1))</f>
        <v>NGUYEN TRONG DAI</v>
      </c>
      <c r="F1009" s="20" t="str">
        <f t="shared" ref="F1009" si="503">IF(C1009="","",_xlfn.XLOOKUP(C1009,社員№,カナ,"",0,-1))</f>
        <v>グエン　チョン　ダイ</v>
      </c>
      <c r="G1009" s="481"/>
      <c r="H1009" s="481"/>
      <c r="I1009" s="481">
        <v>20000</v>
      </c>
      <c r="J1009" s="71"/>
      <c r="K1009" s="98"/>
      <c r="L1009" s="98"/>
      <c r="M1009" s="99"/>
      <c r="N1009" s="99"/>
      <c r="O1009" s="99"/>
      <c r="P1009" s="95">
        <v>7040</v>
      </c>
      <c r="Q1009" s="95">
        <f>7040+5110+13548</f>
        <v>25698</v>
      </c>
      <c r="R1009" s="95">
        <v>20000</v>
      </c>
      <c r="S1009" s="95">
        <v>20000</v>
      </c>
      <c r="T1009" s="95">
        <v>20000</v>
      </c>
      <c r="U1009" s="95">
        <v>20000</v>
      </c>
      <c r="V1009" s="95">
        <v>20000</v>
      </c>
      <c r="W1009" s="95">
        <v>20000</v>
      </c>
      <c r="X1009" s="95">
        <v>20000</v>
      </c>
      <c r="Y1009" s="429">
        <v>20000</v>
      </c>
      <c r="Z1009" s="463">
        <v>20000</v>
      </c>
      <c r="AA1009" s="463">
        <v>20000</v>
      </c>
      <c r="AB1009" s="463">
        <v>20000</v>
      </c>
      <c r="AC1009" s="463">
        <v>20000</v>
      </c>
      <c r="AD1009" s="463">
        <v>20000</v>
      </c>
      <c r="AE1009" s="451">
        <v>20000</v>
      </c>
      <c r="AF1009" s="451">
        <v>20000</v>
      </c>
      <c r="AG1009" s="522">
        <v>20000</v>
      </c>
      <c r="AH1009" s="522">
        <v>20000</v>
      </c>
      <c r="AI1009" s="522">
        <v>20000</v>
      </c>
    </row>
    <row r="1010" spans="1:35">
      <c r="A1010" s="145">
        <v>46037</v>
      </c>
      <c r="B1010" s="376"/>
      <c r="C1010" s="27">
        <v>260104</v>
      </c>
      <c r="D1010" s="20" t="s">
        <v>50</v>
      </c>
      <c r="E1010" s="20" t="s">
        <v>2849</v>
      </c>
      <c r="F1010" s="20" t="s">
        <v>1474</v>
      </c>
      <c r="G1010" s="4"/>
      <c r="H1010" s="4"/>
      <c r="I1010" s="4"/>
      <c r="J1010" s="65"/>
      <c r="O1010" s="81"/>
      <c r="P1010" s="81"/>
      <c r="Q1010" s="81"/>
      <c r="R1010" s="81"/>
      <c r="S1010" s="81"/>
      <c r="T1010" s="81"/>
      <c r="U1010" s="81"/>
      <c r="V1010" s="81"/>
      <c r="W1010" s="81"/>
      <c r="X1010" s="81"/>
      <c r="Y1010" s="413"/>
      <c r="Z1010" s="441"/>
      <c r="AA1010" s="441"/>
      <c r="AB1010" s="441"/>
      <c r="AC1010" s="441"/>
      <c r="AD1010" s="441"/>
      <c r="AE1010" s="441"/>
      <c r="AF1010" s="441"/>
      <c r="AG1010" s="522"/>
      <c r="AH1010" s="522"/>
      <c r="AI1010" s="448">
        <v>10000</v>
      </c>
    </row>
    <row r="1011" spans="1:35">
      <c r="A1011" s="147"/>
      <c r="F1011" s="160"/>
      <c r="J1011" s="74"/>
      <c r="K1011" s="10"/>
      <c r="L1011" s="10"/>
      <c r="M1011" s="88"/>
      <c r="N1011" s="88"/>
      <c r="O1011" s="88"/>
      <c r="P1011" s="88"/>
      <c r="Q1011" s="88"/>
      <c r="R1011" s="88"/>
      <c r="S1011" s="88"/>
      <c r="T1011" s="88"/>
      <c r="U1011" s="88"/>
      <c r="V1011" s="88"/>
      <c r="W1011" s="88"/>
      <c r="X1011" s="88"/>
      <c r="Y1011" s="410"/>
      <c r="Z1011" s="438"/>
      <c r="AA1011" s="438"/>
      <c r="AB1011" s="438"/>
      <c r="AF1011" s="538"/>
    </row>
    <row r="1012" spans="1:35" hidden="1">
      <c r="A1012" s="466" t="s">
        <v>1042</v>
      </c>
      <c r="C1012" s="34"/>
      <c r="D1012" s="34"/>
      <c r="E1012" s="34" t="s">
        <v>42</v>
      </c>
      <c r="F1012" s="198"/>
      <c r="G1012" s="211">
        <v>35000</v>
      </c>
      <c r="H1012" s="211">
        <v>40000</v>
      </c>
      <c r="I1012" s="211" t="s">
        <v>584</v>
      </c>
      <c r="J1012" s="74"/>
      <c r="K1012" s="10"/>
      <c r="L1012" s="10"/>
      <c r="M1012" s="88"/>
      <c r="N1012" s="88"/>
      <c r="O1012" s="88"/>
      <c r="P1012" s="88"/>
      <c r="Q1012" s="88"/>
      <c r="R1012" s="88"/>
      <c r="S1012" s="88"/>
      <c r="T1012" s="88"/>
      <c r="U1012" s="88"/>
      <c r="V1012" s="88"/>
      <c r="W1012" s="88"/>
      <c r="X1012" s="88"/>
      <c r="Y1012" s="410"/>
      <c r="Z1012" s="438"/>
      <c r="AA1012" s="438"/>
      <c r="AB1012" s="438"/>
    </row>
    <row r="1013" spans="1:35" hidden="1">
      <c r="A1013" s="148" t="s">
        <v>1</v>
      </c>
      <c r="B1013" s="377" t="s">
        <v>529</v>
      </c>
      <c r="C1013" s="27" t="s">
        <v>2</v>
      </c>
      <c r="D1013" s="27" t="s">
        <v>2532</v>
      </c>
      <c r="E1013" s="27" t="s">
        <v>2433</v>
      </c>
      <c r="F1013" s="165"/>
      <c r="G1013" s="22"/>
      <c r="H1013" s="22"/>
      <c r="I1013" s="22" t="s">
        <v>3</v>
      </c>
      <c r="J1013" s="90"/>
      <c r="K1013" s="91"/>
      <c r="L1013" s="91"/>
      <c r="M1013" s="92"/>
      <c r="N1013" s="92"/>
      <c r="O1013" s="92"/>
      <c r="P1013" s="92"/>
      <c r="Q1013" s="92"/>
      <c r="R1013" s="92"/>
      <c r="S1013" s="92"/>
      <c r="T1013" s="92"/>
      <c r="U1013" s="92"/>
      <c r="V1013" s="92"/>
      <c r="W1013" s="92"/>
      <c r="X1013" s="92"/>
      <c r="Y1013" s="411"/>
      <c r="Z1013" s="439"/>
      <c r="AA1013" s="439"/>
      <c r="AB1013" s="439"/>
    </row>
    <row r="1014" spans="1:35" hidden="1">
      <c r="A1014" s="148">
        <v>44670</v>
      </c>
      <c r="B1014" s="377">
        <v>45768</v>
      </c>
      <c r="C1014" s="27">
        <v>220413</v>
      </c>
      <c r="D1014" s="20" t="str">
        <f t="shared" si="470"/>
        <v>PATEC</v>
      </c>
      <c r="E1014" s="20" t="str">
        <f t="shared" si="471"/>
        <v>NGUYEN VAN NINH</v>
      </c>
      <c r="F1014" s="20" t="str">
        <f t="shared" si="472"/>
        <v>グエン　ヴァン　ニン</v>
      </c>
      <c r="G1014" s="11"/>
      <c r="H1014" s="11"/>
      <c r="I1014" s="11">
        <v>20000</v>
      </c>
      <c r="J1014" s="65"/>
      <c r="K1014" s="11">
        <v>20000</v>
      </c>
      <c r="L1014" s="11">
        <v>20000</v>
      </c>
      <c r="M1014" s="81">
        <v>20000</v>
      </c>
      <c r="N1014" s="81">
        <v>20000</v>
      </c>
      <c r="O1014" s="130">
        <v>20000</v>
      </c>
      <c r="P1014" s="130">
        <v>20000</v>
      </c>
      <c r="Q1014" s="130">
        <v>20000</v>
      </c>
      <c r="R1014" s="81">
        <v>20000</v>
      </c>
      <c r="S1014" s="81">
        <v>20000</v>
      </c>
      <c r="T1014" s="81">
        <v>20000</v>
      </c>
      <c r="U1014" s="81">
        <v>20000</v>
      </c>
      <c r="V1014" s="81">
        <v>20000</v>
      </c>
      <c r="W1014" s="81">
        <v>20000</v>
      </c>
      <c r="X1014" s="81">
        <v>20000</v>
      </c>
      <c r="Y1014" s="413">
        <v>20000</v>
      </c>
      <c r="Z1014" s="441">
        <f>20000+20000</f>
        <v>40000</v>
      </c>
      <c r="AA1014" s="441">
        <v>0</v>
      </c>
      <c r="AB1014" s="441">
        <v>0</v>
      </c>
    </row>
    <row r="1015" spans="1:35" hidden="1">
      <c r="A1015" s="148">
        <v>45505</v>
      </c>
      <c r="B1015" s="377">
        <v>45807</v>
      </c>
      <c r="C1015" s="27">
        <v>240807</v>
      </c>
      <c r="D1015" s="20" t="str">
        <f t="shared" ref="D1015" si="504">IF(C1015="","",_xlfn.XLOOKUP(C1015,社員№,派遣先,"",0,-1))</f>
        <v>PATEC</v>
      </c>
      <c r="E1015" s="20" t="str">
        <f t="shared" ref="E1015" si="505">IF(C1015="","",_xlfn.XLOOKUP(C1015,社員№,氏名,"",0,-1))</f>
        <v>NGUYEN NGOC NHUT</v>
      </c>
      <c r="F1015" s="20" t="str">
        <f t="shared" ref="F1015" si="506">IF(C1015="","",_xlfn.XLOOKUP(C1015,社員№,カナ,"",0,-1))</f>
        <v>グエン　ゴック　ヌット</v>
      </c>
      <c r="G1015" s="11"/>
      <c r="H1015" s="11" t="s">
        <v>965</v>
      </c>
      <c r="I1015" s="11">
        <v>20000</v>
      </c>
      <c r="J1015" s="65"/>
      <c r="R1015" s="81">
        <v>20000</v>
      </c>
      <c r="S1015" s="81">
        <v>20000</v>
      </c>
      <c r="T1015" s="81">
        <v>20000</v>
      </c>
      <c r="U1015" s="81">
        <v>20000</v>
      </c>
      <c r="V1015" s="81">
        <v>20000</v>
      </c>
      <c r="W1015" s="81">
        <v>20000</v>
      </c>
      <c r="X1015" s="81">
        <v>20000</v>
      </c>
      <c r="Y1015" s="413">
        <v>20000</v>
      </c>
      <c r="Z1015" s="441">
        <v>20000</v>
      </c>
      <c r="AA1015" s="441">
        <v>20000</v>
      </c>
      <c r="AB1015" s="441">
        <v>0</v>
      </c>
      <c r="AC1015" s="475"/>
    </row>
    <row r="1016" spans="1:35" hidden="1">
      <c r="A1016" s="147"/>
      <c r="F1016" s="160"/>
      <c r="G1016" s="10"/>
      <c r="H1016" s="10"/>
      <c r="I1016" s="10"/>
      <c r="J1016" s="74"/>
      <c r="K1016" s="10"/>
      <c r="L1016" s="10"/>
      <c r="M1016" s="88"/>
      <c r="N1016" s="88"/>
      <c r="O1016" s="88"/>
      <c r="P1016" s="88"/>
      <c r="Q1016" s="88"/>
      <c r="R1016" s="88"/>
      <c r="S1016" s="88"/>
      <c r="T1016" s="88"/>
      <c r="U1016" s="88"/>
      <c r="V1016" s="88"/>
      <c r="W1016" s="88"/>
      <c r="X1016" s="88"/>
      <c r="Y1016" s="410"/>
      <c r="Z1016" s="438"/>
      <c r="AA1016" s="438"/>
      <c r="AB1016" s="438"/>
    </row>
    <row r="1017" spans="1:35" hidden="1">
      <c r="A1017" s="465" t="s">
        <v>1042</v>
      </c>
      <c r="C1017" s="31"/>
      <c r="D1017" s="31"/>
      <c r="E1017" s="31" t="s">
        <v>44</v>
      </c>
      <c r="F1017" s="167"/>
      <c r="G1017" s="211">
        <v>35000</v>
      </c>
      <c r="H1017" s="211">
        <v>40000</v>
      </c>
      <c r="I1017" s="211" t="s">
        <v>584</v>
      </c>
      <c r="J1017" s="74"/>
      <c r="K1017" s="10"/>
      <c r="L1017" s="10"/>
      <c r="M1017" s="88"/>
      <c r="N1017" s="88"/>
      <c r="O1017" s="88"/>
      <c r="P1017" s="88"/>
      <c r="Q1017" s="88"/>
      <c r="R1017" s="88"/>
      <c r="S1017" s="88"/>
      <c r="T1017" s="88"/>
      <c r="U1017" s="88"/>
      <c r="V1017" s="88"/>
      <c r="W1017" s="88"/>
      <c r="X1017" s="88"/>
      <c r="Y1017" s="410"/>
      <c r="Z1017" s="438"/>
      <c r="AA1017" s="438"/>
      <c r="AB1017" s="438"/>
    </row>
    <row r="1018" spans="1:35" hidden="1">
      <c r="A1018" s="148" t="s">
        <v>1</v>
      </c>
      <c r="B1018" s="377" t="s">
        <v>529</v>
      </c>
      <c r="C1018" s="27" t="s">
        <v>2</v>
      </c>
      <c r="D1018" s="27" t="s">
        <v>2532</v>
      </c>
      <c r="E1018" s="27" t="s">
        <v>2433</v>
      </c>
      <c r="F1018" s="165"/>
      <c r="G1018" s="22"/>
      <c r="H1018" s="22"/>
      <c r="I1018" s="22" t="s">
        <v>3</v>
      </c>
      <c r="J1018" s="90"/>
      <c r="K1018" s="91"/>
      <c r="L1018" s="91"/>
      <c r="M1018" s="92"/>
      <c r="N1018" s="92"/>
      <c r="O1018" s="92"/>
      <c r="P1018" s="92"/>
      <c r="Q1018" s="92"/>
      <c r="R1018" s="92"/>
      <c r="S1018" s="92"/>
      <c r="T1018" s="92"/>
      <c r="U1018" s="92"/>
      <c r="V1018" s="92"/>
      <c r="W1018" s="92"/>
      <c r="X1018" s="92"/>
      <c r="Y1018" s="411"/>
      <c r="Z1018" s="439"/>
      <c r="AA1018" s="439"/>
      <c r="AB1018" s="439"/>
    </row>
    <row r="1019" spans="1:35" hidden="1">
      <c r="A1019" s="145">
        <v>44520</v>
      </c>
      <c r="B1019" s="376">
        <v>45807</v>
      </c>
      <c r="C1019" s="27">
        <v>211109</v>
      </c>
      <c r="D1019" s="20" t="str">
        <f t="shared" si="470"/>
        <v>PATEC</v>
      </c>
      <c r="E1019" s="20" t="str">
        <f t="shared" si="471"/>
        <v>HOANG THE VINH</v>
      </c>
      <c r="F1019" s="20" t="str">
        <f t="shared" si="472"/>
        <v>ホアン　テー　ヴィン</v>
      </c>
      <c r="G1019" s="11"/>
      <c r="H1019" s="11" t="s">
        <v>965</v>
      </c>
      <c r="I1019" s="11">
        <v>20000</v>
      </c>
      <c r="J1019" s="67"/>
      <c r="K1019" s="78">
        <v>20000</v>
      </c>
      <c r="L1019" s="78">
        <v>20000</v>
      </c>
      <c r="M1019" s="87">
        <v>20000</v>
      </c>
      <c r="N1019" s="87">
        <v>20000</v>
      </c>
      <c r="O1019" s="132">
        <v>20000</v>
      </c>
      <c r="P1019" s="132">
        <v>20000</v>
      </c>
      <c r="Q1019" s="81">
        <v>20000</v>
      </c>
      <c r="R1019" s="27">
        <f>20000+20000</f>
        <v>40000</v>
      </c>
      <c r="S1019" s="27">
        <v>0</v>
      </c>
      <c r="T1019" s="27">
        <v>20000</v>
      </c>
      <c r="U1019" s="27">
        <v>20000</v>
      </c>
      <c r="V1019" s="27">
        <v>20000</v>
      </c>
      <c r="W1019" s="27">
        <v>20000</v>
      </c>
      <c r="X1019" s="27">
        <v>20000</v>
      </c>
      <c r="Y1019" s="7">
        <v>20000</v>
      </c>
      <c r="Z1019" s="448">
        <v>20000</v>
      </c>
      <c r="AA1019" s="448">
        <v>20000</v>
      </c>
      <c r="AB1019" s="448">
        <v>0</v>
      </c>
      <c r="AC1019" s="479"/>
    </row>
    <row r="1020" spans="1:35" hidden="1">
      <c r="A1020" s="145">
        <v>44895</v>
      </c>
      <c r="B1020" s="376">
        <v>45807</v>
      </c>
      <c r="C1020" s="27">
        <v>220916</v>
      </c>
      <c r="D1020" s="20" t="str">
        <f t="shared" ref="D1020" si="507">IF(C1020="","",_xlfn.XLOOKUP(C1020,社員№,派遣先,"",0,-1))</f>
        <v>PATEC</v>
      </c>
      <c r="E1020" s="20" t="str">
        <f t="shared" ref="E1020" si="508">IF(C1020="","",_xlfn.XLOOKUP(C1020,社員№,氏名,"",0,-1))</f>
        <v>NGUYEN CUONG</v>
      </c>
      <c r="F1020" s="20" t="str">
        <f t="shared" ref="F1020" si="509">IF(C1020="","",_xlfn.XLOOKUP(C1020,社員№,カナ,"",0,-1))</f>
        <v>グエン　クオン</v>
      </c>
      <c r="G1020" s="11"/>
      <c r="H1020" s="11"/>
      <c r="I1020" s="11">
        <v>20000</v>
      </c>
      <c r="J1020" s="65"/>
      <c r="K1020" s="11">
        <v>20000</v>
      </c>
      <c r="L1020" s="11">
        <v>20000</v>
      </c>
      <c r="M1020" s="81">
        <v>20000</v>
      </c>
      <c r="N1020" s="81">
        <v>20000</v>
      </c>
      <c r="O1020" s="130">
        <v>20000</v>
      </c>
      <c r="P1020" s="130">
        <v>20000</v>
      </c>
      <c r="Q1020" s="130">
        <v>20000</v>
      </c>
      <c r="R1020" s="130">
        <v>20000</v>
      </c>
      <c r="S1020" s="130">
        <v>20000</v>
      </c>
      <c r="T1020" s="130">
        <v>20000</v>
      </c>
      <c r="U1020" s="130">
        <v>20000</v>
      </c>
      <c r="V1020" s="130">
        <v>20000</v>
      </c>
      <c r="W1020" s="130">
        <v>20000</v>
      </c>
      <c r="X1020" s="130">
        <v>20000</v>
      </c>
      <c r="Y1020" s="408">
        <v>20000</v>
      </c>
      <c r="Z1020" s="437">
        <v>20000</v>
      </c>
      <c r="AA1020" s="437">
        <f>20000+20000</f>
        <v>40000</v>
      </c>
      <c r="AB1020" s="437">
        <v>0</v>
      </c>
      <c r="AC1020" s="477"/>
    </row>
    <row r="1021" spans="1:35" hidden="1">
      <c r="A1021" s="147"/>
      <c r="F1021" s="160"/>
      <c r="G1021" s="10"/>
      <c r="H1021" s="10"/>
      <c r="I1021" s="10"/>
      <c r="J1021" s="74"/>
      <c r="K1021" s="10"/>
      <c r="L1021" s="10"/>
      <c r="M1021" s="88"/>
      <c r="N1021" s="88"/>
      <c r="O1021" s="88"/>
      <c r="P1021" s="88"/>
      <c r="Q1021" s="88"/>
      <c r="R1021" s="88"/>
      <c r="S1021" s="88"/>
      <c r="T1021" s="88"/>
      <c r="U1021" s="88"/>
      <c r="V1021" s="88"/>
      <c r="W1021" s="88"/>
      <c r="X1021" s="88"/>
      <c r="Y1021" s="410"/>
      <c r="Z1021" s="438"/>
      <c r="AA1021" s="438"/>
      <c r="AB1021" s="438"/>
    </row>
    <row r="1022" spans="1:35">
      <c r="A1022" s="465"/>
      <c r="C1022" s="31"/>
      <c r="D1022" s="31"/>
      <c r="E1022" s="31" t="s">
        <v>43</v>
      </c>
      <c r="F1022" s="167"/>
      <c r="G1022" s="211">
        <v>35000</v>
      </c>
      <c r="H1022" s="211">
        <v>40000</v>
      </c>
      <c r="I1022" s="211" t="s">
        <v>584</v>
      </c>
      <c r="J1022" s="74"/>
      <c r="K1022" s="10"/>
      <c r="L1022" s="10"/>
      <c r="M1022" s="88"/>
      <c r="N1022" s="88"/>
      <c r="O1022" s="88"/>
      <c r="P1022" s="88"/>
      <c r="Q1022" s="88"/>
      <c r="R1022" s="88"/>
      <c r="S1022" s="88"/>
      <c r="T1022" s="88"/>
      <c r="U1022" s="88"/>
      <c r="V1022" s="88"/>
      <c r="W1022" s="88"/>
      <c r="X1022" s="88"/>
      <c r="Y1022" s="410"/>
      <c r="Z1022" s="438"/>
      <c r="AA1022" s="438"/>
      <c r="AB1022" s="438"/>
    </row>
    <row r="1023" spans="1:35">
      <c r="A1023" s="148" t="s">
        <v>1</v>
      </c>
      <c r="B1023" s="377" t="s">
        <v>529</v>
      </c>
      <c r="C1023" s="27" t="s">
        <v>2</v>
      </c>
      <c r="D1023" s="27" t="s">
        <v>2532</v>
      </c>
      <c r="E1023" s="27" t="s">
        <v>2433</v>
      </c>
      <c r="F1023" s="165"/>
      <c r="G1023" s="22"/>
      <c r="H1023" s="22"/>
      <c r="I1023" s="22" t="s">
        <v>3</v>
      </c>
      <c r="J1023" s="90"/>
      <c r="K1023" s="91"/>
      <c r="L1023" s="91"/>
      <c r="M1023" s="92"/>
      <c r="N1023" s="92"/>
      <c r="O1023" s="92"/>
      <c r="P1023" s="92"/>
      <c r="Q1023" s="92"/>
      <c r="R1023" s="92"/>
      <c r="S1023" s="92"/>
      <c r="T1023" s="92"/>
      <c r="U1023" s="92"/>
      <c r="V1023" s="92"/>
      <c r="W1023" s="92"/>
      <c r="X1023" s="92"/>
      <c r="Y1023" s="411"/>
      <c r="Z1023" s="439"/>
      <c r="AA1023" s="439"/>
      <c r="AB1023" s="439"/>
    </row>
    <row r="1024" spans="1:35">
      <c r="A1024" s="145">
        <v>44846</v>
      </c>
      <c r="B1024" s="376"/>
      <c r="C1024" s="27">
        <v>221009</v>
      </c>
      <c r="D1024" s="20" t="str">
        <f t="shared" si="470"/>
        <v>PATEC</v>
      </c>
      <c r="E1024" s="20" t="str">
        <f t="shared" si="471"/>
        <v>TRAN DINH MINH</v>
      </c>
      <c r="F1024" s="20" t="str">
        <f t="shared" si="472"/>
        <v>チャン　ディン　ミン</v>
      </c>
      <c r="G1024" s="11"/>
      <c r="H1024" s="474" t="s">
        <v>1070</v>
      </c>
      <c r="I1024" s="11">
        <v>40000</v>
      </c>
      <c r="J1024" s="65"/>
      <c r="K1024" s="11">
        <v>20000</v>
      </c>
      <c r="L1024" s="11">
        <v>20000</v>
      </c>
      <c r="M1024" s="81">
        <v>20000</v>
      </c>
      <c r="N1024" s="81">
        <v>20000</v>
      </c>
      <c r="O1024" s="130">
        <v>20000</v>
      </c>
      <c r="P1024" s="130">
        <v>20000</v>
      </c>
      <c r="Q1024" s="130">
        <v>20000</v>
      </c>
      <c r="R1024" s="130">
        <v>20000</v>
      </c>
      <c r="S1024" s="130">
        <v>20000</v>
      </c>
      <c r="T1024" s="130">
        <v>20000</v>
      </c>
      <c r="U1024" s="130">
        <v>20000</v>
      </c>
      <c r="V1024" s="130">
        <v>20000</v>
      </c>
      <c r="W1024" s="130">
        <v>20000</v>
      </c>
      <c r="X1024" s="130">
        <v>20000</v>
      </c>
      <c r="Y1024" s="408">
        <f>20000+20000+20000</f>
        <v>60000</v>
      </c>
      <c r="Z1024" s="437">
        <v>0</v>
      </c>
      <c r="AA1024" s="437">
        <v>0</v>
      </c>
      <c r="AB1024" s="437">
        <v>40000</v>
      </c>
      <c r="AC1024" s="437">
        <v>40000</v>
      </c>
      <c r="AD1024" s="437">
        <v>40000</v>
      </c>
      <c r="AE1024" s="437">
        <v>40000</v>
      </c>
      <c r="AF1024" s="437">
        <v>40000</v>
      </c>
      <c r="AG1024" s="522">
        <v>40000</v>
      </c>
      <c r="AH1024" s="522">
        <v>40000</v>
      </c>
      <c r="AI1024" s="522">
        <v>40000</v>
      </c>
    </row>
    <row r="1025" spans="1:35">
      <c r="A1025" s="145">
        <v>45505</v>
      </c>
      <c r="B1025" s="384">
        <v>45807</v>
      </c>
      <c r="C1025" s="27">
        <v>240808</v>
      </c>
      <c r="D1025" s="20" t="str">
        <f t="shared" ref="D1025" si="510">IF(C1025="","",_xlfn.XLOOKUP(C1025,社員№,派遣先,"",0,-1))</f>
        <v>PATEC</v>
      </c>
      <c r="E1025" s="20" t="str">
        <f t="shared" ref="E1025" si="511">IF(C1025="","",_xlfn.XLOOKUP(C1025,社員№,氏名,"",0,-1))</f>
        <v>PHAN DUY KHUONG</v>
      </c>
      <c r="F1025" s="20" t="str">
        <f t="shared" ref="F1025" si="512">IF(C1025="","",_xlfn.XLOOKUP(C1025,社員№,カナ,"",0,-1))</f>
        <v>ファン　ズイ　クオン</v>
      </c>
      <c r="G1025" s="11"/>
      <c r="H1025" s="11"/>
      <c r="I1025" s="11">
        <v>20000</v>
      </c>
      <c r="J1025" s="65"/>
      <c r="R1025" s="130">
        <v>20000</v>
      </c>
      <c r="S1025" s="130">
        <v>20000</v>
      </c>
      <c r="T1025" s="130">
        <v>20000</v>
      </c>
      <c r="U1025" s="130">
        <v>20000</v>
      </c>
      <c r="V1025" s="130">
        <v>20000</v>
      </c>
      <c r="W1025" s="130">
        <v>20000</v>
      </c>
      <c r="X1025" s="130">
        <v>20000</v>
      </c>
      <c r="Y1025" s="408">
        <v>20000</v>
      </c>
      <c r="Z1025" s="437">
        <v>20000</v>
      </c>
      <c r="AA1025" s="437">
        <f>20000+20000</f>
        <v>40000</v>
      </c>
      <c r="AB1025" s="437">
        <v>0</v>
      </c>
    </row>
    <row r="1026" spans="1:35">
      <c r="A1026" s="147"/>
      <c r="F1026" s="160"/>
      <c r="G1026" s="10"/>
      <c r="H1026" s="10"/>
      <c r="I1026" s="10"/>
      <c r="J1026" s="74"/>
      <c r="K1026" s="10"/>
      <c r="L1026" s="10"/>
      <c r="M1026" s="88"/>
      <c r="N1026" s="88"/>
      <c r="O1026" s="88"/>
      <c r="P1026" s="88"/>
      <c r="Q1026" s="88"/>
      <c r="R1026" s="88"/>
      <c r="S1026" s="88"/>
      <c r="T1026" s="88"/>
      <c r="U1026" s="88"/>
      <c r="V1026" s="88"/>
      <c r="W1026" s="88"/>
      <c r="X1026" s="88"/>
      <c r="Y1026" s="410"/>
      <c r="Z1026" s="438"/>
      <c r="AA1026" s="438"/>
      <c r="AB1026" s="438"/>
    </row>
    <row r="1027" spans="1:35">
      <c r="A1027" s="147"/>
      <c r="C1027" s="31"/>
      <c r="D1027" s="31"/>
      <c r="E1027" s="31" t="s">
        <v>149</v>
      </c>
      <c r="F1027" s="167"/>
      <c r="G1027" s="211">
        <v>35000</v>
      </c>
      <c r="H1027" s="211">
        <v>40000</v>
      </c>
      <c r="I1027" s="211" t="s">
        <v>584</v>
      </c>
      <c r="J1027" s="107"/>
      <c r="K1027" s="91"/>
      <c r="L1027" s="91"/>
      <c r="M1027" s="92"/>
      <c r="N1027" s="92"/>
      <c r="O1027" s="92"/>
      <c r="P1027" s="92"/>
      <c r="Q1027" s="92"/>
      <c r="R1027" s="92"/>
      <c r="S1027" s="92"/>
      <c r="T1027" s="92"/>
      <c r="U1027" s="92"/>
      <c r="V1027" s="92"/>
      <c r="W1027" s="92"/>
      <c r="X1027" s="92"/>
      <c r="Y1027" s="411"/>
      <c r="Z1027" s="439"/>
      <c r="AA1027" s="439"/>
      <c r="AB1027" s="439"/>
    </row>
    <row r="1028" spans="1:35">
      <c r="A1028" s="145" t="s">
        <v>1</v>
      </c>
      <c r="B1028" s="376" t="s">
        <v>529</v>
      </c>
      <c r="C1028" s="27" t="s">
        <v>2</v>
      </c>
      <c r="D1028" s="27" t="s">
        <v>2532</v>
      </c>
      <c r="E1028" s="27" t="s">
        <v>2433</v>
      </c>
      <c r="F1028" s="165"/>
      <c r="G1028" s="11"/>
      <c r="H1028" s="11"/>
      <c r="I1028" s="11" t="s">
        <v>3</v>
      </c>
      <c r="J1028" s="67" t="s">
        <v>154</v>
      </c>
      <c r="K1028" s="78"/>
      <c r="L1028" s="78"/>
      <c r="M1028" s="87"/>
      <c r="N1028" s="87"/>
      <c r="O1028" s="132"/>
      <c r="P1028" s="132"/>
      <c r="Q1028" s="132"/>
      <c r="R1028" s="132"/>
      <c r="S1028" s="132"/>
      <c r="T1028" s="132"/>
      <c r="U1028" s="132"/>
      <c r="V1028" s="132"/>
      <c r="W1028" s="132"/>
      <c r="X1028" s="132"/>
      <c r="Y1028" s="412"/>
      <c r="Z1028" s="440"/>
      <c r="AA1028" s="440"/>
      <c r="AB1028" s="440"/>
    </row>
    <row r="1029" spans="1:35">
      <c r="A1029" s="145">
        <v>44816</v>
      </c>
      <c r="B1029" s="376"/>
      <c r="C1029" s="27">
        <v>220908</v>
      </c>
      <c r="D1029" s="20" t="str">
        <f t="shared" ref="D1029:D1088" si="513">IF(C1029="","",_xlfn.XLOOKUP(C1029,社員№,派遣先,"",0,-1))</f>
        <v>PATEC</v>
      </c>
      <c r="E1029" s="20" t="str">
        <f t="shared" ref="E1029:E1088" si="514">IF(C1029="","",_xlfn.XLOOKUP(C1029,社員№,氏名,"",0,-1))</f>
        <v>THAI HUY DUC</v>
      </c>
      <c r="F1029" s="20" t="str">
        <f t="shared" ref="F1029:F1088" si="515">IF(C1029="","",_xlfn.XLOOKUP(C1029,社員№,カナ,"",0,-1))</f>
        <v>タイ　フィ　ドゥック</v>
      </c>
      <c r="G1029" s="11"/>
      <c r="H1029" s="11"/>
      <c r="I1029" s="11">
        <v>20000</v>
      </c>
      <c r="J1029" s="65">
        <v>14000</v>
      </c>
      <c r="K1029" s="11">
        <v>20000</v>
      </c>
      <c r="L1029" s="11">
        <v>20000</v>
      </c>
      <c r="M1029" s="81">
        <v>20000</v>
      </c>
      <c r="N1029" s="81">
        <v>20000</v>
      </c>
      <c r="O1029" s="130">
        <v>20000</v>
      </c>
      <c r="P1029" s="130">
        <v>20000</v>
      </c>
      <c r="Q1029" s="130">
        <v>20000</v>
      </c>
      <c r="R1029" s="130">
        <v>20000</v>
      </c>
      <c r="S1029" s="130">
        <v>20000</v>
      </c>
      <c r="T1029" s="130">
        <v>20000</v>
      </c>
      <c r="U1029" s="130">
        <v>20000</v>
      </c>
      <c r="V1029" s="130">
        <v>20000</v>
      </c>
      <c r="W1029" s="130">
        <v>20000</v>
      </c>
      <c r="X1029" s="130">
        <v>20000</v>
      </c>
      <c r="Y1029" s="408">
        <v>20000</v>
      </c>
      <c r="Z1029" s="437">
        <v>20000</v>
      </c>
      <c r="AA1029" s="437">
        <v>20000</v>
      </c>
      <c r="AB1029" s="437">
        <v>20000</v>
      </c>
      <c r="AC1029" s="437">
        <v>20000</v>
      </c>
      <c r="AD1029" s="437">
        <v>20000</v>
      </c>
      <c r="AE1029" s="437">
        <v>20000</v>
      </c>
      <c r="AF1029" s="437">
        <v>20000</v>
      </c>
      <c r="AG1029" s="437">
        <v>20000</v>
      </c>
      <c r="AH1029" s="437">
        <v>20000</v>
      </c>
      <c r="AI1029" s="437">
        <v>20000</v>
      </c>
    </row>
    <row r="1030" spans="1:35">
      <c r="A1030" s="145">
        <v>45413</v>
      </c>
      <c r="B1030" s="376"/>
      <c r="C1030" s="27">
        <v>230316</v>
      </c>
      <c r="D1030" s="20" t="str">
        <f t="shared" ref="D1030" si="516">IF(C1030="","",_xlfn.XLOOKUP(C1030,社員№,派遣先,"",0,-1))</f>
        <v>PATEC</v>
      </c>
      <c r="E1030" s="20" t="str">
        <f t="shared" ref="E1030" si="517">IF(C1030="","",_xlfn.XLOOKUP(C1030,社員№,氏名,"",0,-1))</f>
        <v>LE DINH BINH</v>
      </c>
      <c r="F1030" s="20" t="str">
        <f t="shared" ref="F1030" si="518">IF(C1030="","",_xlfn.XLOOKUP(C1030,社員№,カナ,"",0,-1))</f>
        <v>レー　ディン　ビン</v>
      </c>
      <c r="G1030" s="11"/>
      <c r="H1030" s="11"/>
      <c r="I1030" s="11">
        <v>20000</v>
      </c>
      <c r="J1030" s="65"/>
      <c r="N1030" s="117"/>
      <c r="O1030" s="137"/>
      <c r="P1030" s="27">
        <v>12500</v>
      </c>
      <c r="Q1030" s="27">
        <v>20000</v>
      </c>
      <c r="R1030" s="27">
        <v>20000</v>
      </c>
      <c r="S1030" s="27">
        <v>20000</v>
      </c>
      <c r="T1030" s="27">
        <v>20000</v>
      </c>
      <c r="U1030" s="27">
        <v>20000</v>
      </c>
      <c r="V1030" s="27">
        <v>20000</v>
      </c>
      <c r="W1030" s="27">
        <v>20000</v>
      </c>
      <c r="X1030" s="27">
        <v>20000</v>
      </c>
      <c r="Y1030" s="7">
        <v>20000</v>
      </c>
      <c r="Z1030" s="448">
        <v>20000</v>
      </c>
      <c r="AA1030" s="448">
        <v>20000</v>
      </c>
      <c r="AB1030" s="448">
        <v>20000</v>
      </c>
      <c r="AC1030" s="437">
        <v>20000</v>
      </c>
      <c r="AD1030" s="437">
        <v>20000</v>
      </c>
      <c r="AE1030" s="437">
        <v>20000</v>
      </c>
      <c r="AF1030" s="437">
        <v>20000</v>
      </c>
      <c r="AG1030" s="437">
        <v>20000</v>
      </c>
      <c r="AH1030" s="437">
        <v>20000</v>
      </c>
      <c r="AI1030" s="437">
        <v>20000</v>
      </c>
    </row>
    <row r="1031" spans="1:35" hidden="1">
      <c r="F1031" s="160"/>
      <c r="G1031" s="10"/>
      <c r="H1031" s="10"/>
      <c r="I1031" s="10"/>
      <c r="J1031" s="74"/>
      <c r="K1031" s="10"/>
      <c r="L1031" s="10"/>
      <c r="M1031" s="88"/>
      <c r="N1031" s="88"/>
      <c r="O1031" s="88"/>
      <c r="P1031" s="88"/>
      <c r="Q1031" s="88"/>
      <c r="R1031" s="88"/>
      <c r="S1031" s="88"/>
      <c r="T1031" s="88"/>
      <c r="U1031" s="88"/>
      <c r="V1031" s="88"/>
      <c r="W1031" s="88"/>
      <c r="X1031" s="88"/>
      <c r="Y1031" s="410"/>
      <c r="Z1031" s="438"/>
      <c r="AA1031" s="438"/>
      <c r="AB1031" s="438"/>
      <c r="AI1031" s="437">
        <v>20000</v>
      </c>
    </row>
    <row r="1032" spans="1:35" hidden="1">
      <c r="A1032" s="467" t="s">
        <v>1042</v>
      </c>
      <c r="C1032" s="31"/>
      <c r="D1032" s="31"/>
      <c r="E1032" s="31" t="s">
        <v>246</v>
      </c>
      <c r="F1032" s="167"/>
      <c r="G1032" s="211">
        <v>35000</v>
      </c>
      <c r="H1032" s="211">
        <v>40000</v>
      </c>
      <c r="I1032" s="211" t="s">
        <v>584</v>
      </c>
      <c r="J1032" s="74"/>
      <c r="K1032" s="10"/>
      <c r="L1032" s="10"/>
      <c r="M1032" s="88"/>
      <c r="N1032" s="88"/>
      <c r="O1032" s="88"/>
      <c r="P1032" s="88"/>
      <c r="Q1032" s="88"/>
      <c r="R1032" s="88"/>
      <c r="S1032" s="88"/>
      <c r="T1032" s="88"/>
      <c r="U1032" s="88"/>
      <c r="V1032" s="88"/>
      <c r="W1032" s="88"/>
      <c r="X1032" s="88"/>
      <c r="Y1032" s="410"/>
      <c r="Z1032" s="438"/>
      <c r="AA1032" s="438"/>
      <c r="AB1032" s="438"/>
      <c r="AI1032" s="437">
        <v>20000</v>
      </c>
    </row>
    <row r="1033" spans="1:35" hidden="1">
      <c r="A1033" s="145" t="s">
        <v>1</v>
      </c>
      <c r="B1033" s="376" t="s">
        <v>529</v>
      </c>
      <c r="C1033" s="27" t="s">
        <v>2</v>
      </c>
      <c r="D1033" s="27" t="s">
        <v>2532</v>
      </c>
      <c r="E1033" s="27" t="s">
        <v>2433</v>
      </c>
      <c r="F1033" s="165"/>
      <c r="G1033" s="89"/>
      <c r="H1033" s="89"/>
      <c r="I1033" s="89" t="s">
        <v>3</v>
      </c>
      <c r="J1033" s="90"/>
      <c r="K1033" s="91"/>
      <c r="L1033" s="91"/>
      <c r="M1033" s="92"/>
      <c r="N1033" s="92"/>
      <c r="O1033" s="92"/>
      <c r="P1033" s="92"/>
      <c r="Q1033" s="92"/>
      <c r="R1033" s="92"/>
      <c r="S1033" s="92"/>
      <c r="T1033" s="92"/>
      <c r="U1033" s="92"/>
      <c r="V1033" s="92"/>
      <c r="W1033" s="92"/>
      <c r="X1033" s="92"/>
      <c r="Y1033" s="411"/>
      <c r="Z1033" s="439"/>
      <c r="AA1033" s="439"/>
      <c r="AB1033" s="439"/>
      <c r="AI1033" s="437">
        <v>20000</v>
      </c>
    </row>
    <row r="1034" spans="1:35" hidden="1">
      <c r="A1034" s="145">
        <v>44977</v>
      </c>
      <c r="B1034" s="376">
        <v>45803</v>
      </c>
      <c r="C1034" s="27">
        <v>230211</v>
      </c>
      <c r="D1034" s="20" t="str">
        <f t="shared" si="513"/>
        <v>PATEC</v>
      </c>
      <c r="E1034" s="20" t="str">
        <f t="shared" si="514"/>
        <v>LE NGOC HOI</v>
      </c>
      <c r="F1034" s="20" t="str">
        <f t="shared" si="515"/>
        <v>レ　ゴック　ホイ</v>
      </c>
      <c r="G1034" s="11"/>
      <c r="H1034" s="11"/>
      <c r="I1034" s="11">
        <v>20000</v>
      </c>
      <c r="J1034" s="67"/>
      <c r="K1034" s="78">
        <v>20000</v>
      </c>
      <c r="L1034" s="78">
        <v>20000</v>
      </c>
      <c r="M1034" s="87">
        <v>20000</v>
      </c>
      <c r="N1034" s="87">
        <v>20000</v>
      </c>
      <c r="O1034" s="132">
        <v>20000</v>
      </c>
      <c r="P1034" s="132">
        <v>20000</v>
      </c>
      <c r="Q1034" s="132">
        <v>20000</v>
      </c>
      <c r="R1034" s="132">
        <v>20000</v>
      </c>
      <c r="S1034" s="132">
        <v>20000</v>
      </c>
      <c r="T1034" s="132">
        <v>20000</v>
      </c>
      <c r="U1034" s="132">
        <v>20000</v>
      </c>
      <c r="V1034" s="132">
        <v>20000</v>
      </c>
      <c r="W1034" s="132">
        <v>20000</v>
      </c>
      <c r="X1034" s="132">
        <v>20000</v>
      </c>
      <c r="Y1034" s="412">
        <v>20000</v>
      </c>
      <c r="Z1034" s="440">
        <v>20000</v>
      </c>
      <c r="AA1034" s="440">
        <f>20000+20000</f>
        <v>40000</v>
      </c>
      <c r="AB1034" s="440">
        <v>0</v>
      </c>
      <c r="AC1034" s="477"/>
      <c r="AI1034" s="437">
        <v>20000</v>
      </c>
    </row>
    <row r="1035" spans="1:35" hidden="1">
      <c r="A1035" s="145">
        <v>45462</v>
      </c>
      <c r="B1035" s="376">
        <v>45807</v>
      </c>
      <c r="C1035" s="27">
        <v>240603</v>
      </c>
      <c r="D1035" s="20" t="str">
        <f t="shared" ref="D1035" si="519">IF(C1035="","",_xlfn.XLOOKUP(C1035,社員№,派遣先,"",0,-1))</f>
        <v>PATEC</v>
      </c>
      <c r="E1035" s="20" t="str">
        <f t="shared" ref="E1035" si="520">IF(C1035="","",_xlfn.XLOOKUP(C1035,社員№,氏名,"",0,-1))</f>
        <v>DAO THE DIEU</v>
      </c>
      <c r="F1035" s="20" t="str">
        <f t="shared" ref="F1035" si="521">IF(C1035="","",_xlfn.XLOOKUP(C1035,社員№,カナ,"",0,-1))</f>
        <v>ダオ　テー　ジエウ</v>
      </c>
      <c r="G1035" s="11"/>
      <c r="H1035" s="11"/>
      <c r="I1035" s="11">
        <v>20000</v>
      </c>
      <c r="J1035" s="65"/>
      <c r="O1035" s="81"/>
      <c r="P1035" s="82"/>
      <c r="Q1035" s="82">
        <f>8000+20000</f>
        <v>28000</v>
      </c>
      <c r="R1035" s="82">
        <v>20000</v>
      </c>
      <c r="S1035" s="82">
        <v>20000</v>
      </c>
      <c r="T1035" s="82">
        <v>20000</v>
      </c>
      <c r="U1035" s="82">
        <v>20000</v>
      </c>
      <c r="V1035" s="82">
        <v>20000</v>
      </c>
      <c r="W1035" s="82">
        <v>20000</v>
      </c>
      <c r="X1035" s="82">
        <v>20000</v>
      </c>
      <c r="Y1035" s="202">
        <v>20000</v>
      </c>
      <c r="Z1035" s="446">
        <v>20000</v>
      </c>
      <c r="AA1035" s="440">
        <f>20000+20000</f>
        <v>40000</v>
      </c>
      <c r="AB1035" s="440">
        <v>0</v>
      </c>
      <c r="AC1035" s="478"/>
      <c r="AI1035" s="437">
        <v>20000</v>
      </c>
    </row>
    <row r="1036" spans="1:35">
      <c r="A1036" s="147"/>
      <c r="F1036" s="160"/>
      <c r="G1036" s="10"/>
      <c r="H1036" s="10"/>
      <c r="I1036" s="10"/>
      <c r="J1036" s="74"/>
      <c r="K1036" s="10"/>
      <c r="L1036" s="10"/>
      <c r="M1036" s="88"/>
      <c r="N1036" s="88"/>
      <c r="O1036" s="88"/>
      <c r="P1036" s="88"/>
      <c r="Q1036" s="88"/>
      <c r="R1036" s="88"/>
      <c r="S1036" s="88"/>
      <c r="T1036" s="88"/>
      <c r="U1036" s="88"/>
      <c r="V1036" s="88"/>
      <c r="W1036" s="88"/>
      <c r="X1036" s="88"/>
      <c r="Y1036" s="410"/>
      <c r="Z1036" s="438"/>
      <c r="AA1036" s="438"/>
      <c r="AB1036" s="438"/>
    </row>
    <row r="1037" spans="1:35">
      <c r="A1037" s="147"/>
      <c r="C1037" s="31"/>
      <c r="D1037" s="31"/>
      <c r="E1037" s="31" t="s">
        <v>2518</v>
      </c>
      <c r="F1037" s="167"/>
      <c r="G1037" s="210">
        <v>50000</v>
      </c>
      <c r="H1037" s="210">
        <v>55200</v>
      </c>
      <c r="I1037" s="210" t="s">
        <v>25</v>
      </c>
      <c r="J1037" s="90"/>
      <c r="K1037" s="91"/>
      <c r="L1037" s="91"/>
      <c r="M1037" s="92"/>
      <c r="N1037" s="92"/>
      <c r="O1037" s="92"/>
      <c r="P1037" s="88"/>
      <c r="Q1037" s="88"/>
      <c r="R1037" s="88"/>
      <c r="S1037" s="88"/>
      <c r="T1037" s="88"/>
      <c r="U1037" s="88"/>
      <c r="V1037" s="88"/>
      <c r="W1037" s="88"/>
      <c r="X1037" s="88"/>
      <c r="Y1037" s="410"/>
      <c r="Z1037" s="438"/>
      <c r="AA1037" s="438"/>
      <c r="AB1037" s="438"/>
    </row>
    <row r="1038" spans="1:35">
      <c r="A1038" s="148" t="s">
        <v>1</v>
      </c>
      <c r="B1038" s="377" t="s">
        <v>529</v>
      </c>
      <c r="C1038" s="27" t="s">
        <v>2</v>
      </c>
      <c r="D1038" s="27" t="s">
        <v>2532</v>
      </c>
      <c r="E1038" s="27" t="s">
        <v>2433</v>
      </c>
      <c r="F1038" s="165"/>
      <c r="G1038" s="11"/>
      <c r="H1038" s="11"/>
      <c r="I1038" s="11" t="s">
        <v>3</v>
      </c>
      <c r="J1038" s="67" t="s">
        <v>154</v>
      </c>
      <c r="K1038" s="78"/>
      <c r="L1038" s="78"/>
      <c r="M1038" s="87"/>
      <c r="N1038" s="87"/>
      <c r="O1038" s="132"/>
      <c r="P1038" s="92"/>
      <c r="Q1038" s="92"/>
      <c r="R1038" s="92"/>
      <c r="S1038" s="92"/>
      <c r="T1038" s="92"/>
      <c r="U1038" s="92"/>
      <c r="V1038" s="92"/>
      <c r="W1038" s="92"/>
      <c r="X1038" s="92"/>
      <c r="Y1038" s="411"/>
      <c r="Z1038" s="439"/>
      <c r="AA1038" s="439"/>
      <c r="AB1038" s="439"/>
    </row>
    <row r="1039" spans="1:35">
      <c r="A1039" s="145">
        <v>44974</v>
      </c>
      <c r="B1039" s="376"/>
      <c r="C1039" s="27">
        <v>230209</v>
      </c>
      <c r="D1039" s="20" t="str">
        <f t="shared" si="513"/>
        <v>PATEC</v>
      </c>
      <c r="E1039" s="20" t="str">
        <f t="shared" si="514"/>
        <v>LE  VAN THAO</v>
      </c>
      <c r="F1039" s="20" t="str">
        <f t="shared" si="515"/>
        <v>レ　ヴァン　タオ</v>
      </c>
      <c r="G1039" s="65"/>
      <c r="H1039" s="65"/>
      <c r="I1039" s="65"/>
      <c r="J1039" s="65">
        <v>18400</v>
      </c>
      <c r="K1039" s="11">
        <v>18400</v>
      </c>
      <c r="L1039" s="11">
        <v>18400</v>
      </c>
      <c r="M1039" s="81">
        <v>27500</v>
      </c>
      <c r="N1039" s="81">
        <v>27500</v>
      </c>
      <c r="O1039" s="130">
        <v>27500</v>
      </c>
      <c r="P1039" s="130">
        <v>27500</v>
      </c>
      <c r="Q1039" s="81">
        <v>27500</v>
      </c>
      <c r="R1039" s="81">
        <f>4435+16026</f>
        <v>20461</v>
      </c>
      <c r="S1039" s="81">
        <v>18400</v>
      </c>
      <c r="T1039" s="81">
        <v>18400</v>
      </c>
      <c r="U1039" s="81">
        <v>18400</v>
      </c>
      <c r="V1039" s="81">
        <v>18400</v>
      </c>
      <c r="W1039" s="81">
        <v>18400</v>
      </c>
      <c r="X1039" s="81">
        <v>18400</v>
      </c>
      <c r="Y1039" s="413">
        <v>18400</v>
      </c>
      <c r="Z1039" s="441">
        <v>18400</v>
      </c>
      <c r="AA1039" s="441">
        <v>18400</v>
      </c>
      <c r="AB1039" s="441">
        <v>18400</v>
      </c>
      <c r="AC1039" s="441">
        <v>18400</v>
      </c>
      <c r="AD1039" s="441">
        <v>18400</v>
      </c>
      <c r="AE1039" s="437">
        <v>18400</v>
      </c>
      <c r="AF1039" s="437">
        <v>18400</v>
      </c>
      <c r="AG1039" s="437">
        <v>18400</v>
      </c>
      <c r="AH1039" s="437">
        <v>18400</v>
      </c>
      <c r="AI1039" s="437">
        <v>18400</v>
      </c>
    </row>
    <row r="1040" spans="1:35">
      <c r="A1040" s="145">
        <v>45505</v>
      </c>
      <c r="B1040" s="376"/>
      <c r="C1040" s="27">
        <v>240809</v>
      </c>
      <c r="D1040" s="20" t="str">
        <f t="shared" ref="D1040:D1042" si="522">IF(C1040="","",_xlfn.XLOOKUP(C1040,社員№,派遣先,"",0,-1))</f>
        <v>PATEC</v>
      </c>
      <c r="E1040" s="20" t="str">
        <f t="shared" ref="E1040:E1042" si="523">IF(C1040="","",_xlfn.XLOOKUP(C1040,社員№,氏名,"",0,-1))</f>
        <v>PHAM VINH QUANG</v>
      </c>
      <c r="F1040" s="20" t="str">
        <f t="shared" ref="F1040:F1042" si="524">IF(C1040="","",_xlfn.XLOOKUP(C1040,社員№,カナ,"",0,-1))</f>
        <v>ファム　ヴィン　クアン</v>
      </c>
      <c r="G1040" s="65"/>
      <c r="H1040" s="65"/>
      <c r="I1040" s="65"/>
      <c r="J1040" s="65">
        <v>18400</v>
      </c>
      <c r="O1040" s="81"/>
      <c r="P1040" s="81"/>
      <c r="Q1040" s="81"/>
      <c r="R1040" s="81">
        <f>4435+16026</f>
        <v>20461</v>
      </c>
      <c r="S1040" s="81">
        <v>18400</v>
      </c>
      <c r="T1040" s="81">
        <v>18400</v>
      </c>
      <c r="U1040" s="81">
        <v>18400</v>
      </c>
      <c r="V1040" s="81">
        <v>18400</v>
      </c>
      <c r="W1040" s="81">
        <v>18400</v>
      </c>
      <c r="X1040" s="81">
        <v>18400</v>
      </c>
      <c r="Y1040" s="413">
        <v>18400</v>
      </c>
      <c r="Z1040" s="441">
        <v>18400</v>
      </c>
      <c r="AA1040" s="441">
        <v>18400</v>
      </c>
      <c r="AB1040" s="441">
        <v>18400</v>
      </c>
      <c r="AC1040" s="441">
        <v>18400</v>
      </c>
      <c r="AD1040" s="441">
        <v>18400</v>
      </c>
      <c r="AE1040" s="437">
        <v>18400</v>
      </c>
      <c r="AF1040" s="437">
        <v>18400</v>
      </c>
      <c r="AG1040" s="437">
        <v>18400</v>
      </c>
      <c r="AH1040" s="437">
        <v>18400</v>
      </c>
      <c r="AI1040" s="437">
        <v>18400</v>
      </c>
    </row>
    <row r="1041" spans="1:35">
      <c r="A1041" s="145">
        <v>45509</v>
      </c>
      <c r="B1041" s="376">
        <v>45788</v>
      </c>
      <c r="C1041" s="27">
        <v>240810</v>
      </c>
      <c r="D1041" s="20" t="str">
        <f t="shared" si="522"/>
        <v>コーリツ 乙川</v>
      </c>
      <c r="E1041" s="20" t="str">
        <f t="shared" si="523"/>
        <v>DO DUC TRUNG</v>
      </c>
      <c r="F1041" s="20" t="str">
        <f t="shared" si="524"/>
        <v>ド　ドゥック　チュン</v>
      </c>
      <c r="G1041" s="65"/>
      <c r="H1041" s="65"/>
      <c r="I1041" s="65" t="s">
        <v>1044</v>
      </c>
      <c r="J1041" s="65">
        <v>18400</v>
      </c>
      <c r="O1041" s="81"/>
      <c r="P1041" s="81"/>
      <c r="Q1041" s="81"/>
      <c r="R1041" s="81">
        <f>4194+16026</f>
        <v>20220</v>
      </c>
      <c r="S1041" s="81">
        <v>18400</v>
      </c>
      <c r="T1041" s="81">
        <v>18400</v>
      </c>
      <c r="U1041" s="81">
        <v>18400</v>
      </c>
      <c r="V1041" s="81">
        <v>18400</v>
      </c>
      <c r="W1041" s="81">
        <v>18400</v>
      </c>
      <c r="X1041" s="81">
        <v>18400</v>
      </c>
      <c r="Y1041" s="413">
        <v>18400</v>
      </c>
      <c r="Z1041" s="441">
        <v>18400</v>
      </c>
      <c r="AA1041" s="441">
        <v>0</v>
      </c>
      <c r="AB1041" s="441">
        <v>0</v>
      </c>
      <c r="AC1041" s="441">
        <v>0</v>
      </c>
      <c r="AD1041" s="441">
        <v>0</v>
      </c>
      <c r="AE1041" s="437">
        <v>0</v>
      </c>
      <c r="AF1041" s="437">
        <v>0</v>
      </c>
      <c r="AH1041" s="437">
        <v>0</v>
      </c>
    </row>
    <row r="1042" spans="1:35">
      <c r="A1042" s="145">
        <v>45809</v>
      </c>
      <c r="B1042" s="376"/>
      <c r="C1042" s="27">
        <v>211109</v>
      </c>
      <c r="D1042" s="20" t="str">
        <f t="shared" si="522"/>
        <v>PATEC</v>
      </c>
      <c r="E1042" s="20" t="str">
        <f t="shared" si="523"/>
        <v>HOANG THE VINH</v>
      </c>
      <c r="F1042" s="20" t="str">
        <f t="shared" si="524"/>
        <v>ホアン　テー　ヴィン</v>
      </c>
      <c r="G1042" s="11"/>
      <c r="H1042" s="11"/>
      <c r="I1042" s="11"/>
      <c r="J1042" s="65"/>
      <c r="O1042" s="81"/>
      <c r="P1042" s="81"/>
      <c r="Q1042" s="81"/>
      <c r="R1042" s="81"/>
      <c r="S1042" s="81"/>
      <c r="T1042" s="81"/>
      <c r="U1042" s="81"/>
      <c r="V1042" s="81"/>
      <c r="W1042" s="81"/>
      <c r="X1042" s="81"/>
      <c r="Y1042" s="413"/>
      <c r="Z1042" s="441"/>
      <c r="AA1042" s="441">
        <v>0</v>
      </c>
      <c r="AB1042" s="441">
        <v>18400</v>
      </c>
      <c r="AC1042" s="441">
        <v>18400</v>
      </c>
      <c r="AD1042" s="441">
        <v>18400</v>
      </c>
      <c r="AE1042" s="437">
        <v>18400</v>
      </c>
      <c r="AF1042" s="437">
        <v>18400</v>
      </c>
      <c r="AG1042" s="437">
        <v>18400</v>
      </c>
      <c r="AH1042" s="437">
        <v>18400</v>
      </c>
      <c r="AI1042" s="437">
        <v>18400</v>
      </c>
    </row>
    <row r="1043" spans="1:35">
      <c r="F1043" s="160"/>
      <c r="G1043" s="10"/>
      <c r="H1043" s="10"/>
      <c r="I1043" s="10"/>
      <c r="J1043" s="74"/>
      <c r="K1043" s="10"/>
      <c r="L1043" s="10"/>
      <c r="M1043" s="88"/>
      <c r="N1043" s="88"/>
      <c r="O1043" s="88"/>
      <c r="P1043" s="88"/>
      <c r="Q1043" s="88"/>
      <c r="R1043" s="88"/>
      <c r="S1043" s="88"/>
      <c r="T1043" s="88"/>
      <c r="U1043" s="88"/>
      <c r="V1043" s="88"/>
      <c r="W1043" s="88"/>
      <c r="X1043" s="88"/>
      <c r="Y1043" s="410"/>
      <c r="Z1043" s="438"/>
      <c r="AA1043" s="438"/>
      <c r="AB1043" s="438"/>
    </row>
    <row r="1044" spans="1:35" hidden="1">
      <c r="A1044" s="145">
        <v>45540</v>
      </c>
      <c r="B1044" s="376">
        <v>45606</v>
      </c>
      <c r="C1044" s="27">
        <v>240910</v>
      </c>
      <c r="D1044" s="20" t="str">
        <f t="shared" si="513"/>
        <v>PATEC</v>
      </c>
      <c r="E1044" s="20" t="str">
        <f t="shared" si="514"/>
        <v>DANG THAI BAO</v>
      </c>
      <c r="F1044" s="20" t="str">
        <f t="shared" si="515"/>
        <v>ダン　タイ　バオ</v>
      </c>
      <c r="G1044" s="11"/>
      <c r="H1044" s="11"/>
      <c r="I1044" s="11"/>
      <c r="J1044" s="65">
        <v>21000</v>
      </c>
      <c r="O1044" s="81"/>
      <c r="P1044" s="81"/>
      <c r="Q1044" s="81"/>
      <c r="R1044" s="81"/>
      <c r="S1044" s="81">
        <v>18200</v>
      </c>
      <c r="T1044" s="81">
        <f>21000+20000+21000</f>
        <v>62000</v>
      </c>
      <c r="U1044" s="81">
        <v>0</v>
      </c>
      <c r="V1044" s="81">
        <v>0</v>
      </c>
      <c r="W1044" s="81">
        <v>0</v>
      </c>
      <c r="X1044" s="81">
        <v>0</v>
      </c>
      <c r="Y1044" s="413">
        <v>0</v>
      </c>
      <c r="Z1044" s="441">
        <v>0</v>
      </c>
      <c r="AA1044" s="441">
        <v>0</v>
      </c>
      <c r="AB1044" s="441">
        <v>0</v>
      </c>
    </row>
    <row r="1045" spans="1:35">
      <c r="A1045" s="467"/>
      <c r="C1045" s="31"/>
      <c r="D1045" s="31"/>
      <c r="E1045" s="31" t="s">
        <v>2584</v>
      </c>
      <c r="F1045" s="167"/>
      <c r="G1045" s="210">
        <v>50000</v>
      </c>
      <c r="H1045" s="210">
        <v>58000</v>
      </c>
      <c r="I1045" s="210" t="s">
        <v>582</v>
      </c>
      <c r="J1045" s="74"/>
      <c r="K1045" s="10"/>
      <c r="L1045" s="10"/>
      <c r="M1045" s="88"/>
      <c r="N1045" s="88"/>
      <c r="O1045" s="88"/>
      <c r="P1045" s="88"/>
      <c r="Q1045" s="88"/>
      <c r="R1045" s="88"/>
      <c r="S1045" s="88"/>
      <c r="T1045" s="88"/>
      <c r="U1045" s="88"/>
      <c r="V1045" s="88"/>
      <c r="W1045" s="88"/>
      <c r="X1045" s="88"/>
      <c r="Y1045" s="410"/>
      <c r="Z1045" s="438"/>
      <c r="AA1045" s="438"/>
      <c r="AB1045" s="438"/>
    </row>
    <row r="1046" spans="1:35">
      <c r="A1046" s="145" t="s">
        <v>1</v>
      </c>
      <c r="B1046" s="376" t="s">
        <v>529</v>
      </c>
      <c r="C1046" s="27" t="s">
        <v>2</v>
      </c>
      <c r="D1046" s="27" t="s">
        <v>2532</v>
      </c>
      <c r="E1046" s="27" t="s">
        <v>2433</v>
      </c>
      <c r="F1046" s="165"/>
      <c r="G1046" s="22"/>
      <c r="H1046" s="22"/>
      <c r="I1046" s="22" t="s">
        <v>3</v>
      </c>
      <c r="J1046" s="90"/>
      <c r="K1046" s="91"/>
      <c r="L1046" s="91"/>
      <c r="M1046" s="92"/>
      <c r="N1046" s="92"/>
      <c r="O1046" s="92"/>
      <c r="P1046" s="92"/>
      <c r="Q1046" s="92"/>
      <c r="R1046" s="92"/>
      <c r="S1046" s="92"/>
      <c r="T1046" s="92"/>
      <c r="U1046" s="92"/>
      <c r="V1046" s="92"/>
      <c r="W1046" s="92"/>
      <c r="X1046" s="92"/>
      <c r="Y1046" s="411"/>
      <c r="Z1046" s="439"/>
      <c r="AA1046" s="439"/>
      <c r="AB1046" s="439"/>
    </row>
    <row r="1047" spans="1:35">
      <c r="A1047" s="145">
        <v>44943</v>
      </c>
      <c r="B1047" s="376">
        <v>45654</v>
      </c>
      <c r="C1047" s="27">
        <v>220801</v>
      </c>
      <c r="D1047" s="20" t="str">
        <f t="shared" si="513"/>
        <v>PATEC</v>
      </c>
      <c r="E1047" s="20" t="str">
        <f t="shared" si="514"/>
        <v>NGUYEN VAN HOA</v>
      </c>
      <c r="F1047" s="20" t="str">
        <f t="shared" si="515"/>
        <v>グエン　ヴァン　ホア</v>
      </c>
      <c r="G1047" s="11"/>
      <c r="H1047" s="11"/>
      <c r="I1047" s="11">
        <v>29000</v>
      </c>
      <c r="J1047" s="65"/>
      <c r="K1047" s="11">
        <v>29000</v>
      </c>
      <c r="L1047" s="11">
        <v>29000</v>
      </c>
      <c r="M1047" s="81">
        <v>29000</v>
      </c>
      <c r="N1047" s="81">
        <v>29000</v>
      </c>
      <c r="O1047" s="81">
        <v>29000</v>
      </c>
      <c r="P1047" s="81">
        <v>29000</v>
      </c>
      <c r="Q1047" s="81">
        <v>29000</v>
      </c>
      <c r="R1047" s="81">
        <v>29000</v>
      </c>
      <c r="S1047" s="81">
        <v>29000</v>
      </c>
      <c r="T1047" s="81">
        <v>29000</v>
      </c>
      <c r="U1047" s="81">
        <v>29000</v>
      </c>
      <c r="V1047" s="81">
        <f>29000+20000</f>
        <v>49000</v>
      </c>
      <c r="W1047" s="81">
        <v>0</v>
      </c>
      <c r="X1047" s="81">
        <v>0</v>
      </c>
      <c r="Y1047" s="413">
        <v>0</v>
      </c>
      <c r="Z1047" s="441">
        <v>0</v>
      </c>
      <c r="AA1047" s="441">
        <v>0</v>
      </c>
      <c r="AB1047" s="441">
        <v>0</v>
      </c>
      <c r="AC1047" s="464">
        <v>0</v>
      </c>
    </row>
    <row r="1048" spans="1:35" hidden="1">
      <c r="A1048" s="145">
        <v>45658</v>
      </c>
      <c r="B1048" s="376">
        <v>45807</v>
      </c>
      <c r="C1048" s="27">
        <v>211031</v>
      </c>
      <c r="D1048" s="20" t="str">
        <f t="shared" ref="D1048:D1049" si="525">IF(C1048="","",_xlfn.XLOOKUP(C1048,社員№,派遣先,"",0,-1))</f>
        <v>PATEC</v>
      </c>
      <c r="E1048" s="20" t="str">
        <f t="shared" ref="E1048:E1049" si="526">IF(C1048="","",_xlfn.XLOOKUP(C1048,社員№,氏名,"",0,-1))</f>
        <v>NGUYEN SY DUC</v>
      </c>
      <c r="F1048" s="20" t="str">
        <f t="shared" ref="F1048:F1049" si="527">IF(C1048="","",_xlfn.XLOOKUP(C1048,社員№,カナ,"",0,-1))</f>
        <v>グエン　シー　ドウク</v>
      </c>
      <c r="G1048" s="11"/>
      <c r="H1048" s="11"/>
      <c r="I1048" s="11"/>
      <c r="J1048" s="65"/>
      <c r="O1048" s="81"/>
      <c r="P1048" s="81"/>
      <c r="Q1048" s="81"/>
      <c r="R1048" s="81"/>
      <c r="S1048" s="81"/>
      <c r="T1048" s="81"/>
      <c r="U1048" s="81"/>
      <c r="V1048" s="81"/>
      <c r="W1048" s="81">
        <v>29000</v>
      </c>
      <c r="X1048" s="81">
        <v>29000</v>
      </c>
      <c r="Y1048" s="413">
        <v>29000</v>
      </c>
      <c r="Z1048" s="441">
        <v>29000</v>
      </c>
      <c r="AA1048" s="441">
        <f>29000+20000</f>
        <v>49000</v>
      </c>
      <c r="AB1048" s="441">
        <v>0</v>
      </c>
      <c r="AC1048" s="475">
        <v>0</v>
      </c>
    </row>
    <row r="1049" spans="1:35">
      <c r="A1049" s="150">
        <v>45809</v>
      </c>
      <c r="B1049" s="384"/>
      <c r="C1049" s="116">
        <v>240818</v>
      </c>
      <c r="D1049" s="20" t="str">
        <f t="shared" si="525"/>
        <v>PATEC</v>
      </c>
      <c r="E1049" s="20" t="str">
        <f t="shared" si="526"/>
        <v>VO DIEN VU MINH</v>
      </c>
      <c r="F1049" s="20" t="str">
        <f t="shared" si="527"/>
        <v>ヴォー　ディエン　ヴー　ミン</v>
      </c>
      <c r="G1049" s="4"/>
      <c r="H1049" s="4"/>
      <c r="I1049" s="4"/>
      <c r="J1049" s="77"/>
      <c r="K1049" s="4"/>
      <c r="L1049" s="4"/>
      <c r="M1049" s="82"/>
      <c r="N1049" s="82"/>
      <c r="O1049" s="82"/>
      <c r="P1049" s="82"/>
      <c r="Q1049" s="82"/>
      <c r="R1049" s="82"/>
      <c r="S1049" s="82"/>
      <c r="T1049" s="82"/>
      <c r="U1049" s="82"/>
      <c r="V1049" s="82"/>
      <c r="W1049" s="82"/>
      <c r="X1049" s="82"/>
      <c r="Y1049" s="202"/>
      <c r="Z1049" s="446"/>
      <c r="AA1049" s="446">
        <v>0</v>
      </c>
      <c r="AB1049" s="446">
        <v>29000</v>
      </c>
      <c r="AC1049" s="446">
        <v>29000</v>
      </c>
      <c r="AD1049" s="446">
        <v>29000</v>
      </c>
      <c r="AE1049" s="444">
        <v>29000</v>
      </c>
      <c r="AF1049" s="444">
        <v>29000</v>
      </c>
      <c r="AG1049" s="444">
        <v>29000</v>
      </c>
      <c r="AH1049" s="444">
        <v>29000</v>
      </c>
      <c r="AI1049" s="444">
        <v>29000</v>
      </c>
    </row>
    <row r="1050" spans="1:35">
      <c r="C1050" s="204"/>
      <c r="D1050" s="47"/>
      <c r="E1050" s="205"/>
      <c r="F1050" s="206"/>
      <c r="G1050" s="10"/>
      <c r="H1050" s="10"/>
      <c r="I1050" s="10"/>
      <c r="J1050" s="74"/>
      <c r="K1050" s="10"/>
      <c r="L1050" s="10"/>
      <c r="M1050" s="88"/>
      <c r="N1050" s="88"/>
      <c r="O1050" s="88"/>
      <c r="P1050" s="88"/>
      <c r="Q1050" s="88"/>
      <c r="R1050" s="88"/>
      <c r="S1050" s="88"/>
      <c r="T1050" s="88"/>
      <c r="U1050" s="88"/>
      <c r="V1050" s="88"/>
      <c r="W1050" s="88"/>
      <c r="X1050" s="88"/>
      <c r="Y1050" s="410"/>
      <c r="Z1050" s="438"/>
      <c r="AA1050" s="438"/>
      <c r="AB1050" s="438"/>
    </row>
    <row r="1051" spans="1:35">
      <c r="A1051" s="147"/>
      <c r="C1051" s="31"/>
      <c r="D1051" s="31"/>
      <c r="E1051" s="31" t="s">
        <v>563</v>
      </c>
      <c r="F1051" s="167"/>
      <c r="G1051" s="210">
        <v>54900</v>
      </c>
      <c r="H1051" s="210">
        <v>60000</v>
      </c>
      <c r="I1051" s="210" t="s">
        <v>584</v>
      </c>
      <c r="J1051" s="74"/>
      <c r="K1051" s="10"/>
      <c r="L1051" s="10"/>
      <c r="M1051" s="88"/>
      <c r="N1051" s="88"/>
      <c r="O1051" s="88"/>
      <c r="P1051" s="88"/>
      <c r="Q1051" s="88"/>
      <c r="R1051" s="88"/>
      <c r="S1051" s="88"/>
      <c r="T1051" s="88"/>
      <c r="U1051" s="88"/>
      <c r="V1051" s="88"/>
      <c r="W1051" s="88"/>
      <c r="X1051" s="88"/>
      <c r="Y1051" s="410"/>
      <c r="Z1051" s="438"/>
      <c r="AA1051" s="438"/>
      <c r="AB1051" s="438"/>
    </row>
    <row r="1052" spans="1:35">
      <c r="A1052" s="145" t="s">
        <v>1</v>
      </c>
      <c r="B1052" s="376" t="s">
        <v>529</v>
      </c>
      <c r="C1052" s="27" t="s">
        <v>2</v>
      </c>
      <c r="D1052" s="27" t="s">
        <v>2532</v>
      </c>
      <c r="E1052" s="27" t="s">
        <v>2433</v>
      </c>
      <c r="F1052" s="165"/>
      <c r="G1052" s="22"/>
      <c r="H1052" s="22"/>
      <c r="I1052" s="22" t="s">
        <v>3</v>
      </c>
      <c r="J1052" s="90"/>
      <c r="K1052" s="91"/>
      <c r="L1052" s="91"/>
      <c r="M1052" s="92"/>
      <c r="N1052" s="92"/>
      <c r="O1052" s="92"/>
      <c r="P1052" s="92"/>
      <c r="Q1052" s="92"/>
      <c r="R1052" s="92"/>
      <c r="S1052" s="92"/>
      <c r="T1052" s="92"/>
      <c r="U1052" s="92"/>
      <c r="V1052" s="92"/>
      <c r="W1052" s="92"/>
      <c r="X1052" s="92"/>
      <c r="Y1052" s="411"/>
      <c r="Z1052" s="439"/>
      <c r="AA1052" s="439"/>
      <c r="AB1052" s="439"/>
    </row>
    <row r="1053" spans="1:35">
      <c r="A1053" s="145">
        <v>45530</v>
      </c>
      <c r="B1053" s="376">
        <v>45807</v>
      </c>
      <c r="C1053" s="115">
        <v>240817</v>
      </c>
      <c r="D1053" s="20" t="str">
        <f t="shared" si="513"/>
        <v>PATEC</v>
      </c>
      <c r="E1053" s="20" t="str">
        <f t="shared" si="514"/>
        <v>LE DUC ANH</v>
      </c>
      <c r="F1053" s="20" t="str">
        <f t="shared" si="515"/>
        <v>レ　ドゥック　アイン</v>
      </c>
      <c r="G1053" s="120"/>
      <c r="H1053" s="120"/>
      <c r="I1053" s="120">
        <v>30000</v>
      </c>
      <c r="J1053" s="120">
        <v>20000</v>
      </c>
      <c r="Q1053" s="81"/>
      <c r="R1053" s="118">
        <v>3871</v>
      </c>
      <c r="S1053" s="81">
        <f t="shared" ref="S1053" si="528">3871+20000</f>
        <v>23871</v>
      </c>
      <c r="T1053" s="81">
        <v>30000</v>
      </c>
      <c r="U1053" s="81">
        <v>30000</v>
      </c>
      <c r="V1053" s="81">
        <v>30000</v>
      </c>
      <c r="W1053" s="81">
        <v>30000</v>
      </c>
      <c r="X1053" s="81">
        <v>30000</v>
      </c>
      <c r="Y1053" s="413">
        <v>30000</v>
      </c>
      <c r="Z1053" s="441">
        <v>30000</v>
      </c>
      <c r="AA1053" s="441">
        <f>30000+20000</f>
        <v>50000</v>
      </c>
      <c r="AB1053" s="441">
        <v>0</v>
      </c>
      <c r="AC1053" s="441">
        <v>0</v>
      </c>
    </row>
    <row r="1054" spans="1:35" s="158" customFormat="1" hidden="1">
      <c r="A1054" s="145">
        <v>45573</v>
      </c>
      <c r="B1054" s="376">
        <v>45732</v>
      </c>
      <c r="C1054" s="116">
        <v>240916</v>
      </c>
      <c r="D1054" s="20" t="str">
        <f t="shared" ref="D1054:D1056" si="529">IF(C1054="","",_xlfn.XLOOKUP(C1054,社員№,派遣先,"",0,-1))</f>
        <v>PATEC</v>
      </c>
      <c r="E1054" s="20" t="str">
        <f t="shared" ref="E1054:E1056" si="530">IF(C1054="","",_xlfn.XLOOKUP(C1054,社員№,氏名,"",0,-1))</f>
        <v>TRAN XUAN KHANH TRUNG</v>
      </c>
      <c r="F1054" s="20" t="str">
        <f t="shared" ref="F1054:F1056" si="531">IF(C1054="","",_xlfn.XLOOKUP(C1054,社員№,カナ,"",0,-1))</f>
        <v>チャン　スアン　カイン　チュン</v>
      </c>
      <c r="G1054" s="120"/>
      <c r="H1054" s="120"/>
      <c r="I1054" s="120">
        <v>30000</v>
      </c>
      <c r="J1054" s="120">
        <v>20000</v>
      </c>
      <c r="K1054" s="4"/>
      <c r="L1054" s="4"/>
      <c r="M1054" s="82"/>
      <c r="N1054" s="82"/>
      <c r="O1054" s="82"/>
      <c r="P1054" s="82"/>
      <c r="Q1054" s="82"/>
      <c r="R1054" s="82"/>
      <c r="S1054" s="82"/>
      <c r="T1054" s="82">
        <f>5677+23226</f>
        <v>28903</v>
      </c>
      <c r="U1054" s="82">
        <v>30000</v>
      </c>
      <c r="V1054" s="82">
        <v>30000</v>
      </c>
      <c r="W1054" s="82">
        <v>30000</v>
      </c>
      <c r="X1054" s="82">
        <v>30000</v>
      </c>
      <c r="Y1054" s="202">
        <f>30000+20000</f>
        <v>50000</v>
      </c>
      <c r="Z1054" s="446">
        <v>0</v>
      </c>
      <c r="AA1054" s="446">
        <v>0</v>
      </c>
      <c r="AB1054" s="446">
        <v>0</v>
      </c>
      <c r="AC1054" s="441">
        <v>0</v>
      </c>
      <c r="AF1054" s="504"/>
      <c r="AG1054" s="545"/>
      <c r="AH1054" s="552"/>
      <c r="AI1054" s="546"/>
    </row>
    <row r="1055" spans="1:35" s="158" customFormat="1">
      <c r="A1055" s="145">
        <v>45809</v>
      </c>
      <c r="B1055" s="376"/>
      <c r="C1055" s="27">
        <v>240708</v>
      </c>
      <c r="D1055" s="20" t="str">
        <f t="shared" si="529"/>
        <v>PATEC</v>
      </c>
      <c r="E1055" s="20" t="str">
        <f t="shared" si="530"/>
        <v>PHAM HUYNH DUC</v>
      </c>
      <c r="F1055" s="20" t="str">
        <f t="shared" si="531"/>
        <v>ファム　フィン　ドゥック</v>
      </c>
      <c r="G1055" s="4"/>
      <c r="H1055" s="468"/>
      <c r="I1055" s="468">
        <v>30000</v>
      </c>
      <c r="J1055" s="77"/>
      <c r="K1055" s="4"/>
      <c r="L1055" s="4"/>
      <c r="M1055" s="82"/>
      <c r="N1055" s="82"/>
      <c r="O1055" s="82"/>
      <c r="P1055" s="82"/>
      <c r="Q1055" s="82"/>
      <c r="R1055" s="82"/>
      <c r="S1055" s="82"/>
      <c r="T1055" s="82"/>
      <c r="U1055" s="82"/>
      <c r="V1055" s="82"/>
      <c r="W1055" s="82"/>
      <c r="X1055" s="82"/>
      <c r="Y1055" s="202"/>
      <c r="Z1055" s="446"/>
      <c r="AA1055" s="446">
        <v>0</v>
      </c>
      <c r="AB1055" s="446">
        <v>30000</v>
      </c>
      <c r="AC1055" s="446">
        <v>30000</v>
      </c>
      <c r="AD1055" s="446">
        <v>30000</v>
      </c>
      <c r="AE1055" s="444">
        <v>30000</v>
      </c>
      <c r="AF1055" s="444">
        <v>30000</v>
      </c>
      <c r="AG1055" s="444">
        <v>30000</v>
      </c>
      <c r="AH1055" s="444">
        <v>30000</v>
      </c>
      <c r="AI1055" s="444">
        <v>30000</v>
      </c>
    </row>
    <row r="1056" spans="1:35" s="158" customFormat="1">
      <c r="A1056" s="148">
        <v>45809</v>
      </c>
      <c r="B1056" s="377"/>
      <c r="C1056" s="27">
        <v>240807</v>
      </c>
      <c r="D1056" s="20" t="str">
        <f t="shared" si="529"/>
        <v>PATEC</v>
      </c>
      <c r="E1056" s="20" t="str">
        <f t="shared" si="530"/>
        <v>NGUYEN NGOC NHUT</v>
      </c>
      <c r="F1056" s="20" t="str">
        <f t="shared" si="531"/>
        <v>グエン　ゴック　ヌット</v>
      </c>
      <c r="G1056" s="4"/>
      <c r="H1056" s="468"/>
      <c r="I1056" s="468"/>
      <c r="J1056" s="77"/>
      <c r="K1056" s="4"/>
      <c r="L1056" s="4"/>
      <c r="M1056" s="82"/>
      <c r="N1056" s="82"/>
      <c r="O1056" s="82"/>
      <c r="P1056" s="82"/>
      <c r="Q1056" s="82"/>
      <c r="R1056" s="82"/>
      <c r="S1056" s="82"/>
      <c r="T1056" s="82"/>
      <c r="U1056" s="82"/>
      <c r="V1056" s="82"/>
      <c r="W1056" s="82"/>
      <c r="X1056" s="82"/>
      <c r="Y1056" s="202"/>
      <c r="Z1056" s="446"/>
      <c r="AA1056" s="446"/>
      <c r="AB1056" s="446">
        <v>30000</v>
      </c>
      <c r="AC1056" s="446">
        <v>30000</v>
      </c>
      <c r="AD1056" s="446">
        <v>30000</v>
      </c>
      <c r="AE1056" s="444">
        <v>30000</v>
      </c>
      <c r="AF1056" s="444">
        <v>30000</v>
      </c>
      <c r="AG1056" s="444">
        <v>30000</v>
      </c>
      <c r="AH1056" s="444">
        <v>30000</v>
      </c>
      <c r="AI1056" s="444">
        <v>30000</v>
      </c>
    </row>
    <row r="1057" spans="1:35" s="158" customFormat="1">
      <c r="A1057" s="147"/>
      <c r="B1057" s="374"/>
      <c r="C1057" s="13"/>
      <c r="D1057" s="13"/>
      <c r="E1057" s="47"/>
      <c r="F1057" s="161"/>
      <c r="G1057" s="5"/>
      <c r="H1057" s="208"/>
      <c r="I1057" s="208"/>
      <c r="J1057" s="209"/>
      <c r="K1057" s="5"/>
      <c r="L1057" s="5"/>
      <c r="M1057" s="140"/>
      <c r="N1057" s="140"/>
      <c r="O1057" s="140"/>
      <c r="P1057" s="140"/>
      <c r="Q1057" s="140"/>
      <c r="R1057" s="140"/>
      <c r="S1057" s="140"/>
      <c r="T1057" s="140"/>
      <c r="U1057" s="140"/>
      <c r="V1057" s="140"/>
      <c r="W1057" s="140"/>
      <c r="X1057" s="140"/>
      <c r="Y1057" s="419"/>
      <c r="Z1057" s="449"/>
      <c r="AA1057" s="449"/>
      <c r="AB1057" s="449"/>
      <c r="AC1057" s="480"/>
      <c r="AF1057" s="504"/>
      <c r="AG1057" s="545"/>
      <c r="AH1057" s="552"/>
      <c r="AI1057" s="546"/>
    </row>
    <row r="1058" spans="1:35" s="158" customFormat="1" hidden="1">
      <c r="A1058" s="466" t="s">
        <v>1043</v>
      </c>
      <c r="B1058" s="374"/>
      <c r="C1058" s="31"/>
      <c r="D1058" s="31"/>
      <c r="E1058" s="31" t="s">
        <v>579</v>
      </c>
      <c r="F1058" s="167"/>
      <c r="G1058" s="210">
        <v>61180</v>
      </c>
      <c r="H1058" s="210">
        <v>66000</v>
      </c>
      <c r="I1058" s="210" t="s">
        <v>574</v>
      </c>
      <c r="J1058" s="90"/>
      <c r="K1058" s="91"/>
      <c r="L1058" s="91"/>
      <c r="M1058" s="92"/>
      <c r="N1058" s="92"/>
      <c r="O1058" s="92"/>
      <c r="P1058" s="88"/>
      <c r="Q1058" s="88"/>
      <c r="R1058" s="88"/>
      <c r="S1058" s="88"/>
      <c r="T1058" s="88"/>
      <c r="U1058" s="88"/>
      <c r="V1058" s="88"/>
      <c r="W1058" s="88"/>
      <c r="X1058" s="88"/>
      <c r="Y1058" s="410"/>
      <c r="Z1058" s="438"/>
      <c r="AA1058" s="438"/>
      <c r="AB1058" s="438"/>
      <c r="AC1058" s="480"/>
      <c r="AF1058" s="504"/>
      <c r="AG1058" s="545"/>
      <c r="AH1058" s="552"/>
      <c r="AI1058" s="546"/>
    </row>
    <row r="1059" spans="1:35" s="158" customFormat="1" hidden="1">
      <c r="A1059" s="145" t="s">
        <v>1</v>
      </c>
      <c r="B1059" s="376" t="s">
        <v>529</v>
      </c>
      <c r="C1059" s="27" t="s">
        <v>2</v>
      </c>
      <c r="D1059" s="27" t="s">
        <v>2532</v>
      </c>
      <c r="E1059" s="27" t="s">
        <v>2433</v>
      </c>
      <c r="F1059" s="165"/>
      <c r="G1059" s="22"/>
      <c r="H1059" s="22"/>
      <c r="I1059" s="22" t="s">
        <v>580</v>
      </c>
      <c r="J1059" s="67" t="s">
        <v>148</v>
      </c>
      <c r="K1059" s="78"/>
      <c r="L1059" s="78"/>
      <c r="M1059" s="87"/>
      <c r="N1059" s="87"/>
      <c r="O1059" s="132"/>
      <c r="P1059" s="92"/>
      <c r="Q1059" s="92"/>
      <c r="R1059" s="92"/>
      <c r="S1059" s="92"/>
      <c r="T1059" s="92"/>
      <c r="U1059" s="92"/>
      <c r="V1059" s="92"/>
      <c r="W1059" s="92"/>
      <c r="X1059" s="92"/>
      <c r="Y1059" s="411"/>
      <c r="Z1059" s="439"/>
      <c r="AA1059" s="439"/>
      <c r="AB1059" s="439"/>
      <c r="AC1059" s="480"/>
      <c r="AF1059" s="504"/>
      <c r="AG1059" s="545"/>
      <c r="AH1059" s="552"/>
      <c r="AI1059" s="546"/>
    </row>
    <row r="1060" spans="1:35" s="158" customFormat="1" hidden="1">
      <c r="A1060" s="145">
        <v>45553</v>
      </c>
      <c r="B1060" s="376">
        <v>45807</v>
      </c>
      <c r="C1060" s="115">
        <v>240915</v>
      </c>
      <c r="D1060" s="20" t="str">
        <f t="shared" si="513"/>
        <v>PATEC</v>
      </c>
      <c r="E1060" s="20" t="str">
        <f t="shared" si="514"/>
        <v>DO TIEN LEN</v>
      </c>
      <c r="F1060" s="20" t="str">
        <f t="shared" si="515"/>
        <v>ド　ティン　レン</v>
      </c>
      <c r="G1060" s="120"/>
      <c r="H1060" s="120"/>
      <c r="I1060" s="120"/>
      <c r="J1060" s="65">
        <v>22000</v>
      </c>
      <c r="K1060" s="11"/>
      <c r="L1060" s="11"/>
      <c r="M1060" s="81"/>
      <c r="N1060" s="81"/>
      <c r="O1060" s="130"/>
      <c r="P1060" s="130"/>
      <c r="Q1060" s="81"/>
      <c r="R1060" s="82"/>
      <c r="S1060" s="81">
        <v>9533</v>
      </c>
      <c r="T1060" s="81">
        <v>33000</v>
      </c>
      <c r="U1060" s="81">
        <v>33000</v>
      </c>
      <c r="V1060" s="81">
        <v>33000</v>
      </c>
      <c r="W1060" s="81">
        <v>33000</v>
      </c>
      <c r="X1060" s="81">
        <v>33000</v>
      </c>
      <c r="Y1060" s="413">
        <v>33000</v>
      </c>
      <c r="Z1060" s="441">
        <v>33000</v>
      </c>
      <c r="AA1060" s="441">
        <f>33000+20000</f>
        <v>53000</v>
      </c>
      <c r="AB1060" s="441">
        <v>0</v>
      </c>
      <c r="AC1060" s="480">
        <v>0</v>
      </c>
      <c r="AF1060" s="504"/>
      <c r="AG1060" s="545"/>
      <c r="AH1060" s="552"/>
      <c r="AI1060" s="546"/>
    </row>
    <row r="1061" spans="1:35" hidden="1">
      <c r="C1061" s="204"/>
      <c r="D1061" s="47"/>
      <c r="E1061" s="205"/>
      <c r="F1061" s="206"/>
      <c r="G1061" s="138"/>
      <c r="H1061" s="138"/>
      <c r="I1061" s="138"/>
      <c r="J1061" s="74"/>
      <c r="K1061" s="10"/>
      <c r="L1061" s="10"/>
      <c r="M1061" s="88"/>
      <c r="N1061" s="88"/>
      <c r="O1061" s="88"/>
      <c r="P1061" s="88"/>
      <c r="Q1061" s="88"/>
      <c r="R1061" s="140"/>
      <c r="S1061" s="88"/>
      <c r="T1061" s="88"/>
      <c r="U1061" s="88"/>
      <c r="V1061" s="88"/>
      <c r="W1061" s="88"/>
      <c r="X1061" s="88"/>
      <c r="Y1061" s="410"/>
      <c r="Z1061" s="438"/>
      <c r="AA1061" s="438"/>
      <c r="AB1061" s="438"/>
    </row>
    <row r="1062" spans="1:35" hidden="1">
      <c r="A1062" s="466" t="s">
        <v>1043</v>
      </c>
      <c r="C1062" s="31"/>
      <c r="D1062" s="31"/>
      <c r="E1062" s="31" t="s">
        <v>645</v>
      </c>
      <c r="F1062" s="167"/>
      <c r="G1062" s="210">
        <v>50780</v>
      </c>
      <c r="H1062" s="210">
        <v>56000</v>
      </c>
      <c r="I1062" s="210" t="s">
        <v>584</v>
      </c>
      <c r="J1062" s="90"/>
      <c r="K1062" s="91"/>
      <c r="L1062" s="91"/>
      <c r="M1062" s="92"/>
      <c r="N1062" s="92"/>
      <c r="O1062" s="92"/>
      <c r="P1062" s="88"/>
      <c r="Q1062" s="88"/>
      <c r="R1062" s="88"/>
      <c r="S1062" s="88"/>
      <c r="T1062" s="88"/>
      <c r="U1062" s="88"/>
      <c r="V1062" s="88"/>
      <c r="W1062" s="88"/>
      <c r="X1062" s="88"/>
      <c r="Y1062" s="410"/>
      <c r="Z1062" s="438"/>
      <c r="AA1062" s="438"/>
      <c r="AB1062" s="438"/>
    </row>
    <row r="1063" spans="1:35" hidden="1">
      <c r="A1063" s="145" t="s">
        <v>1</v>
      </c>
      <c r="B1063" s="376" t="s">
        <v>529</v>
      </c>
      <c r="C1063" s="27" t="s">
        <v>2</v>
      </c>
      <c r="D1063" s="27" t="s">
        <v>2532</v>
      </c>
      <c r="E1063" s="27" t="s">
        <v>2433</v>
      </c>
      <c r="F1063" s="165"/>
      <c r="G1063" s="22"/>
      <c r="H1063" s="22"/>
      <c r="I1063" s="22" t="s">
        <v>580</v>
      </c>
      <c r="J1063" s="67" t="s">
        <v>148</v>
      </c>
      <c r="K1063" s="78"/>
      <c r="L1063" s="78"/>
      <c r="M1063" s="87"/>
      <c r="N1063" s="87"/>
      <c r="O1063" s="132"/>
      <c r="P1063" s="92"/>
      <c r="Q1063" s="92"/>
      <c r="R1063" s="92"/>
      <c r="S1063" s="92"/>
      <c r="T1063" s="92"/>
      <c r="U1063" s="92"/>
      <c r="V1063" s="92"/>
      <c r="W1063" s="92"/>
      <c r="X1063" s="92"/>
      <c r="Y1063" s="411"/>
      <c r="Z1063" s="439"/>
      <c r="AA1063" s="439"/>
      <c r="AB1063" s="439"/>
    </row>
    <row r="1064" spans="1:35" hidden="1">
      <c r="A1064" s="148">
        <v>45573</v>
      </c>
      <c r="B1064" s="377">
        <v>45807</v>
      </c>
      <c r="C1064" s="116">
        <v>240816</v>
      </c>
      <c r="D1064" s="20" t="str">
        <f t="shared" si="513"/>
        <v>PATEC</v>
      </c>
      <c r="E1064" s="20" t="str">
        <f t="shared" si="514"/>
        <v>DANG VAN HOAI PHONG</v>
      </c>
      <c r="F1064" s="20" t="str">
        <f t="shared" si="515"/>
        <v>ダン　ヴァン　ホアイ　フォン</v>
      </c>
      <c r="G1064" s="11"/>
      <c r="H1064" s="11"/>
      <c r="I1064" s="11">
        <v>28000</v>
      </c>
      <c r="J1064" s="67"/>
      <c r="K1064" s="78"/>
      <c r="L1064" s="78"/>
      <c r="M1064" s="87"/>
      <c r="N1064" s="87"/>
      <c r="O1064" s="132"/>
      <c r="P1064" s="132"/>
      <c r="Q1064" s="87"/>
      <c r="R1064" s="114"/>
      <c r="S1064" s="87"/>
      <c r="T1064" s="87">
        <f>5161+21677</f>
        <v>26838</v>
      </c>
      <c r="U1064" s="87">
        <v>28000</v>
      </c>
      <c r="V1064" s="87">
        <v>28000</v>
      </c>
      <c r="W1064" s="87">
        <v>28000</v>
      </c>
      <c r="X1064" s="87">
        <v>28000</v>
      </c>
      <c r="Y1064" s="428">
        <v>28000</v>
      </c>
      <c r="Z1064" s="462">
        <v>28000</v>
      </c>
      <c r="AA1064" s="462">
        <f>28000+20000</f>
        <v>48000</v>
      </c>
      <c r="AB1064" s="462">
        <v>0</v>
      </c>
      <c r="AC1064" s="475">
        <v>0</v>
      </c>
    </row>
    <row r="1065" spans="1:35" hidden="1">
      <c r="A1065" s="145">
        <v>45573</v>
      </c>
      <c r="B1065" s="376">
        <v>45807</v>
      </c>
      <c r="C1065" s="116">
        <v>240818</v>
      </c>
      <c r="D1065" s="20" t="str">
        <f t="shared" ref="D1065" si="532">IF(C1065="","",_xlfn.XLOOKUP(C1065,社員№,派遣先,"",0,-1))</f>
        <v>PATEC</v>
      </c>
      <c r="E1065" s="20" t="str">
        <f t="shared" ref="E1065" si="533">IF(C1065="","",_xlfn.XLOOKUP(C1065,社員№,氏名,"",0,-1))</f>
        <v>VO DIEN VU MINH</v>
      </c>
      <c r="F1065" s="20" t="str">
        <f t="shared" ref="F1065" si="534">IF(C1065="","",_xlfn.XLOOKUP(C1065,社員№,カナ,"",0,-1))</f>
        <v>ヴォー　ディエン　ヴー　ミン</v>
      </c>
      <c r="G1065" s="11"/>
      <c r="H1065" s="11" t="s">
        <v>965</v>
      </c>
      <c r="I1065" s="11">
        <v>28000</v>
      </c>
      <c r="J1065" s="65"/>
      <c r="O1065" s="81"/>
      <c r="P1065" s="81"/>
      <c r="Q1065" s="81"/>
      <c r="R1065" s="82"/>
      <c r="S1065" s="81"/>
      <c r="T1065" s="87">
        <f>5161+21677</f>
        <v>26838</v>
      </c>
      <c r="U1065" s="87">
        <v>28000</v>
      </c>
      <c r="V1065" s="87">
        <v>28000</v>
      </c>
      <c r="W1065" s="87">
        <v>28000</v>
      </c>
      <c r="X1065" s="87">
        <v>28000</v>
      </c>
      <c r="Y1065" s="428">
        <v>28000</v>
      </c>
      <c r="Z1065" s="462">
        <v>28000</v>
      </c>
      <c r="AA1065" s="462">
        <v>28000</v>
      </c>
      <c r="AB1065" s="462">
        <v>0</v>
      </c>
      <c r="AC1065" s="475">
        <v>0</v>
      </c>
    </row>
    <row r="1066" spans="1:35" hidden="1">
      <c r="C1066" s="204"/>
      <c r="D1066" s="47"/>
      <c r="E1066" s="205"/>
      <c r="F1066" s="206"/>
      <c r="G1066" s="138"/>
      <c r="H1066" s="138"/>
      <c r="I1066" s="138"/>
      <c r="J1066" s="74"/>
      <c r="K1066" s="10"/>
      <c r="L1066" s="10"/>
      <c r="M1066" s="88"/>
      <c r="N1066" s="88"/>
      <c r="O1066" s="88"/>
      <c r="P1066" s="88"/>
      <c r="Q1066" s="88"/>
      <c r="R1066" s="140"/>
      <c r="S1066" s="88"/>
      <c r="T1066" s="88"/>
      <c r="U1066" s="88"/>
      <c r="V1066" s="88"/>
      <c r="W1066" s="88"/>
      <c r="X1066" s="88"/>
      <c r="Y1066" s="410"/>
      <c r="Z1066" s="438"/>
      <c r="AA1066" s="438"/>
      <c r="AB1066" s="438"/>
    </row>
    <row r="1067" spans="1:35">
      <c r="A1067" s="147"/>
      <c r="C1067" s="39"/>
      <c r="D1067" s="39"/>
      <c r="E1067" s="39" t="s">
        <v>2519</v>
      </c>
      <c r="F1067" s="199"/>
      <c r="G1067" s="210">
        <v>71000</v>
      </c>
      <c r="H1067" s="210">
        <v>76200</v>
      </c>
      <c r="I1067" s="210" t="s">
        <v>25</v>
      </c>
      <c r="J1067" s="74"/>
      <c r="K1067" s="10"/>
      <c r="L1067" s="10"/>
      <c r="M1067" s="88"/>
      <c r="N1067" s="88"/>
      <c r="O1067" s="88"/>
      <c r="P1067" s="88"/>
      <c r="Q1067" s="88"/>
      <c r="R1067" s="88"/>
      <c r="S1067" s="88"/>
      <c r="T1067" s="88"/>
      <c r="U1067" s="88"/>
      <c r="V1067" s="88"/>
      <c r="W1067" s="88"/>
      <c r="X1067" s="88"/>
      <c r="Y1067" s="410"/>
      <c r="Z1067" s="438"/>
      <c r="AA1067" s="438"/>
      <c r="AB1067" s="438"/>
    </row>
    <row r="1068" spans="1:35">
      <c r="A1068" s="148" t="s">
        <v>1</v>
      </c>
      <c r="B1068" s="377" t="s">
        <v>529</v>
      </c>
      <c r="C1068" s="27" t="s">
        <v>2</v>
      </c>
      <c r="D1068" s="27" t="s">
        <v>2532</v>
      </c>
      <c r="E1068" s="27" t="s">
        <v>2433</v>
      </c>
      <c r="F1068" s="165"/>
      <c r="G1068" s="22"/>
      <c r="H1068" s="22"/>
      <c r="I1068" s="22" t="s">
        <v>3</v>
      </c>
      <c r="J1068" s="90"/>
      <c r="K1068" s="91"/>
      <c r="L1068" s="91"/>
      <c r="M1068" s="92"/>
      <c r="N1068" s="92"/>
      <c r="O1068" s="92"/>
      <c r="P1068" s="92"/>
      <c r="Q1068" s="92"/>
      <c r="R1068" s="92"/>
      <c r="S1068" s="92"/>
      <c r="T1068" s="92"/>
      <c r="U1068" s="92"/>
      <c r="V1068" s="92"/>
      <c r="W1068" s="92"/>
      <c r="X1068" s="92"/>
      <c r="Y1068" s="411"/>
      <c r="Z1068" s="439"/>
      <c r="AA1068" s="439"/>
      <c r="AB1068" s="439"/>
    </row>
    <row r="1069" spans="1:35">
      <c r="A1069" s="148">
        <v>44484</v>
      </c>
      <c r="B1069" s="377">
        <v>45900</v>
      </c>
      <c r="C1069" s="27">
        <v>211022</v>
      </c>
      <c r="D1069" s="20" t="str">
        <f t="shared" si="513"/>
        <v>六甲電子</v>
      </c>
      <c r="E1069" s="20" t="str">
        <f t="shared" si="514"/>
        <v>NONG VAN SON</v>
      </c>
      <c r="F1069" s="20" t="str">
        <f t="shared" si="515"/>
        <v>ノン　ヴァン　ソン</v>
      </c>
      <c r="G1069" s="11"/>
      <c r="H1069" s="11"/>
      <c r="I1069" s="11">
        <v>25400</v>
      </c>
      <c r="J1069" s="67"/>
      <c r="K1069" s="78">
        <v>25400</v>
      </c>
      <c r="L1069" s="78">
        <v>25400</v>
      </c>
      <c r="M1069" s="87">
        <v>25400</v>
      </c>
      <c r="N1069" s="87">
        <v>25400</v>
      </c>
      <c r="O1069" s="132">
        <v>25400</v>
      </c>
      <c r="P1069" s="132">
        <v>25400</v>
      </c>
      <c r="Q1069" s="132">
        <v>25400</v>
      </c>
      <c r="R1069" s="132">
        <v>25400</v>
      </c>
      <c r="S1069" s="132">
        <v>25400</v>
      </c>
      <c r="T1069" s="132">
        <v>25400</v>
      </c>
      <c r="U1069" s="132">
        <v>25400</v>
      </c>
      <c r="V1069" s="132">
        <v>25400</v>
      </c>
      <c r="W1069" s="132">
        <v>25400</v>
      </c>
      <c r="X1069" s="132">
        <v>25400</v>
      </c>
      <c r="Y1069" s="412">
        <v>25400</v>
      </c>
      <c r="Z1069" s="440">
        <v>25400</v>
      </c>
      <c r="AA1069" s="440">
        <v>25400</v>
      </c>
      <c r="AB1069" s="440">
        <v>19100</v>
      </c>
      <c r="AC1069" s="441">
        <v>30278</v>
      </c>
      <c r="AD1069" s="443">
        <v>45400</v>
      </c>
      <c r="AE1069" s="477">
        <v>0</v>
      </c>
      <c r="AF1069" s="493">
        <v>0</v>
      </c>
      <c r="AG1069" s="518">
        <v>0</v>
      </c>
      <c r="AH1069" s="508">
        <v>0</v>
      </c>
      <c r="AI1069" s="448">
        <v>0</v>
      </c>
    </row>
    <row r="1070" spans="1:35">
      <c r="A1070" s="145">
        <v>45192</v>
      </c>
      <c r="B1070" s="376">
        <v>45991</v>
      </c>
      <c r="C1070" s="27">
        <v>230110</v>
      </c>
      <c r="D1070" s="20" t="str">
        <f t="shared" ref="D1070:D1073" si="535">IF(C1070="","",_xlfn.XLOOKUP(C1070,社員№,派遣先,"",0,-1))</f>
        <v>六甲電子</v>
      </c>
      <c r="E1070" s="20" t="str">
        <f t="shared" ref="E1070:E1073" si="536">IF(C1070="","",_xlfn.XLOOKUP(C1070,社員№,氏名,"",0,-1))</f>
        <v>NGUYEN VAN TRUONG</v>
      </c>
      <c r="F1070" s="20" t="str">
        <f t="shared" ref="F1070:F1073" si="537">IF(C1070="","",_xlfn.XLOOKUP(C1070,社員№,カナ,"",0,-1))</f>
        <v>グエン　ヴァン　チュオン</v>
      </c>
      <c r="G1070" s="11"/>
      <c r="H1070" s="11"/>
      <c r="I1070" s="11">
        <v>25400</v>
      </c>
      <c r="J1070" s="65"/>
      <c r="K1070" s="11">
        <v>25400</v>
      </c>
      <c r="L1070" s="11">
        <v>25400</v>
      </c>
      <c r="M1070" s="81">
        <v>25400</v>
      </c>
      <c r="N1070" s="81">
        <v>25400</v>
      </c>
      <c r="O1070" s="81">
        <v>25400</v>
      </c>
      <c r="P1070" s="81">
        <v>25400</v>
      </c>
      <c r="Q1070" s="81">
        <v>25400</v>
      </c>
      <c r="R1070" s="81">
        <v>25400</v>
      </c>
      <c r="S1070" s="81">
        <v>25400</v>
      </c>
      <c r="T1070" s="81">
        <v>25400</v>
      </c>
      <c r="U1070" s="81">
        <v>25400</v>
      </c>
      <c r="V1070" s="81">
        <v>25400</v>
      </c>
      <c r="W1070" s="81">
        <v>25400</v>
      </c>
      <c r="X1070" s="81">
        <v>25400</v>
      </c>
      <c r="Y1070" s="413">
        <v>25400</v>
      </c>
      <c r="Z1070" s="441">
        <v>25400</v>
      </c>
      <c r="AA1070" s="441">
        <v>25400</v>
      </c>
      <c r="AB1070" s="441">
        <v>19100</v>
      </c>
      <c r="AC1070" s="441">
        <v>30278</v>
      </c>
      <c r="AD1070" s="443">
        <v>25400</v>
      </c>
      <c r="AE1070" s="493">
        <v>25400</v>
      </c>
      <c r="AF1070" s="493">
        <v>25400</v>
      </c>
      <c r="AG1070" s="493">
        <v>45400</v>
      </c>
      <c r="AH1070" s="508">
        <v>0</v>
      </c>
      <c r="AI1070" s="448">
        <v>0</v>
      </c>
    </row>
    <row r="1071" spans="1:35" hidden="1">
      <c r="A1071" s="145">
        <v>45742</v>
      </c>
      <c r="B1071" s="376">
        <v>45752</v>
      </c>
      <c r="C1071" s="27">
        <v>240909</v>
      </c>
      <c r="D1071" s="20" t="str">
        <f t="shared" si="535"/>
        <v>六甲電子</v>
      </c>
      <c r="E1071" s="20" t="str">
        <f t="shared" si="536"/>
        <v>LE VAN LUONG</v>
      </c>
      <c r="F1071" s="20" t="str">
        <f t="shared" si="537"/>
        <v>レ　ヴァン　ニュン</v>
      </c>
      <c r="G1071" s="11"/>
      <c r="H1071" s="11"/>
      <c r="I1071" s="11">
        <v>25400</v>
      </c>
      <c r="J1071" s="65"/>
      <c r="O1071" s="81"/>
      <c r="P1071" s="81"/>
      <c r="Q1071" s="81"/>
      <c r="R1071" s="81"/>
      <c r="S1071" s="81"/>
      <c r="T1071" s="81"/>
      <c r="U1071" s="81"/>
      <c r="V1071" s="81"/>
      <c r="W1071" s="81"/>
      <c r="X1071" s="81"/>
      <c r="Y1071" s="413">
        <f>25000+4916+20000</f>
        <v>49916</v>
      </c>
      <c r="Z1071" s="441">
        <v>25400</v>
      </c>
      <c r="AA1071" s="441">
        <v>0</v>
      </c>
      <c r="AB1071" s="441">
        <v>0</v>
      </c>
      <c r="AC1071" s="448">
        <v>0</v>
      </c>
      <c r="AD1071" s="1"/>
      <c r="AE1071" s="523">
        <v>0</v>
      </c>
      <c r="AF1071" s="508">
        <v>0</v>
      </c>
    </row>
    <row r="1072" spans="1:35" hidden="1">
      <c r="A1072" s="145">
        <v>45803</v>
      </c>
      <c r="B1072" s="376">
        <v>45846</v>
      </c>
      <c r="C1072" s="27">
        <v>250508</v>
      </c>
      <c r="D1072" s="20" t="str">
        <f t="shared" si="535"/>
        <v>六甲電子</v>
      </c>
      <c r="E1072" s="20" t="str">
        <f t="shared" si="536"/>
        <v>HOANG VAN TRUONG</v>
      </c>
      <c r="F1072" s="20" t="str">
        <f t="shared" si="537"/>
        <v>ホアン　ヴァン　チュオン</v>
      </c>
      <c r="G1072" s="11"/>
      <c r="H1072" s="11"/>
      <c r="I1072" s="11"/>
      <c r="J1072" s="65"/>
      <c r="O1072" s="81"/>
      <c r="P1072" s="81"/>
      <c r="Q1072" s="81"/>
      <c r="R1072" s="81"/>
      <c r="S1072" s="81"/>
      <c r="T1072" s="81"/>
      <c r="U1072" s="81"/>
      <c r="V1072" s="81"/>
      <c r="W1072" s="81"/>
      <c r="X1072" s="81"/>
      <c r="Y1072" s="413"/>
      <c r="Z1072" s="441"/>
      <c r="AA1072" s="441">
        <v>4916</v>
      </c>
      <c r="AB1072" s="441">
        <f>4916+19100</f>
        <v>24016</v>
      </c>
      <c r="AC1072" s="448">
        <v>30613</v>
      </c>
      <c r="AD1072" s="1"/>
      <c r="AE1072" s="464">
        <v>0</v>
      </c>
      <c r="AF1072" s="508">
        <v>0</v>
      </c>
    </row>
    <row r="1073" spans="1:36">
      <c r="A1073" s="145">
        <v>45839</v>
      </c>
      <c r="B1073" s="376"/>
      <c r="C1073" s="27">
        <v>231003</v>
      </c>
      <c r="D1073" s="20" t="str">
        <f t="shared" si="535"/>
        <v>六甲電子</v>
      </c>
      <c r="E1073" s="20" t="str">
        <f t="shared" si="536"/>
        <v>NGUYEN QUOC CUONG</v>
      </c>
      <c r="F1073" s="20" t="str">
        <f t="shared" si="537"/>
        <v>グエン　クオック　クオン</v>
      </c>
      <c r="G1073" s="11"/>
      <c r="H1073" s="11"/>
      <c r="I1073" s="11">
        <v>19100</v>
      </c>
      <c r="J1073" s="65"/>
      <c r="O1073" s="81"/>
      <c r="P1073" s="81"/>
      <c r="Q1073" s="81"/>
      <c r="R1073" s="81"/>
      <c r="S1073" s="81"/>
      <c r="T1073" s="81"/>
      <c r="U1073" s="81"/>
      <c r="V1073" s="81"/>
      <c r="W1073" s="81"/>
      <c r="X1073" s="81"/>
      <c r="Y1073" s="413"/>
      <c r="Z1073" s="441"/>
      <c r="AA1073" s="441"/>
      <c r="AB1073" s="443">
        <v>0</v>
      </c>
      <c r="AC1073" s="448">
        <v>23978</v>
      </c>
      <c r="AD1073" s="509">
        <v>25400</v>
      </c>
      <c r="AE1073" s="524">
        <v>25400</v>
      </c>
      <c r="AF1073" s="524">
        <v>25400</v>
      </c>
      <c r="AG1073" s="524">
        <v>25400</v>
      </c>
      <c r="AH1073" s="524">
        <v>25400</v>
      </c>
      <c r="AI1073" s="524">
        <v>25400</v>
      </c>
    </row>
    <row r="1074" spans="1:36">
      <c r="F1074" s="160"/>
      <c r="G1074" s="10"/>
      <c r="H1074" s="10"/>
      <c r="I1074" s="10"/>
      <c r="J1074" s="74"/>
      <c r="K1074" s="10"/>
      <c r="L1074" s="10"/>
      <c r="M1074" s="88"/>
      <c r="N1074" s="88"/>
      <c r="O1074" s="88"/>
      <c r="P1074" s="88"/>
      <c r="Q1074" s="88"/>
      <c r="R1074" s="88"/>
      <c r="S1074" s="88"/>
      <c r="T1074" s="88"/>
      <c r="U1074" s="88"/>
      <c r="V1074" s="88"/>
      <c r="W1074" s="88"/>
      <c r="X1074" s="88"/>
      <c r="Y1074" s="410"/>
      <c r="Z1074" s="438"/>
      <c r="AA1074" s="438"/>
      <c r="AB1074" s="476"/>
    </row>
    <row r="1075" spans="1:36">
      <c r="C1075" s="36"/>
      <c r="D1075" s="36"/>
      <c r="E1075" s="36" t="s">
        <v>2546</v>
      </c>
      <c r="F1075" s="162"/>
      <c r="G1075" s="10">
        <v>73000</v>
      </c>
      <c r="H1075" s="10">
        <v>78000</v>
      </c>
      <c r="I1075" s="10" t="s">
        <v>935</v>
      </c>
      <c r="J1075" s="74"/>
      <c r="K1075" s="10"/>
      <c r="L1075" s="10"/>
      <c r="M1075" s="88"/>
      <c r="N1075" s="88"/>
      <c r="O1075" s="88"/>
      <c r="P1075" s="88"/>
      <c r="Q1075" s="88"/>
      <c r="R1075" s="88"/>
      <c r="S1075" s="88"/>
      <c r="T1075" s="88"/>
      <c r="U1075" s="88"/>
      <c r="V1075" s="88"/>
      <c r="W1075" s="88"/>
      <c r="X1075" s="88"/>
      <c r="Y1075" s="410"/>
      <c r="Z1075" s="438"/>
      <c r="AA1075" s="438"/>
      <c r="AB1075" s="476"/>
    </row>
    <row r="1076" spans="1:36">
      <c r="A1076" s="145" t="s">
        <v>1</v>
      </c>
      <c r="B1076" s="376" t="s">
        <v>529</v>
      </c>
      <c r="C1076" s="27" t="s">
        <v>2</v>
      </c>
      <c r="D1076" s="27" t="s">
        <v>2547</v>
      </c>
      <c r="E1076" s="27" t="s">
        <v>2548</v>
      </c>
      <c r="F1076" s="165"/>
      <c r="G1076" s="11"/>
      <c r="H1076" s="11"/>
      <c r="I1076" s="11"/>
      <c r="J1076" s="65"/>
      <c r="O1076" s="81"/>
      <c r="P1076" s="81"/>
      <c r="Q1076" s="81"/>
      <c r="R1076" s="81"/>
      <c r="S1076" s="81"/>
      <c r="T1076" s="81"/>
      <c r="U1076" s="81"/>
      <c r="V1076" s="81"/>
      <c r="W1076" s="81"/>
      <c r="X1076" s="81"/>
      <c r="Y1076" s="413"/>
      <c r="Z1076" s="441"/>
      <c r="AA1076" s="441"/>
      <c r="AB1076" s="443"/>
      <c r="AC1076" s="448"/>
    </row>
    <row r="1077" spans="1:36">
      <c r="A1077" s="145">
        <v>45861</v>
      </c>
      <c r="B1077" s="376"/>
      <c r="C1077" s="27">
        <v>211217</v>
      </c>
      <c r="D1077" s="20" t="str">
        <f t="shared" ref="D1077" si="538">IF(C1077="","",_xlfn.XLOOKUP(C1077,社員№,派遣先,"",0,-1))</f>
        <v>六甲電子</v>
      </c>
      <c r="E1077" s="20" t="str">
        <f t="shared" ref="E1077" si="539">IF(C1077="","",_xlfn.XLOOKUP(C1077,社員№,氏名,"",0,-1))</f>
        <v>NGUYEN PHU CUONG</v>
      </c>
      <c r="F1077" s="20" t="str">
        <f t="shared" ref="F1077" si="540">IF(C1077="","",_xlfn.XLOOKUP(C1077,社員№,カナ,"",0,-1))</f>
        <v>グエン　フ　クオン</v>
      </c>
      <c r="G1077" s="11"/>
      <c r="H1077" s="11"/>
      <c r="I1077" s="11">
        <v>26000</v>
      </c>
      <c r="J1077" s="65"/>
      <c r="O1077" s="81"/>
      <c r="P1077" s="81"/>
      <c r="Q1077" s="81"/>
      <c r="R1077" s="81"/>
      <c r="S1077" s="81"/>
      <c r="T1077" s="81"/>
      <c r="U1077" s="81"/>
      <c r="V1077" s="81"/>
      <c r="W1077" s="81"/>
      <c r="X1077" s="81"/>
      <c r="Y1077" s="413"/>
      <c r="Z1077" s="441"/>
      <c r="AA1077" s="441"/>
      <c r="AB1077" s="443"/>
      <c r="AC1077" s="487">
        <v>10452</v>
      </c>
      <c r="AD1077" s="499">
        <v>36452</v>
      </c>
      <c r="AE1077" s="491">
        <v>26000</v>
      </c>
      <c r="AF1077" s="522">
        <v>26000</v>
      </c>
      <c r="AG1077" s="522">
        <v>26000</v>
      </c>
      <c r="AH1077" s="522">
        <v>26000</v>
      </c>
      <c r="AI1077" s="448">
        <v>26000</v>
      </c>
    </row>
    <row r="1078" spans="1:36">
      <c r="A1078" s="228">
        <v>45895</v>
      </c>
      <c r="B1078" s="375">
        <v>45984</v>
      </c>
      <c r="C1078" s="43">
        <v>250809</v>
      </c>
      <c r="D1078" s="20" t="str">
        <f t="shared" ref="D1078" si="541">IF(C1078="","",_xlfn.XLOOKUP(C1078,社員№,派遣先,"",0,-1))</f>
        <v>六甲電子</v>
      </c>
      <c r="E1078" s="20" t="str">
        <f t="shared" ref="E1078" si="542">IF(C1078="","",_xlfn.XLOOKUP(C1078,社員№,氏名,"",0,-1))</f>
        <v>NGUYEN VAN HAU</v>
      </c>
      <c r="F1078" s="20" t="str">
        <f t="shared" ref="F1078" si="543">IF(C1078="","",_xlfn.XLOOKUP(C1078,社員№,カナ,"",0,-1))</f>
        <v>グエン　ヴァン　ハウ</v>
      </c>
      <c r="G1078" s="3"/>
      <c r="H1078" s="3"/>
      <c r="I1078" s="3">
        <v>26000</v>
      </c>
      <c r="J1078" s="71"/>
      <c r="K1078" s="3"/>
      <c r="L1078" s="3"/>
      <c r="M1078" s="95"/>
      <c r="N1078" s="95"/>
      <c r="O1078" s="95"/>
      <c r="P1078" s="95"/>
      <c r="Q1078" s="95"/>
      <c r="R1078" s="95"/>
      <c r="S1078" s="95"/>
      <c r="T1078" s="95"/>
      <c r="U1078" s="95"/>
      <c r="V1078" s="95"/>
      <c r="W1078" s="95"/>
      <c r="X1078" s="95"/>
      <c r="Y1078" s="429"/>
      <c r="Z1078" s="463"/>
      <c r="AA1078" s="463"/>
      <c r="AB1078" s="530"/>
      <c r="AC1078" s="498"/>
      <c r="AD1078" s="554">
        <v>5032</v>
      </c>
      <c r="AE1078" s="491">
        <v>31032</v>
      </c>
      <c r="AF1078" s="522">
        <v>26000</v>
      </c>
      <c r="AG1078" s="522">
        <v>46000</v>
      </c>
      <c r="AH1078" s="508">
        <v>0</v>
      </c>
      <c r="AI1078" s="448">
        <v>0</v>
      </c>
    </row>
    <row r="1079" spans="1:36">
      <c r="A1079" s="145">
        <v>46048</v>
      </c>
      <c r="B1079" s="376"/>
      <c r="C1079" s="27"/>
      <c r="D1079" s="20" t="s">
        <v>2850</v>
      </c>
      <c r="E1079" s="20" t="s">
        <v>2851</v>
      </c>
      <c r="F1079" s="20" t="s">
        <v>2852</v>
      </c>
      <c r="G1079" s="11"/>
      <c r="H1079" s="11"/>
      <c r="I1079" s="11"/>
      <c r="J1079" s="65"/>
      <c r="O1079" s="81"/>
      <c r="P1079" s="81"/>
      <c r="Q1079" s="81"/>
      <c r="R1079" s="81"/>
      <c r="S1079" s="81"/>
      <c r="T1079" s="81"/>
      <c r="U1079" s="81"/>
      <c r="V1079" s="81"/>
      <c r="W1079" s="81"/>
      <c r="X1079" s="81"/>
      <c r="Y1079" s="413"/>
      <c r="Z1079" s="441"/>
      <c r="AA1079" s="441"/>
      <c r="AB1079" s="443"/>
      <c r="AC1079" s="448"/>
      <c r="AD1079" s="499"/>
      <c r="AE1079" s="499"/>
      <c r="AF1079" s="522"/>
      <c r="AG1079" s="522"/>
      <c r="AI1079" s="487">
        <v>5032</v>
      </c>
      <c r="AJ1079" s="559">
        <v>5032</v>
      </c>
    </row>
    <row r="1080" spans="1:36">
      <c r="F1080" s="160"/>
      <c r="G1080" s="10"/>
      <c r="H1080" s="10"/>
      <c r="I1080" s="10"/>
      <c r="J1080" s="74"/>
      <c r="K1080" s="10"/>
      <c r="L1080" s="10"/>
      <c r="M1080" s="88"/>
      <c r="N1080" s="88"/>
      <c r="O1080" s="88"/>
      <c r="P1080" s="88"/>
      <c r="Q1080" s="88"/>
      <c r="R1080" s="88"/>
      <c r="S1080" s="88"/>
      <c r="T1080" s="88"/>
      <c r="U1080" s="88"/>
      <c r="V1080" s="88"/>
      <c r="W1080" s="88"/>
      <c r="X1080" s="88"/>
      <c r="Y1080" s="410"/>
      <c r="Z1080" s="438"/>
      <c r="AA1080" s="438"/>
      <c r="AB1080" s="438"/>
    </row>
    <row r="1081" spans="1:36">
      <c r="A1081" s="147"/>
      <c r="C1081" s="39"/>
      <c r="D1081" s="39"/>
      <c r="E1081" s="39" t="s">
        <v>1031</v>
      </c>
      <c r="F1081" s="199"/>
      <c r="G1081" s="210">
        <v>33000</v>
      </c>
      <c r="H1081" s="210">
        <v>36000</v>
      </c>
      <c r="I1081" s="210" t="s">
        <v>1032</v>
      </c>
      <c r="J1081" s="74"/>
      <c r="K1081" s="10"/>
      <c r="L1081" s="10"/>
      <c r="M1081" s="88"/>
      <c r="N1081" s="88"/>
      <c r="O1081" s="88"/>
      <c r="P1081" s="88"/>
      <c r="Q1081" s="88"/>
      <c r="R1081" s="88"/>
      <c r="S1081" s="88"/>
      <c r="T1081" s="88"/>
      <c r="U1081" s="88"/>
      <c r="V1081" s="88"/>
      <c r="W1081" s="88"/>
      <c r="X1081" s="88"/>
      <c r="Y1081" s="410"/>
      <c r="Z1081" s="438"/>
      <c r="AA1081" s="438"/>
      <c r="AB1081" s="438"/>
    </row>
    <row r="1082" spans="1:36">
      <c r="A1082" s="148" t="s">
        <v>1</v>
      </c>
      <c r="B1082" s="377" t="s">
        <v>529</v>
      </c>
      <c r="C1082" s="27" t="s">
        <v>2</v>
      </c>
      <c r="D1082" s="27" t="s">
        <v>2532</v>
      </c>
      <c r="E1082" s="27" t="s">
        <v>2433</v>
      </c>
      <c r="F1082" s="165"/>
      <c r="G1082" s="22"/>
      <c r="H1082" s="22"/>
      <c r="I1082" s="22" t="s">
        <v>3</v>
      </c>
      <c r="J1082" s="90"/>
      <c r="K1082" s="91"/>
      <c r="L1082" s="91"/>
      <c r="M1082" s="92"/>
      <c r="N1082" s="92"/>
      <c r="O1082" s="92"/>
      <c r="P1082" s="92"/>
      <c r="Q1082" s="92"/>
      <c r="R1082" s="92"/>
      <c r="S1082" s="92"/>
      <c r="T1082" s="92"/>
      <c r="U1082" s="92"/>
      <c r="V1082" s="92"/>
      <c r="W1082" s="92"/>
      <c r="X1082" s="92"/>
      <c r="Y1082" s="411"/>
      <c r="Z1082" s="439"/>
      <c r="AA1082" s="439"/>
      <c r="AB1082" s="439"/>
    </row>
    <row r="1083" spans="1:36">
      <c r="A1083" s="145">
        <v>45769</v>
      </c>
      <c r="B1083" s="376">
        <v>45838</v>
      </c>
      <c r="C1083" s="27">
        <v>250411</v>
      </c>
      <c r="D1083" s="20" t="str">
        <f t="shared" si="513"/>
        <v>六甲電子</v>
      </c>
      <c r="E1083" s="20" t="str">
        <f t="shared" si="514"/>
        <v>NGUYEN THI HONG</v>
      </c>
      <c r="F1083" s="20" t="str">
        <f t="shared" si="515"/>
        <v>グエン　ティ　ホン</v>
      </c>
      <c r="G1083" s="11"/>
      <c r="H1083" s="11"/>
      <c r="I1083" s="11">
        <v>36000</v>
      </c>
      <c r="J1083" s="65"/>
      <c r="O1083" s="81"/>
      <c r="P1083" s="81"/>
      <c r="Q1083" s="81"/>
      <c r="R1083" s="81"/>
      <c r="S1083" s="81"/>
      <c r="T1083" s="81"/>
      <c r="U1083" s="81"/>
      <c r="V1083" s="81"/>
      <c r="W1083" s="81"/>
      <c r="X1083" s="81"/>
      <c r="Y1083" s="413"/>
      <c r="Z1083" s="446">
        <v>10800</v>
      </c>
      <c r="AA1083" s="471">
        <f>36000+10800</f>
        <v>46800</v>
      </c>
      <c r="AB1083" s="471">
        <f>36000</f>
        <v>36000</v>
      </c>
      <c r="AC1083" s="448">
        <v>0</v>
      </c>
    </row>
    <row r="1084" spans="1:36">
      <c r="A1084" s="145">
        <v>45839</v>
      </c>
      <c r="B1084" s="376"/>
      <c r="C1084" s="27">
        <v>250701</v>
      </c>
      <c r="D1084" s="20" t="str">
        <f t="shared" ref="D1084" si="544">IF(C1084="","",_xlfn.XLOOKUP(C1084,社員№,派遣先,"",0,-1))</f>
        <v>六甲電子</v>
      </c>
      <c r="E1084" s="20" t="str">
        <f t="shared" ref="E1084" si="545">IF(C1084="","",_xlfn.XLOOKUP(C1084,社員№,氏名,"",0,-1))</f>
        <v>TRAN THI HANH</v>
      </c>
      <c r="F1084" s="20" t="str">
        <f t="shared" ref="F1084" si="546">IF(C1084="","",_xlfn.XLOOKUP(C1084,社員№,カナ,"",0,-1))</f>
        <v>チャン　ティ　ハイン</v>
      </c>
      <c r="G1084" s="11"/>
      <c r="H1084" s="11"/>
      <c r="I1084" s="11">
        <v>36000</v>
      </c>
      <c r="J1084" s="65"/>
      <c r="O1084" s="81"/>
      <c r="P1084" s="81"/>
      <c r="Q1084" s="81"/>
      <c r="R1084" s="81"/>
      <c r="S1084" s="81"/>
      <c r="T1084" s="81"/>
      <c r="U1084" s="81"/>
      <c r="V1084" s="81"/>
      <c r="W1084" s="81"/>
      <c r="X1084" s="81"/>
      <c r="Y1084" s="413"/>
      <c r="Z1084" s="446"/>
      <c r="AA1084" s="471"/>
      <c r="AB1084" s="471">
        <v>0</v>
      </c>
      <c r="AC1084" s="448" t="s">
        <v>985</v>
      </c>
      <c r="AD1084" s="448">
        <v>36000</v>
      </c>
      <c r="AE1084" s="508">
        <v>36000</v>
      </c>
      <c r="AF1084" s="508">
        <v>36000</v>
      </c>
      <c r="AG1084" s="508">
        <v>36000</v>
      </c>
      <c r="AH1084" s="508">
        <v>36000</v>
      </c>
      <c r="AI1084" s="508">
        <v>36000</v>
      </c>
    </row>
    <row r="1085" spans="1:36">
      <c r="F1085" s="160"/>
      <c r="J1085" s="74"/>
      <c r="K1085" s="10"/>
      <c r="L1085" s="10"/>
      <c r="M1085" s="88"/>
      <c r="N1085" s="88"/>
      <c r="O1085" s="88"/>
      <c r="P1085" s="88"/>
      <c r="Q1085" s="88"/>
      <c r="R1085" s="88"/>
      <c r="S1085" s="88"/>
      <c r="T1085" s="88"/>
      <c r="U1085" s="88"/>
      <c r="V1085" s="88"/>
      <c r="W1085" s="88"/>
      <c r="X1085" s="88"/>
      <c r="Y1085" s="410"/>
      <c r="Z1085" s="438"/>
      <c r="AA1085" s="438"/>
      <c r="AB1085" s="438"/>
    </row>
    <row r="1086" spans="1:36" hidden="1">
      <c r="A1086" s="515" t="s">
        <v>2580</v>
      </c>
      <c r="C1086" s="32"/>
      <c r="D1086" s="32"/>
      <c r="E1086" s="32" t="s">
        <v>2520</v>
      </c>
      <c r="F1086" s="172"/>
      <c r="G1086" s="211">
        <v>57000</v>
      </c>
      <c r="H1086" s="211">
        <v>60000</v>
      </c>
      <c r="I1086" s="211" t="s">
        <v>574</v>
      </c>
      <c r="J1086" s="74"/>
      <c r="K1086" s="10"/>
      <c r="L1086" s="10"/>
      <c r="M1086" s="88"/>
      <c r="N1086" s="88"/>
      <c r="O1086" s="88"/>
      <c r="P1086" s="88"/>
      <c r="Q1086" s="88"/>
      <c r="R1086" s="88"/>
      <c r="S1086" s="88"/>
      <c r="T1086" s="88"/>
      <c r="U1086" s="88"/>
      <c r="V1086" s="88"/>
      <c r="W1086" s="88"/>
      <c r="X1086" s="88"/>
      <c r="Y1086" s="410"/>
      <c r="Z1086" s="438"/>
      <c r="AA1086" s="438"/>
      <c r="AB1086" s="438"/>
    </row>
    <row r="1087" spans="1:36" hidden="1">
      <c r="A1087" s="145" t="s">
        <v>1</v>
      </c>
      <c r="B1087" s="376" t="s">
        <v>529</v>
      </c>
      <c r="C1087" s="27" t="s">
        <v>2</v>
      </c>
      <c r="D1087" s="27" t="s">
        <v>2532</v>
      </c>
      <c r="E1087" s="27" t="s">
        <v>2433</v>
      </c>
      <c r="F1087" s="165"/>
      <c r="G1087" s="22"/>
      <c r="H1087" s="22"/>
      <c r="I1087" s="22" t="s">
        <v>3</v>
      </c>
      <c r="J1087" s="90"/>
      <c r="K1087" s="91"/>
      <c r="L1087" s="91"/>
      <c r="M1087" s="92"/>
      <c r="N1087" s="92"/>
      <c r="O1087" s="92"/>
      <c r="P1087" s="92"/>
      <c r="Q1087" s="92"/>
      <c r="R1087" s="92"/>
      <c r="S1087" s="92"/>
      <c r="T1087" s="92"/>
      <c r="U1087" s="92"/>
      <c r="V1087" s="92"/>
      <c r="W1087" s="92"/>
      <c r="X1087" s="92"/>
      <c r="Y1087" s="411"/>
      <c r="Z1087" s="439"/>
      <c r="AA1087" s="439"/>
      <c r="AB1087" s="439"/>
    </row>
    <row r="1088" spans="1:36" hidden="1">
      <c r="A1088" s="145">
        <v>45288</v>
      </c>
      <c r="B1088" s="376">
        <v>45833</v>
      </c>
      <c r="C1088" s="27">
        <v>240102</v>
      </c>
      <c r="D1088" s="20" t="str">
        <f t="shared" si="513"/>
        <v>ワーク 岡山</v>
      </c>
      <c r="E1088" s="20" t="str">
        <f t="shared" si="514"/>
        <v>NGUYEN HOANG DUC</v>
      </c>
      <c r="F1088" s="20" t="str">
        <f t="shared" si="515"/>
        <v>グエン　ホアン　ドック</v>
      </c>
      <c r="G1088" s="11"/>
      <c r="H1088" s="11"/>
      <c r="I1088" s="11">
        <v>30000</v>
      </c>
      <c r="J1088" s="67"/>
      <c r="K1088" s="78">
        <v>33871</v>
      </c>
      <c r="L1088" s="78">
        <v>30000</v>
      </c>
      <c r="M1088" s="87">
        <v>30000</v>
      </c>
      <c r="N1088" s="87">
        <v>30000</v>
      </c>
      <c r="O1088" s="132">
        <v>30000</v>
      </c>
      <c r="P1088" s="132">
        <v>30000</v>
      </c>
      <c r="Q1088" s="132">
        <v>30000</v>
      </c>
      <c r="R1088" s="132">
        <v>30000</v>
      </c>
      <c r="S1088" s="132">
        <v>30000</v>
      </c>
      <c r="T1088" s="132">
        <f>10645+13548</f>
        <v>24193</v>
      </c>
      <c r="U1088" s="132">
        <v>30000</v>
      </c>
      <c r="V1088" s="132">
        <v>30000</v>
      </c>
      <c r="W1088" s="132">
        <v>30000</v>
      </c>
      <c r="X1088" s="132">
        <v>30000</v>
      </c>
      <c r="Y1088" s="412">
        <v>30000</v>
      </c>
      <c r="Z1088" s="440">
        <v>30000</v>
      </c>
      <c r="AA1088" s="440">
        <v>30000</v>
      </c>
      <c r="AB1088" s="440">
        <f>30000+20000</f>
        <v>50000</v>
      </c>
    </row>
    <row r="1089" spans="1:35" hidden="1">
      <c r="A1089" s="145">
        <v>45576</v>
      </c>
      <c r="B1089" s="376">
        <v>45829</v>
      </c>
      <c r="C1089" s="27">
        <v>241006</v>
      </c>
      <c r="D1089" s="20" t="str">
        <f t="shared" ref="D1089" si="547">IF(C1089="","",_xlfn.XLOOKUP(C1089,社員№,派遣先,"",0,-1))</f>
        <v>ワーク 岡山</v>
      </c>
      <c r="E1089" s="20" t="str">
        <f t="shared" ref="E1089" si="548">IF(C1089="","",_xlfn.XLOOKUP(C1089,社員№,氏名,"",0,-1))</f>
        <v>TRAN THANH LAM</v>
      </c>
      <c r="F1089" s="20" t="str">
        <f t="shared" ref="F1089" si="549">IF(C1089="","",_xlfn.XLOOKUP(C1089,社員№,カナ,"",0,-1))</f>
        <v>チャン　タイン　ラム</v>
      </c>
      <c r="G1089" s="11"/>
      <c r="H1089" s="11"/>
      <c r="I1089" s="11">
        <v>30000</v>
      </c>
      <c r="J1089" s="67"/>
      <c r="T1089" s="130">
        <v>13548</v>
      </c>
      <c r="U1089" s="130">
        <v>30000</v>
      </c>
      <c r="V1089" s="130">
        <v>30000</v>
      </c>
      <c r="W1089" s="130">
        <v>30000</v>
      </c>
      <c r="X1089" s="130">
        <v>30000</v>
      </c>
      <c r="Y1089" s="408">
        <v>30000</v>
      </c>
      <c r="Z1089" s="437">
        <v>30000</v>
      </c>
      <c r="AA1089" s="437">
        <v>30000</v>
      </c>
      <c r="AB1089" s="440">
        <f>30000+20000</f>
        <v>50000</v>
      </c>
    </row>
    <row r="1090" spans="1:35" hidden="1">
      <c r="A1090" s="147"/>
      <c r="F1090" s="160"/>
      <c r="G1090" s="10"/>
      <c r="H1090" s="10"/>
      <c r="I1090" s="10"/>
      <c r="J1090" s="74"/>
      <c r="K1090" s="10"/>
      <c r="L1090" s="10"/>
      <c r="M1090" s="88"/>
      <c r="N1090" s="88"/>
      <c r="O1090" s="88"/>
      <c r="P1090" s="88"/>
      <c r="Q1090" s="88"/>
      <c r="R1090" s="88"/>
      <c r="S1090" s="88"/>
      <c r="T1090" s="88"/>
      <c r="U1090" s="88"/>
      <c r="V1090" s="88"/>
      <c r="W1090" s="88"/>
      <c r="X1090" s="88"/>
      <c r="Y1090" s="410"/>
      <c r="Z1090" s="438"/>
      <c r="AA1090" s="438"/>
      <c r="AB1090" s="438"/>
    </row>
    <row r="1091" spans="1:35" hidden="1">
      <c r="A1091" s="516" t="s">
        <v>2581</v>
      </c>
      <c r="C1091" s="33"/>
      <c r="D1091" s="33"/>
      <c r="E1091" s="33" t="s">
        <v>2521</v>
      </c>
      <c r="F1091" s="200"/>
      <c r="G1091" s="10"/>
      <c r="H1091" s="10"/>
      <c r="I1091" s="10"/>
      <c r="J1091" s="74" t="s">
        <v>634</v>
      </c>
      <c r="K1091" s="10"/>
      <c r="L1091" s="10"/>
      <c r="M1091" s="88"/>
      <c r="N1091" s="88"/>
      <c r="O1091" s="88"/>
      <c r="P1091" s="88"/>
      <c r="Q1091" s="88"/>
      <c r="R1091" s="88"/>
      <c r="S1091" s="88"/>
      <c r="T1091" s="88"/>
      <c r="U1091" s="88"/>
      <c r="V1091" s="88"/>
      <c r="W1091" s="88"/>
      <c r="X1091" s="88"/>
      <c r="Y1091" s="410"/>
      <c r="Z1091" s="438"/>
      <c r="AA1091" s="438"/>
      <c r="AB1091" s="438"/>
    </row>
    <row r="1092" spans="1:35" hidden="1">
      <c r="A1092" s="148" t="s">
        <v>1</v>
      </c>
      <c r="B1092" s="377" t="s">
        <v>529</v>
      </c>
      <c r="C1092" s="27" t="s">
        <v>2</v>
      </c>
      <c r="D1092" s="27" t="s">
        <v>2532</v>
      </c>
      <c r="E1092" s="27" t="s">
        <v>2433</v>
      </c>
      <c r="F1092" s="165"/>
      <c r="G1092" s="22"/>
      <c r="H1092" s="22"/>
      <c r="I1092" s="22" t="s">
        <v>3</v>
      </c>
      <c r="J1092" s="90"/>
      <c r="K1092" s="91"/>
      <c r="L1092" s="91"/>
      <c r="M1092" s="92"/>
      <c r="N1092" s="92"/>
      <c r="O1092" s="92"/>
      <c r="P1092" s="92"/>
      <c r="Q1092" s="92"/>
      <c r="R1092" s="92"/>
      <c r="S1092" s="92"/>
      <c r="T1092" s="92"/>
      <c r="U1092" s="92"/>
      <c r="V1092" s="92"/>
      <c r="W1092" s="92"/>
      <c r="X1092" s="92"/>
      <c r="Y1092" s="411"/>
      <c r="Z1092" s="439"/>
      <c r="AA1092" s="439"/>
      <c r="AB1092" s="439"/>
    </row>
    <row r="1093" spans="1:35" hidden="1">
      <c r="A1093" s="148">
        <v>44591</v>
      </c>
      <c r="B1093" s="377">
        <v>45529</v>
      </c>
      <c r="C1093" s="27">
        <v>220128</v>
      </c>
      <c r="D1093" s="20" t="str">
        <f t="shared" ref="D1093:D1166" si="550">IF(C1093="","",_xlfn.XLOOKUP(C1093,社員№,派遣先,"",0,-1))</f>
        <v>ワーク 堺</v>
      </c>
      <c r="E1093" s="20" t="str">
        <f t="shared" ref="E1093:E1166" si="551">IF(C1093="","",_xlfn.XLOOKUP(C1093,社員№,氏名,"",0,-1))</f>
        <v>VU DUC THACH</v>
      </c>
      <c r="F1093" s="20" t="str">
        <f t="shared" ref="F1093:F1166" si="552">IF(C1093="","",_xlfn.XLOOKUP(C1093,社員№,カナ,"",0,-1))</f>
        <v>ヴー　ドゥック　タック</v>
      </c>
      <c r="G1093" s="11"/>
      <c r="H1093" s="11"/>
      <c r="I1093" s="11">
        <v>50000</v>
      </c>
      <c r="J1093" s="67"/>
      <c r="K1093" s="78">
        <v>50000</v>
      </c>
      <c r="L1093" s="78">
        <v>50000</v>
      </c>
      <c r="M1093" s="87">
        <v>50000</v>
      </c>
      <c r="N1093" s="87">
        <v>50000</v>
      </c>
      <c r="O1093" s="132">
        <v>50000</v>
      </c>
      <c r="P1093" s="132">
        <v>50000</v>
      </c>
      <c r="Q1093" s="132">
        <v>50000</v>
      </c>
      <c r="R1093" s="132">
        <f>50000+20000</f>
        <v>70000</v>
      </c>
      <c r="S1093" s="132">
        <v>0</v>
      </c>
      <c r="T1093" s="132">
        <v>0</v>
      </c>
      <c r="U1093" s="132">
        <v>0</v>
      </c>
      <c r="V1093" s="132">
        <v>0</v>
      </c>
      <c r="W1093" s="132">
        <v>0</v>
      </c>
      <c r="X1093" s="132">
        <v>0</v>
      </c>
      <c r="Y1093" s="412">
        <v>0</v>
      </c>
      <c r="Z1093" s="440">
        <v>0</v>
      </c>
      <c r="AA1093" s="440">
        <v>0</v>
      </c>
      <c r="AB1093" s="440">
        <v>0</v>
      </c>
    </row>
    <row r="1094" spans="1:35" hidden="1">
      <c r="A1094" s="147"/>
      <c r="F1094" s="160"/>
      <c r="G1094" s="10"/>
      <c r="H1094" s="10"/>
      <c r="I1094" s="10"/>
      <c r="J1094" s="97"/>
      <c r="K1094" s="98"/>
      <c r="L1094" s="98"/>
      <c r="M1094" s="99"/>
      <c r="N1094" s="99"/>
      <c r="O1094" s="99"/>
      <c r="P1094" s="99"/>
      <c r="Q1094" s="99"/>
      <c r="R1094" s="99"/>
      <c r="S1094" s="99"/>
      <c r="T1094" s="99"/>
      <c r="U1094" s="99"/>
      <c r="V1094" s="99"/>
      <c r="W1094" s="99"/>
      <c r="X1094" s="99"/>
      <c r="Y1094" s="416"/>
      <c r="Z1094" s="445"/>
      <c r="AA1094" s="445"/>
      <c r="AB1094" s="445"/>
    </row>
    <row r="1095" spans="1:35">
      <c r="A1095" s="147"/>
      <c r="C1095" s="32"/>
      <c r="D1095" s="32"/>
      <c r="E1095" s="32" t="s">
        <v>36</v>
      </c>
      <c r="F1095" s="172"/>
      <c r="G1095" s="211">
        <v>29000</v>
      </c>
      <c r="H1095" s="211">
        <v>32000</v>
      </c>
      <c r="I1095" s="211" t="s">
        <v>582</v>
      </c>
      <c r="J1095" s="74" t="s">
        <v>646</v>
      </c>
      <c r="K1095" s="10"/>
      <c r="L1095" s="10"/>
      <c r="M1095" s="88"/>
      <c r="N1095" s="88"/>
      <c r="O1095" s="88"/>
      <c r="P1095" s="88"/>
      <c r="Q1095" s="88"/>
      <c r="R1095" s="88"/>
      <c r="S1095" s="88"/>
      <c r="T1095" s="88"/>
      <c r="U1095" s="88"/>
      <c r="V1095" s="88"/>
      <c r="W1095" s="88"/>
      <c r="X1095" s="88"/>
      <c r="Y1095" s="410"/>
      <c r="Z1095" s="438"/>
      <c r="AA1095" s="438"/>
      <c r="AB1095" s="438"/>
    </row>
    <row r="1096" spans="1:35">
      <c r="A1096" s="148" t="s">
        <v>1</v>
      </c>
      <c r="B1096" s="377" t="s">
        <v>529</v>
      </c>
      <c r="C1096" s="27" t="s">
        <v>2</v>
      </c>
      <c r="D1096" s="27" t="s">
        <v>2532</v>
      </c>
      <c r="E1096" s="27" t="s">
        <v>2433</v>
      </c>
      <c r="F1096" s="165"/>
      <c r="G1096" s="22"/>
      <c r="H1096" s="22"/>
      <c r="I1096" s="22" t="s">
        <v>3</v>
      </c>
      <c r="J1096" s="90"/>
      <c r="K1096" s="91"/>
      <c r="L1096" s="91"/>
      <c r="M1096" s="92"/>
      <c r="N1096" s="92"/>
      <c r="O1096" s="92"/>
      <c r="P1096" s="92"/>
      <c r="Q1096" s="92"/>
      <c r="R1096" s="92"/>
      <c r="S1096" s="92"/>
      <c r="T1096" s="92"/>
      <c r="U1096" s="92"/>
      <c r="V1096" s="92"/>
      <c r="W1096" s="92"/>
      <c r="X1096" s="92"/>
      <c r="Y1096" s="411"/>
      <c r="Z1096" s="439"/>
      <c r="AA1096" s="439"/>
      <c r="AB1096" s="439"/>
    </row>
    <row r="1097" spans="1:35">
      <c r="A1097" s="148">
        <v>44632</v>
      </c>
      <c r="B1097" s="377"/>
      <c r="C1097" s="27">
        <v>220309</v>
      </c>
      <c r="D1097" s="20" t="str">
        <f t="shared" si="550"/>
        <v>ワーク 堺</v>
      </c>
      <c r="E1097" s="20" t="str">
        <f t="shared" si="551"/>
        <v>DANG DUC CHIEN</v>
      </c>
      <c r="F1097" s="20" t="str">
        <f t="shared" si="552"/>
        <v>ダン　ドゥック　チェン</v>
      </c>
      <c r="G1097" s="11"/>
      <c r="H1097" s="11"/>
      <c r="I1097" s="11">
        <v>32000</v>
      </c>
      <c r="J1097" s="67"/>
      <c r="K1097" s="78">
        <v>32000</v>
      </c>
      <c r="L1097" s="78">
        <v>32000</v>
      </c>
      <c r="M1097" s="87">
        <v>32000</v>
      </c>
      <c r="N1097" s="87">
        <v>32000</v>
      </c>
      <c r="O1097" s="132">
        <v>32000</v>
      </c>
      <c r="P1097" s="132">
        <v>32000</v>
      </c>
      <c r="Q1097" s="132">
        <v>32000</v>
      </c>
      <c r="R1097" s="132">
        <v>32000</v>
      </c>
      <c r="S1097" s="132">
        <v>32000</v>
      </c>
      <c r="T1097" s="132">
        <v>32000</v>
      </c>
      <c r="U1097" s="132">
        <v>32000</v>
      </c>
      <c r="V1097" s="132">
        <v>32000</v>
      </c>
      <c r="W1097" s="132">
        <v>32000</v>
      </c>
      <c r="X1097" s="132">
        <v>32000</v>
      </c>
      <c r="Y1097" s="412">
        <v>32000</v>
      </c>
      <c r="Z1097" s="440">
        <v>32000</v>
      </c>
      <c r="AA1097" s="440">
        <v>32000</v>
      </c>
      <c r="AB1097" s="440">
        <v>32000</v>
      </c>
      <c r="AC1097" s="441">
        <v>32000</v>
      </c>
      <c r="AD1097" s="441">
        <v>32000</v>
      </c>
      <c r="AE1097" s="437">
        <v>32000</v>
      </c>
      <c r="AF1097" s="437">
        <v>32000</v>
      </c>
      <c r="AG1097" s="437">
        <v>32000</v>
      </c>
      <c r="AH1097" s="437">
        <v>32000</v>
      </c>
      <c r="AI1097" s="437">
        <v>32000</v>
      </c>
    </row>
    <row r="1098" spans="1:35">
      <c r="A1098" s="147"/>
      <c r="F1098" s="160"/>
      <c r="J1098" s="97"/>
      <c r="K1098" s="98"/>
      <c r="L1098" s="98"/>
      <c r="M1098" s="99"/>
      <c r="N1098" s="99"/>
      <c r="O1098" s="99"/>
      <c r="P1098" s="99"/>
      <c r="Q1098" s="99"/>
      <c r="R1098" s="99"/>
      <c r="S1098" s="99"/>
      <c r="T1098" s="99"/>
      <c r="U1098" s="99"/>
      <c r="V1098" s="99"/>
      <c r="W1098" s="99"/>
      <c r="X1098" s="99"/>
      <c r="Y1098" s="416"/>
      <c r="Z1098" s="445"/>
      <c r="AA1098" s="445"/>
      <c r="AB1098" s="445"/>
    </row>
    <row r="1099" spans="1:35">
      <c r="A1099" s="147"/>
      <c r="C1099" s="32"/>
      <c r="D1099" s="32"/>
      <c r="E1099" s="32" t="s">
        <v>2522</v>
      </c>
      <c r="F1099" s="172"/>
      <c r="G1099" s="211">
        <v>52000</v>
      </c>
      <c r="H1099" s="211">
        <v>57000</v>
      </c>
      <c r="I1099" s="211" t="s">
        <v>584</v>
      </c>
      <c r="J1099" s="74"/>
      <c r="K1099" s="10"/>
      <c r="L1099" s="10"/>
      <c r="M1099" s="88"/>
      <c r="N1099" s="88"/>
      <c r="O1099" s="88"/>
      <c r="P1099" s="88"/>
      <c r="Q1099" s="88"/>
      <c r="R1099" s="88"/>
      <c r="S1099" s="88"/>
      <c r="T1099" s="88"/>
      <c r="U1099" s="88"/>
      <c r="V1099" s="88"/>
      <c r="W1099" s="88"/>
      <c r="X1099" s="88"/>
      <c r="Y1099" s="410"/>
      <c r="Z1099" s="438"/>
      <c r="AA1099" s="438"/>
      <c r="AB1099" s="438"/>
    </row>
    <row r="1100" spans="1:35">
      <c r="A1100" s="148" t="s">
        <v>1</v>
      </c>
      <c r="B1100" s="377" t="s">
        <v>529</v>
      </c>
      <c r="C1100" s="27" t="s">
        <v>2</v>
      </c>
      <c r="D1100" s="27" t="s">
        <v>2532</v>
      </c>
      <c r="E1100" s="27" t="s">
        <v>2433</v>
      </c>
      <c r="F1100" s="165"/>
      <c r="G1100" s="22"/>
      <c r="H1100" s="22"/>
      <c r="I1100" s="22" t="s">
        <v>3</v>
      </c>
      <c r="J1100" s="90"/>
      <c r="K1100" s="91"/>
      <c r="L1100" s="91"/>
      <c r="M1100" s="92"/>
      <c r="N1100" s="92"/>
      <c r="O1100" s="92"/>
      <c r="P1100" s="92"/>
      <c r="Q1100" s="92"/>
      <c r="R1100" s="92"/>
      <c r="S1100" s="92"/>
      <c r="T1100" s="92"/>
      <c r="U1100" s="92"/>
      <c r="V1100" s="92"/>
      <c r="W1100" s="92"/>
      <c r="X1100" s="92"/>
      <c r="Y1100" s="411"/>
      <c r="Z1100" s="439"/>
      <c r="AA1100" s="439"/>
      <c r="AB1100" s="439"/>
    </row>
    <row r="1101" spans="1:35">
      <c r="A1101" s="148">
        <v>45391</v>
      </c>
      <c r="B1101" s="377"/>
      <c r="C1101" s="27">
        <v>240403</v>
      </c>
      <c r="D1101" s="20" t="str">
        <f t="shared" si="550"/>
        <v>ワーク 堺</v>
      </c>
      <c r="E1101" s="20" t="str">
        <f t="shared" si="551"/>
        <v>NGUYEN VAN HOA</v>
      </c>
      <c r="F1101" s="20" t="str">
        <f t="shared" si="552"/>
        <v>グエン　ヴァン　ホア</v>
      </c>
      <c r="G1101" s="11"/>
      <c r="H1101" s="11"/>
      <c r="I1101" s="11">
        <v>28500</v>
      </c>
      <c r="J1101" s="67"/>
      <c r="K1101" s="78"/>
      <c r="L1101" s="78"/>
      <c r="M1101" s="87"/>
      <c r="N1101" s="87">
        <v>13933</v>
      </c>
      <c r="O1101" s="132">
        <v>28500</v>
      </c>
      <c r="P1101" s="132">
        <v>28500</v>
      </c>
      <c r="Q1101" s="132">
        <v>28500</v>
      </c>
      <c r="R1101" s="132">
        <v>28500</v>
      </c>
      <c r="S1101" s="132">
        <v>28500</v>
      </c>
      <c r="T1101" s="132">
        <v>28500</v>
      </c>
      <c r="U1101" s="132">
        <v>28500</v>
      </c>
      <c r="V1101" s="132">
        <v>28500</v>
      </c>
      <c r="W1101" s="132">
        <v>28500</v>
      </c>
      <c r="X1101" s="132">
        <v>28500</v>
      </c>
      <c r="Y1101" s="412">
        <v>28500</v>
      </c>
      <c r="Z1101" s="440">
        <v>28500</v>
      </c>
      <c r="AA1101" s="440">
        <v>28500</v>
      </c>
      <c r="AB1101" s="440">
        <v>28500</v>
      </c>
      <c r="AC1101" s="441">
        <v>28500</v>
      </c>
      <c r="AD1101" s="441">
        <v>28500</v>
      </c>
      <c r="AE1101" s="437">
        <v>28500</v>
      </c>
      <c r="AF1101" s="437">
        <v>28500</v>
      </c>
      <c r="AG1101" s="437">
        <v>28500</v>
      </c>
      <c r="AH1101" s="437">
        <v>28500</v>
      </c>
      <c r="AI1101" s="437">
        <v>28500</v>
      </c>
    </row>
    <row r="1102" spans="1:35">
      <c r="A1102" s="228">
        <v>45391</v>
      </c>
      <c r="B1102" s="375">
        <v>45716</v>
      </c>
      <c r="C1102" s="43">
        <v>240404</v>
      </c>
      <c r="D1102" s="20" t="str">
        <f t="shared" ref="D1102:D1103" si="553">IF(C1102="","",_xlfn.XLOOKUP(C1102,社員№,派遣先,"",0,-1))</f>
        <v>ワーク 堺</v>
      </c>
      <c r="E1102" s="20" t="str">
        <f t="shared" ref="E1102:E1103" si="554">IF(C1102="","",_xlfn.XLOOKUP(C1102,社員№,氏名,"",0,-1))</f>
        <v>TRINH VAN TU</v>
      </c>
      <c r="F1102" s="20" t="str">
        <f t="shared" ref="F1102:F1103" si="555">IF(C1102="","",_xlfn.XLOOKUP(C1102,社員№,カナ,"",0,-1))</f>
        <v>チン　ヴァン　トウ</v>
      </c>
      <c r="G1102" s="3"/>
      <c r="H1102" s="3"/>
      <c r="I1102" s="3">
        <v>28500</v>
      </c>
      <c r="J1102" s="71"/>
      <c r="K1102" s="3"/>
      <c r="L1102" s="3"/>
      <c r="M1102" s="95"/>
      <c r="N1102" s="95">
        <v>13933</v>
      </c>
      <c r="O1102" s="136">
        <v>28500</v>
      </c>
      <c r="P1102" s="136">
        <v>28500</v>
      </c>
      <c r="Q1102" s="136">
        <v>28500</v>
      </c>
      <c r="R1102" s="136">
        <v>28500</v>
      </c>
      <c r="S1102" s="136">
        <v>28500</v>
      </c>
      <c r="T1102" s="136">
        <v>28500</v>
      </c>
      <c r="U1102" s="136">
        <v>28500</v>
      </c>
      <c r="V1102" s="136">
        <v>28500</v>
      </c>
      <c r="W1102" s="136">
        <v>28500</v>
      </c>
      <c r="X1102" s="136">
        <f>28500+20000</f>
        <v>48500</v>
      </c>
      <c r="Y1102" s="421">
        <v>0</v>
      </c>
      <c r="Z1102" s="451">
        <v>0</v>
      </c>
      <c r="AA1102" s="451">
        <v>0</v>
      </c>
      <c r="AB1102" s="451">
        <v>0</v>
      </c>
      <c r="AC1102" s="451">
        <v>0</v>
      </c>
      <c r="AD1102" s="451">
        <v>0</v>
      </c>
      <c r="AE1102" s="451">
        <v>0</v>
      </c>
      <c r="AF1102" s="437">
        <v>0</v>
      </c>
    </row>
    <row r="1103" spans="1:35">
      <c r="A1103" s="145">
        <v>45870</v>
      </c>
      <c r="B1103" s="376"/>
      <c r="C1103" s="27">
        <v>250801</v>
      </c>
      <c r="D1103" s="20" t="str">
        <f t="shared" si="553"/>
        <v>ワーク 堺</v>
      </c>
      <c r="E1103" s="20" t="str">
        <f t="shared" si="554"/>
        <v>TRAN HUU LOC</v>
      </c>
      <c r="F1103" s="20" t="str">
        <f t="shared" si="555"/>
        <v>チャン　ヒュウ　ロック</v>
      </c>
      <c r="G1103" s="11"/>
      <c r="H1103" s="11"/>
      <c r="I1103" s="11"/>
      <c r="J1103" s="65"/>
      <c r="O1103" s="81"/>
      <c r="P1103" s="81"/>
      <c r="Q1103" s="81"/>
      <c r="R1103" s="81"/>
      <c r="S1103" s="81"/>
      <c r="T1103" s="81"/>
      <c r="U1103" s="81"/>
      <c r="V1103" s="81"/>
      <c r="W1103" s="81"/>
      <c r="X1103" s="81"/>
      <c r="Y1103" s="413"/>
      <c r="Z1103" s="441"/>
      <c r="AA1103" s="441"/>
      <c r="AB1103" s="441"/>
      <c r="AC1103" s="443">
        <v>0</v>
      </c>
      <c r="AD1103" s="499">
        <v>28500</v>
      </c>
      <c r="AE1103" s="522">
        <v>28500</v>
      </c>
      <c r="AF1103" s="522">
        <v>28500</v>
      </c>
      <c r="AG1103" s="522">
        <v>28500</v>
      </c>
      <c r="AH1103" s="522">
        <v>28500</v>
      </c>
      <c r="AI1103" s="522">
        <v>28500</v>
      </c>
    </row>
    <row r="1104" spans="1:35">
      <c r="A1104" s="147"/>
      <c r="F1104" s="160"/>
      <c r="J1104" s="74"/>
      <c r="K1104" s="10"/>
      <c r="L1104" s="10"/>
      <c r="M1104" s="88"/>
      <c r="N1104" s="88"/>
      <c r="O1104" s="88"/>
      <c r="P1104" s="88"/>
      <c r="Q1104" s="88"/>
      <c r="R1104" s="88"/>
      <c r="S1104" s="88"/>
      <c r="T1104" s="88"/>
      <c r="U1104" s="88"/>
      <c r="V1104" s="88"/>
      <c r="W1104" s="88"/>
      <c r="X1104" s="88"/>
      <c r="Y1104" s="410"/>
      <c r="Z1104" s="438"/>
      <c r="AA1104" s="438"/>
      <c r="AB1104" s="438"/>
    </row>
    <row r="1105" spans="1:35">
      <c r="A1105" s="147"/>
      <c r="C1105" s="32"/>
      <c r="D1105" s="32"/>
      <c r="E1105" s="32" t="s">
        <v>79</v>
      </c>
      <c r="F1105" s="172"/>
      <c r="G1105" s="211">
        <v>50000</v>
      </c>
      <c r="H1105" s="211">
        <v>55000</v>
      </c>
      <c r="I1105" s="211" t="s">
        <v>574</v>
      </c>
      <c r="J1105" s="74"/>
      <c r="K1105" s="10"/>
      <c r="L1105" s="10"/>
      <c r="M1105" s="88"/>
      <c r="N1105" s="88"/>
      <c r="O1105" s="88"/>
      <c r="P1105" s="88"/>
      <c r="Q1105" s="88"/>
      <c r="R1105" s="88"/>
      <c r="S1105" s="88"/>
      <c r="T1105" s="88"/>
      <c r="U1105" s="88"/>
      <c r="V1105" s="88"/>
      <c r="W1105" s="88"/>
      <c r="X1105" s="88"/>
      <c r="Y1105" s="410"/>
      <c r="Z1105" s="438"/>
      <c r="AA1105" s="438"/>
      <c r="AB1105" s="438"/>
    </row>
    <row r="1106" spans="1:35">
      <c r="A1106" s="148" t="s">
        <v>1</v>
      </c>
      <c r="B1106" s="377" t="s">
        <v>529</v>
      </c>
      <c r="C1106" s="27" t="s">
        <v>2</v>
      </c>
      <c r="D1106" s="27" t="s">
        <v>2532</v>
      </c>
      <c r="E1106" s="27" t="s">
        <v>2433</v>
      </c>
      <c r="F1106" s="165"/>
      <c r="G1106" s="22"/>
      <c r="H1106" s="22"/>
      <c r="I1106" s="22" t="s">
        <v>3</v>
      </c>
      <c r="J1106" s="90"/>
      <c r="K1106" s="91"/>
      <c r="L1106" s="91"/>
      <c r="M1106" s="92"/>
      <c r="N1106" s="92"/>
      <c r="O1106" s="92"/>
      <c r="P1106" s="92"/>
      <c r="Q1106" s="92"/>
      <c r="R1106" s="92"/>
      <c r="S1106" s="92"/>
      <c r="T1106" s="92"/>
      <c r="U1106" s="92"/>
      <c r="V1106" s="92"/>
      <c r="W1106" s="92"/>
      <c r="X1106" s="92"/>
      <c r="Y1106" s="411"/>
      <c r="Z1106" s="439"/>
      <c r="AA1106" s="439"/>
      <c r="AB1106" s="439"/>
    </row>
    <row r="1107" spans="1:35">
      <c r="A1107" s="148">
        <v>44732</v>
      </c>
      <c r="B1107" s="377"/>
      <c r="C1107" s="27">
        <v>220524</v>
      </c>
      <c r="D1107" s="20" t="str">
        <f t="shared" si="550"/>
        <v>ワーク 志紀</v>
      </c>
      <c r="E1107" s="20" t="str">
        <f t="shared" si="551"/>
        <v>PHUNG MANH TUAN</v>
      </c>
      <c r="F1107" s="20" t="str">
        <f t="shared" si="552"/>
        <v>フン　マイン　トゥアン</v>
      </c>
      <c r="G1107" s="11"/>
      <c r="H1107" s="11"/>
      <c r="I1107" s="11">
        <v>27500</v>
      </c>
      <c r="J1107" s="67"/>
      <c r="K1107" s="78">
        <v>27500</v>
      </c>
      <c r="L1107" s="78">
        <v>27500</v>
      </c>
      <c r="M1107" s="87">
        <v>27500</v>
      </c>
      <c r="N1107" s="87">
        <v>27500</v>
      </c>
      <c r="O1107" s="132">
        <v>27500</v>
      </c>
      <c r="P1107" s="132">
        <v>27500</v>
      </c>
      <c r="Q1107" s="132">
        <v>27500</v>
      </c>
      <c r="R1107" s="132">
        <v>27500</v>
      </c>
      <c r="S1107" s="132">
        <v>27500</v>
      </c>
      <c r="T1107" s="132">
        <v>27500</v>
      </c>
      <c r="U1107" s="132">
        <v>27500</v>
      </c>
      <c r="V1107" s="132">
        <v>27500</v>
      </c>
      <c r="W1107" s="132">
        <v>27500</v>
      </c>
      <c r="X1107" s="132">
        <v>27500</v>
      </c>
      <c r="Y1107" s="412">
        <v>27500</v>
      </c>
      <c r="Z1107" s="440">
        <v>27500</v>
      </c>
      <c r="AA1107" s="440">
        <v>27500</v>
      </c>
      <c r="AB1107" s="440">
        <v>27500</v>
      </c>
      <c r="AC1107" s="441">
        <v>27500</v>
      </c>
      <c r="AD1107" s="441">
        <v>27500</v>
      </c>
      <c r="AE1107" s="437">
        <v>27500</v>
      </c>
      <c r="AF1107" s="437">
        <v>27500</v>
      </c>
      <c r="AG1107" s="437">
        <v>27500</v>
      </c>
      <c r="AH1107" s="437">
        <v>27500</v>
      </c>
      <c r="AI1107" s="437">
        <v>27500</v>
      </c>
    </row>
    <row r="1108" spans="1:35">
      <c r="A1108" s="147"/>
      <c r="F1108" s="160"/>
      <c r="J1108" s="110"/>
      <c r="K1108" s="98"/>
      <c r="L1108" s="98"/>
      <c r="M1108" s="99"/>
      <c r="N1108" s="99"/>
      <c r="O1108" s="99"/>
      <c r="P1108" s="99"/>
      <c r="Q1108" s="99"/>
      <c r="R1108" s="99"/>
      <c r="S1108" s="99"/>
      <c r="T1108" s="99"/>
      <c r="U1108" s="99"/>
      <c r="V1108" s="99"/>
      <c r="W1108" s="99"/>
      <c r="X1108" s="99"/>
      <c r="Y1108" s="416"/>
      <c r="Z1108" s="445"/>
      <c r="AA1108" s="445"/>
      <c r="AB1108" s="445"/>
    </row>
    <row r="1109" spans="1:35">
      <c r="A1109" s="147"/>
      <c r="C1109" s="40"/>
      <c r="D1109" s="40"/>
      <c r="E1109" s="40" t="s">
        <v>2523</v>
      </c>
      <c r="F1109" s="201"/>
      <c r="G1109" s="211">
        <v>62000</v>
      </c>
      <c r="H1109" s="211">
        <v>70000</v>
      </c>
      <c r="I1109" s="211" t="s">
        <v>25</v>
      </c>
      <c r="J1109" s="107"/>
      <c r="K1109" s="91"/>
      <c r="L1109" s="91"/>
      <c r="M1109" s="92"/>
      <c r="N1109" s="92"/>
      <c r="O1109" s="92"/>
      <c r="P1109" s="92"/>
      <c r="Q1109" s="92"/>
      <c r="R1109" s="92"/>
      <c r="S1109" s="92"/>
      <c r="T1109" s="92"/>
      <c r="U1109" s="92"/>
      <c r="V1109" s="92"/>
      <c r="W1109" s="92"/>
      <c r="X1109" s="92"/>
      <c r="Y1109" s="411"/>
      <c r="Z1109" s="439"/>
      <c r="AA1109" s="439"/>
      <c r="AB1109" s="439"/>
    </row>
    <row r="1110" spans="1:35">
      <c r="A1110" s="145" t="s">
        <v>1</v>
      </c>
      <c r="B1110" s="376" t="s">
        <v>529</v>
      </c>
      <c r="C1110" s="27" t="s">
        <v>2</v>
      </c>
      <c r="D1110" s="27" t="s">
        <v>2532</v>
      </c>
      <c r="E1110" s="27" t="s">
        <v>2433</v>
      </c>
      <c r="F1110" s="165"/>
      <c r="G1110" s="11"/>
      <c r="H1110" s="11"/>
      <c r="I1110" s="11" t="s">
        <v>3</v>
      </c>
      <c r="J1110" s="76" t="s">
        <v>154</v>
      </c>
      <c r="K1110" s="78"/>
      <c r="L1110" s="78"/>
      <c r="M1110" s="87"/>
      <c r="N1110" s="87"/>
      <c r="O1110" s="132"/>
      <c r="P1110" s="132"/>
      <c r="Q1110" s="132"/>
      <c r="R1110" s="132"/>
      <c r="S1110" s="132"/>
      <c r="T1110" s="132"/>
      <c r="U1110" s="132"/>
      <c r="V1110" s="132"/>
      <c r="W1110" s="132"/>
      <c r="X1110" s="132"/>
      <c r="Y1110" s="412"/>
      <c r="Z1110" s="440"/>
      <c r="AA1110" s="440"/>
      <c r="AB1110" s="440"/>
    </row>
    <row r="1111" spans="1:35" hidden="1">
      <c r="A1111" s="145">
        <v>44833</v>
      </c>
      <c r="B1111" s="376">
        <v>45614</v>
      </c>
      <c r="C1111" s="27">
        <v>221002</v>
      </c>
      <c r="D1111" s="20" t="str">
        <f t="shared" si="550"/>
        <v>ユアサ工機 新城</v>
      </c>
      <c r="E1111" s="20" t="str">
        <f t="shared" si="551"/>
        <v>VO MINH PHUONG</v>
      </c>
      <c r="F1111" s="20" t="str">
        <f t="shared" si="552"/>
        <v>ヴォ　ミン　フォン</v>
      </c>
      <c r="G1111" s="4"/>
      <c r="H1111" s="4"/>
      <c r="I1111" s="4">
        <v>25000</v>
      </c>
      <c r="J1111" s="65">
        <v>20000</v>
      </c>
      <c r="K1111" s="11">
        <v>20000</v>
      </c>
      <c r="L1111" s="11">
        <v>24656</v>
      </c>
      <c r="M1111" s="81">
        <v>25000</v>
      </c>
      <c r="N1111" s="81">
        <v>25000</v>
      </c>
      <c r="O1111" s="130">
        <v>25000</v>
      </c>
      <c r="P1111" s="130">
        <v>25000</v>
      </c>
      <c r="Q1111" s="130">
        <v>25000</v>
      </c>
      <c r="R1111" s="130">
        <v>25000</v>
      </c>
      <c r="S1111" s="130">
        <v>25000</v>
      </c>
      <c r="T1111" s="130">
        <f>25000+20000</f>
        <v>45000</v>
      </c>
      <c r="U1111" s="130">
        <v>25000</v>
      </c>
      <c r="V1111" s="130">
        <v>0</v>
      </c>
      <c r="W1111" s="130">
        <v>0</v>
      </c>
      <c r="X1111" s="130">
        <v>0</v>
      </c>
      <c r="Y1111" s="408">
        <v>0</v>
      </c>
      <c r="Z1111" s="437">
        <v>0</v>
      </c>
      <c r="AA1111" s="437">
        <v>0</v>
      </c>
      <c r="AB1111" s="437">
        <v>0</v>
      </c>
      <c r="AC1111" s="477"/>
    </row>
    <row r="1112" spans="1:35" hidden="1">
      <c r="A1112" s="145">
        <v>44932</v>
      </c>
      <c r="B1112" s="376">
        <v>45710</v>
      </c>
      <c r="C1112" s="27">
        <v>230103</v>
      </c>
      <c r="D1112" s="20" t="str">
        <f t="shared" ref="D1112:D1115" si="556">IF(C1112="","",_xlfn.XLOOKUP(C1112,社員№,派遣先,"",0,-1))</f>
        <v>ユアサ工機 新城</v>
      </c>
      <c r="E1112" s="20" t="str">
        <f t="shared" ref="E1112:E1115" si="557">IF(C1112="","",_xlfn.XLOOKUP(C1112,社員№,氏名,"",0,-1))</f>
        <v>PHAN QUANG HOP</v>
      </c>
      <c r="F1112" s="20" t="str">
        <f t="shared" ref="F1112:F1115" si="558">IF(C1112="","",_xlfn.XLOOKUP(C1112,社員№,カナ,"",0,-1))</f>
        <v>ファン　クアン　ホップ</v>
      </c>
      <c r="G1112" s="4"/>
      <c r="H1112" s="4"/>
      <c r="I1112" s="4">
        <v>25000</v>
      </c>
      <c r="J1112" s="65">
        <v>20000</v>
      </c>
      <c r="K1112" s="11">
        <v>20000</v>
      </c>
      <c r="L1112" s="11">
        <v>24656</v>
      </c>
      <c r="M1112" s="81">
        <v>25000</v>
      </c>
      <c r="N1112" s="81">
        <v>25000</v>
      </c>
      <c r="O1112" s="81">
        <v>25000</v>
      </c>
      <c r="P1112" s="81">
        <v>25000</v>
      </c>
      <c r="Q1112" s="81">
        <v>25000</v>
      </c>
      <c r="R1112" s="81">
        <v>25000</v>
      </c>
      <c r="S1112" s="81">
        <v>25000</v>
      </c>
      <c r="T1112" s="81">
        <v>25000</v>
      </c>
      <c r="U1112" s="81">
        <v>25000</v>
      </c>
      <c r="V1112" s="81">
        <f>16935+6452</f>
        <v>23387</v>
      </c>
      <c r="W1112" s="81">
        <v>20000</v>
      </c>
      <c r="X1112" s="81">
        <f>20000+20000</f>
        <v>40000</v>
      </c>
      <c r="Y1112" s="413">
        <v>0</v>
      </c>
      <c r="Z1112" s="441">
        <v>0</v>
      </c>
      <c r="AA1112" s="441">
        <v>0</v>
      </c>
      <c r="AB1112" s="441">
        <v>0</v>
      </c>
      <c r="AC1112" s="475"/>
    </row>
    <row r="1113" spans="1:35">
      <c r="A1113" s="145">
        <v>45648</v>
      </c>
      <c r="B1113" s="376"/>
      <c r="C1113" s="27">
        <v>230701</v>
      </c>
      <c r="D1113" s="20" t="str">
        <f t="shared" si="556"/>
        <v>ユアサ工機 新城</v>
      </c>
      <c r="E1113" s="20" t="str">
        <f t="shared" si="557"/>
        <v>HOANG ANH DUNG</v>
      </c>
      <c r="F1113" s="20" t="str">
        <f t="shared" si="558"/>
        <v>ホアン　アイン　ズン</v>
      </c>
      <c r="G1113" s="11"/>
      <c r="H1113" s="11"/>
      <c r="I1113" s="4">
        <v>25000</v>
      </c>
      <c r="J1113" s="65"/>
      <c r="O1113" s="81"/>
      <c r="P1113" s="81"/>
      <c r="Q1113" s="81"/>
      <c r="R1113" s="81"/>
      <c r="S1113" s="81"/>
      <c r="T1113" s="81"/>
      <c r="U1113" s="81"/>
      <c r="V1113" s="81">
        <f t="shared" ref="V1113:V1114" si="559">17613+6452</f>
        <v>24065</v>
      </c>
      <c r="W1113" s="81">
        <v>20000</v>
      </c>
      <c r="X1113" s="81">
        <v>20000</v>
      </c>
      <c r="Y1113" s="413">
        <v>25000</v>
      </c>
      <c r="Z1113" s="441">
        <v>25000</v>
      </c>
      <c r="AA1113" s="441">
        <v>25000</v>
      </c>
      <c r="AB1113" s="441">
        <v>25000</v>
      </c>
      <c r="AC1113" s="448">
        <v>25000</v>
      </c>
      <c r="AD1113" s="448">
        <v>25000</v>
      </c>
      <c r="AE1113" s="508">
        <v>25000</v>
      </c>
      <c r="AF1113" s="508">
        <v>25000</v>
      </c>
      <c r="AG1113" s="508">
        <v>25000</v>
      </c>
      <c r="AH1113" s="508">
        <v>25000</v>
      </c>
      <c r="AI1113" s="508">
        <v>25000</v>
      </c>
    </row>
    <row r="1114" spans="1:35">
      <c r="A1114" s="145">
        <v>45648</v>
      </c>
      <c r="B1114" s="376"/>
      <c r="C1114" s="27">
        <v>221001</v>
      </c>
      <c r="D1114" s="20" t="str">
        <f t="shared" si="556"/>
        <v>ユアサ工機 新城</v>
      </c>
      <c r="E1114" s="20" t="str">
        <f t="shared" si="557"/>
        <v>NGUYEN HOANG PHIEN</v>
      </c>
      <c r="F1114" s="20" t="str">
        <f t="shared" si="558"/>
        <v>グエン　ホアン　フィエン</v>
      </c>
      <c r="G1114" s="11"/>
      <c r="H1114" s="11"/>
      <c r="I1114" s="4">
        <v>25000</v>
      </c>
      <c r="J1114" s="65"/>
      <c r="O1114" s="81"/>
      <c r="P1114" s="81"/>
      <c r="Q1114" s="81"/>
      <c r="R1114" s="81"/>
      <c r="S1114" s="81"/>
      <c r="T1114" s="81"/>
      <c r="U1114" s="81"/>
      <c r="V1114" s="81">
        <f t="shared" si="559"/>
        <v>24065</v>
      </c>
      <c r="W1114" s="81">
        <v>20000</v>
      </c>
      <c r="X1114" s="81">
        <v>20000</v>
      </c>
      <c r="Y1114" s="413">
        <v>25000</v>
      </c>
      <c r="Z1114" s="441">
        <v>25000</v>
      </c>
      <c r="AA1114" s="441">
        <v>0</v>
      </c>
      <c r="AB1114" s="441">
        <v>50000</v>
      </c>
      <c r="AC1114" s="448">
        <v>25000</v>
      </c>
      <c r="AD1114" s="448">
        <v>25000</v>
      </c>
      <c r="AE1114" s="508">
        <v>25000</v>
      </c>
      <c r="AF1114" s="508">
        <v>25000</v>
      </c>
      <c r="AG1114" s="508">
        <v>25000</v>
      </c>
      <c r="AH1114" s="508">
        <v>25000</v>
      </c>
      <c r="AI1114" s="508">
        <v>25000</v>
      </c>
    </row>
    <row r="1115" spans="1:35">
      <c r="A1115" s="145">
        <v>45992</v>
      </c>
      <c r="B1115" s="376"/>
      <c r="C1115" s="27">
        <v>221002</v>
      </c>
      <c r="D1115" s="20" t="str">
        <f t="shared" si="556"/>
        <v>ユアサ工機 新城</v>
      </c>
      <c r="E1115" s="20" t="str">
        <f t="shared" si="557"/>
        <v>VO MINH PHUONG</v>
      </c>
      <c r="F1115" s="20" t="str">
        <f t="shared" si="558"/>
        <v>ヴォ　ミン　フォン</v>
      </c>
      <c r="G1115" s="11"/>
      <c r="H1115" s="11"/>
      <c r="I1115" s="4"/>
      <c r="J1115" s="65"/>
      <c r="O1115" s="81"/>
      <c r="P1115" s="81"/>
      <c r="Q1115" s="81"/>
      <c r="R1115" s="81"/>
      <c r="S1115" s="81"/>
      <c r="T1115" s="81"/>
      <c r="U1115" s="81"/>
      <c r="V1115" s="81"/>
      <c r="W1115" s="81"/>
      <c r="X1115" s="81"/>
      <c r="Y1115" s="413"/>
      <c r="Z1115" s="441"/>
      <c r="AA1115" s="441"/>
      <c r="AB1115" s="441"/>
      <c r="AC1115" s="448"/>
      <c r="AD1115" s="448"/>
      <c r="AE1115" s="448"/>
      <c r="AF1115" s="448"/>
      <c r="AG1115" s="508"/>
      <c r="AH1115" s="508">
        <v>25000</v>
      </c>
      <c r="AI1115" s="508">
        <v>25000</v>
      </c>
    </row>
    <row r="1116" spans="1:35">
      <c r="D1116" s="47"/>
      <c r="E1116" s="47"/>
      <c r="F1116" s="47"/>
      <c r="G1116" s="89"/>
      <c r="H1116" s="89"/>
      <c r="I1116" s="511"/>
      <c r="J1116" s="74"/>
      <c r="K1116" s="10"/>
      <c r="L1116" s="10"/>
      <c r="M1116" s="88"/>
      <c r="N1116" s="88"/>
      <c r="O1116" s="88"/>
      <c r="P1116" s="88"/>
      <c r="Q1116" s="88"/>
      <c r="R1116" s="88"/>
      <c r="S1116" s="88"/>
      <c r="T1116" s="88"/>
      <c r="U1116" s="88"/>
      <c r="V1116" s="88"/>
      <c r="W1116" s="88"/>
      <c r="X1116" s="88"/>
      <c r="Y1116" s="410"/>
      <c r="Z1116" s="438"/>
      <c r="AA1116" s="438"/>
      <c r="AB1116" s="438"/>
      <c r="AD1116" s="464"/>
      <c r="AF1116" s="538"/>
    </row>
    <row r="1117" spans="1:35">
      <c r="C1117" s="36"/>
      <c r="D1117" s="36"/>
      <c r="E1117" s="36" t="s">
        <v>2577</v>
      </c>
      <c r="F1117" s="36"/>
      <c r="G1117" s="510">
        <v>54000</v>
      </c>
      <c r="H1117" s="510">
        <v>59100</v>
      </c>
      <c r="I1117" s="512" t="s">
        <v>935</v>
      </c>
      <c r="J1117" s="65"/>
      <c r="O1117" s="81"/>
      <c r="P1117" s="81"/>
      <c r="Q1117" s="81"/>
      <c r="R1117" s="81"/>
      <c r="S1117" s="81"/>
      <c r="T1117" s="81"/>
      <c r="U1117" s="81"/>
      <c r="V1117" s="81"/>
      <c r="W1117" s="81"/>
      <c r="X1117" s="81"/>
      <c r="Y1117" s="413"/>
      <c r="Z1117" s="441"/>
      <c r="AA1117" s="441"/>
      <c r="AB1117" s="441"/>
      <c r="AC1117" s="448"/>
      <c r="AD1117" s="448"/>
    </row>
    <row r="1118" spans="1:35">
      <c r="A1118" s="145" t="s">
        <v>1</v>
      </c>
      <c r="B1118" s="376" t="s">
        <v>529</v>
      </c>
      <c r="C1118" s="27" t="s">
        <v>2</v>
      </c>
      <c r="D1118" s="20" t="s">
        <v>2547</v>
      </c>
      <c r="E1118" s="20" t="s">
        <v>2548</v>
      </c>
      <c r="F1118" s="20"/>
      <c r="G1118" s="89"/>
      <c r="H1118" s="89"/>
      <c r="I1118" s="4" t="s">
        <v>2578</v>
      </c>
      <c r="J1118" s="65"/>
      <c r="O1118" s="81"/>
      <c r="P1118" s="81"/>
      <c r="Q1118" s="81"/>
      <c r="R1118" s="81"/>
      <c r="S1118" s="81"/>
      <c r="T1118" s="81"/>
      <c r="U1118" s="81"/>
      <c r="V1118" s="81"/>
      <c r="W1118" s="81"/>
      <c r="X1118" s="81"/>
      <c r="Y1118" s="413"/>
      <c r="Z1118" s="441"/>
      <c r="AA1118" s="441"/>
      <c r="AB1118" s="441"/>
      <c r="AC1118" s="448"/>
      <c r="AD1118" s="448"/>
    </row>
    <row r="1119" spans="1:35">
      <c r="A1119" s="145">
        <v>45884</v>
      </c>
      <c r="B1119" s="376"/>
      <c r="C1119" s="27">
        <v>250807</v>
      </c>
      <c r="D1119" s="20" t="str">
        <f t="shared" ref="D1119" si="560">IF(C1119="","",_xlfn.XLOOKUP(C1119,社員№,派遣先,"",0,-1))</f>
        <v>加藤木材工業 本社</v>
      </c>
      <c r="E1119" s="20" t="str">
        <f t="shared" ref="E1119" si="561">IF(C1119="","",_xlfn.XLOOKUP(C1119,社員№,氏名,"",0,-1))</f>
        <v>DANG HUYNH NAM</v>
      </c>
      <c r="F1119" s="20" t="str">
        <f t="shared" ref="F1119" si="562">IF(C1119="","",_xlfn.XLOOKUP(C1119,社員№,カナ,"",0,-1))</f>
        <v>ダン　フイン　ナム</v>
      </c>
      <c r="G1119" s="89"/>
      <c r="H1119" s="89"/>
      <c r="I1119" s="4">
        <v>19700</v>
      </c>
      <c r="J1119" s="65"/>
      <c r="O1119" s="81"/>
      <c r="P1119" s="81"/>
      <c r="Q1119" s="81"/>
      <c r="R1119" s="81"/>
      <c r="S1119" s="81"/>
      <c r="T1119" s="81"/>
      <c r="U1119" s="81"/>
      <c r="V1119" s="81"/>
      <c r="W1119" s="81"/>
      <c r="X1119" s="81"/>
      <c r="Y1119" s="413"/>
      <c r="Z1119" s="441"/>
      <c r="AA1119" s="441"/>
      <c r="AB1119" s="441"/>
      <c r="AC1119" s="448"/>
      <c r="AD1119" s="487">
        <v>10803</v>
      </c>
      <c r="AE1119" s="517">
        <v>30503</v>
      </c>
      <c r="AF1119" s="522">
        <v>19700</v>
      </c>
      <c r="AG1119" s="522">
        <v>19700</v>
      </c>
      <c r="AH1119" s="522">
        <v>19700</v>
      </c>
      <c r="AI1119" s="522">
        <v>19700</v>
      </c>
    </row>
    <row r="1120" spans="1:35">
      <c r="A1120" s="145">
        <v>45893</v>
      </c>
      <c r="B1120" s="376"/>
      <c r="C1120" s="27">
        <v>250115</v>
      </c>
      <c r="D1120" s="20" t="str">
        <f t="shared" ref="D1120:D1121" si="563">IF(C1120="","",_xlfn.XLOOKUP(C1120,社員№,派遣先,"",0,-1))</f>
        <v>加藤木材工業 本社</v>
      </c>
      <c r="E1120" s="20" t="str">
        <f t="shared" ref="E1120:E1121" si="564">IF(C1120="","",_xlfn.XLOOKUP(C1120,社員№,氏名,"",0,-1))</f>
        <v>TRAN VAN HOA</v>
      </c>
      <c r="F1120" s="20" t="str">
        <f t="shared" ref="F1120:F1121" si="565">IF(C1120="","",_xlfn.XLOOKUP(C1120,社員№,カナ,"",0,-1))</f>
        <v>チャン　ヴァン　ホア</v>
      </c>
      <c r="G1120" s="11"/>
      <c r="H1120" s="11"/>
      <c r="I1120" s="4">
        <v>19700</v>
      </c>
      <c r="J1120" s="65"/>
      <c r="O1120" s="81"/>
      <c r="P1120" s="81"/>
      <c r="Q1120" s="81"/>
      <c r="R1120" s="81"/>
      <c r="S1120" s="81"/>
      <c r="T1120" s="81"/>
      <c r="U1120" s="81"/>
      <c r="V1120" s="81"/>
      <c r="W1120" s="81"/>
      <c r="X1120" s="81"/>
      <c r="Y1120" s="413"/>
      <c r="Z1120" s="441"/>
      <c r="AA1120" s="441"/>
      <c r="AB1120" s="441"/>
      <c r="AC1120" s="448"/>
      <c r="AD1120" s="448">
        <v>19700</v>
      </c>
      <c r="AE1120" s="508">
        <v>19700</v>
      </c>
      <c r="AF1120" s="508">
        <v>19700</v>
      </c>
      <c r="AG1120" s="522">
        <v>19700</v>
      </c>
      <c r="AH1120" s="522">
        <v>19700</v>
      </c>
      <c r="AI1120" s="522">
        <v>19700</v>
      </c>
    </row>
    <row r="1121" spans="1:35">
      <c r="A1121" s="145">
        <v>45901</v>
      </c>
      <c r="B1121" s="376"/>
      <c r="C1121" s="27">
        <v>250902</v>
      </c>
      <c r="D1121" s="20" t="str">
        <f t="shared" si="563"/>
        <v>美鈴工業 本社</v>
      </c>
      <c r="E1121" s="20" t="str">
        <f t="shared" si="564"/>
        <v>HAN QUANG LINH</v>
      </c>
      <c r="F1121" s="20" t="str">
        <f t="shared" si="565"/>
        <v>ハン　クアン　リン</v>
      </c>
      <c r="G1121" s="11"/>
      <c r="H1121" s="11"/>
      <c r="I1121" s="4">
        <v>19700</v>
      </c>
      <c r="J1121" s="65" t="s">
        <v>2583</v>
      </c>
      <c r="O1121" s="81"/>
      <c r="P1121" s="81"/>
      <c r="Q1121" s="81"/>
      <c r="R1121" s="81"/>
      <c r="S1121" s="81"/>
      <c r="T1121" s="81"/>
      <c r="U1121" s="81"/>
      <c r="V1121" s="81"/>
      <c r="W1121" s="81"/>
      <c r="X1121" s="81"/>
      <c r="Y1121" s="413"/>
      <c r="Z1121" s="441"/>
      <c r="AA1121" s="441"/>
      <c r="AB1121" s="441"/>
      <c r="AC1121" s="448"/>
      <c r="AD1121" s="448"/>
      <c r="AE1121" s="508">
        <v>19700</v>
      </c>
      <c r="AF1121" s="508">
        <v>19700</v>
      </c>
      <c r="AG1121" s="522">
        <v>19700</v>
      </c>
      <c r="AH1121" s="522">
        <v>19700</v>
      </c>
      <c r="AI1121" s="522">
        <v>19700</v>
      </c>
    </row>
    <row r="1122" spans="1:35">
      <c r="F1122" s="160"/>
      <c r="G1122" s="10"/>
      <c r="H1122" s="10"/>
      <c r="I1122" s="10"/>
      <c r="K1122" s="10"/>
      <c r="L1122" s="10"/>
      <c r="M1122" s="88"/>
      <c r="N1122" s="88"/>
      <c r="O1122" s="88"/>
      <c r="P1122" s="88"/>
      <c r="Q1122" s="88"/>
      <c r="R1122" s="88"/>
      <c r="S1122" s="88"/>
      <c r="T1122" s="88"/>
      <c r="U1122" s="88"/>
      <c r="V1122" s="88"/>
      <c r="W1122" s="88"/>
      <c r="X1122" s="88"/>
      <c r="Y1122" s="410"/>
      <c r="Z1122" s="438"/>
      <c r="AA1122" s="438"/>
      <c r="AB1122" s="438"/>
    </row>
    <row r="1123" spans="1:35">
      <c r="C1123" s="36"/>
      <c r="D1123" s="36"/>
      <c r="E1123" s="36" t="s">
        <v>2524</v>
      </c>
      <c r="F1123" s="162"/>
      <c r="G1123" s="210">
        <v>54000</v>
      </c>
      <c r="H1123" s="210">
        <v>59100</v>
      </c>
      <c r="I1123" s="210" t="s">
        <v>25</v>
      </c>
      <c r="K1123" s="10"/>
      <c r="L1123" s="10"/>
      <c r="M1123" s="88"/>
      <c r="N1123" s="88"/>
      <c r="O1123" s="88"/>
      <c r="P1123" s="88"/>
      <c r="Q1123" s="88"/>
      <c r="R1123" s="88"/>
      <c r="S1123" s="88"/>
      <c r="T1123" s="88"/>
      <c r="U1123" s="88"/>
      <c r="V1123" s="88"/>
      <c r="W1123" s="88"/>
      <c r="X1123" s="88"/>
      <c r="Y1123" s="410"/>
      <c r="Z1123" s="438"/>
      <c r="AA1123" s="438"/>
      <c r="AB1123" s="438"/>
    </row>
    <row r="1124" spans="1:35">
      <c r="A1124" s="145" t="s">
        <v>1</v>
      </c>
      <c r="B1124" s="376" t="s">
        <v>529</v>
      </c>
      <c r="C1124" s="27" t="s">
        <v>2</v>
      </c>
      <c r="D1124" s="27" t="s">
        <v>2532</v>
      </c>
      <c r="E1124" s="27" t="s">
        <v>2433</v>
      </c>
      <c r="F1124" s="170"/>
      <c r="G1124" s="22"/>
      <c r="H1124" s="22"/>
      <c r="I1124" s="22" t="s">
        <v>3</v>
      </c>
      <c r="J1124" s="107"/>
      <c r="K1124" s="91"/>
      <c r="L1124" s="91"/>
      <c r="M1124" s="92"/>
      <c r="N1124" s="92"/>
      <c r="O1124" s="92"/>
      <c r="P1124" s="92"/>
      <c r="Q1124" s="92"/>
      <c r="R1124" s="92"/>
      <c r="S1124" s="92"/>
      <c r="T1124" s="92"/>
      <c r="U1124" s="92"/>
      <c r="V1124" s="92"/>
      <c r="W1124" s="92"/>
      <c r="X1124" s="92"/>
      <c r="Y1124" s="411"/>
      <c r="Z1124" s="439"/>
      <c r="AA1124" s="439"/>
      <c r="AB1124" s="439"/>
    </row>
    <row r="1125" spans="1:35">
      <c r="A1125" s="145">
        <v>45193</v>
      </c>
      <c r="B1125" s="376"/>
      <c r="C1125" s="27">
        <v>230815</v>
      </c>
      <c r="D1125" s="20" t="str">
        <f t="shared" si="550"/>
        <v>加藤木材工業 春日井</v>
      </c>
      <c r="E1125" s="20" t="str">
        <f t="shared" si="551"/>
        <v>NGUYEN VAN NGOC</v>
      </c>
      <c r="F1125" s="20" t="str">
        <f t="shared" si="552"/>
        <v>グエン　ヴァン　ゴック</v>
      </c>
      <c r="G1125" s="11"/>
      <c r="H1125" s="11"/>
      <c r="I1125" s="11">
        <v>19700</v>
      </c>
      <c r="J1125" s="64"/>
      <c r="K1125" s="11">
        <v>19700</v>
      </c>
      <c r="L1125" s="11">
        <v>19700</v>
      </c>
      <c r="M1125" s="81">
        <v>19700</v>
      </c>
      <c r="N1125" s="81">
        <v>19700</v>
      </c>
      <c r="O1125" s="81">
        <v>19700</v>
      </c>
      <c r="P1125" s="81">
        <v>19700</v>
      </c>
      <c r="Q1125" s="81">
        <v>19700</v>
      </c>
      <c r="R1125" s="81">
        <v>19700</v>
      </c>
      <c r="S1125" s="81">
        <v>19700</v>
      </c>
      <c r="T1125" s="81">
        <v>19700</v>
      </c>
      <c r="U1125" s="81">
        <v>19700</v>
      </c>
      <c r="V1125" s="81">
        <v>19700</v>
      </c>
      <c r="W1125" s="81">
        <v>19700</v>
      </c>
      <c r="X1125" s="81">
        <v>19700</v>
      </c>
      <c r="Y1125" s="413">
        <v>19700</v>
      </c>
      <c r="Z1125" s="441">
        <v>19700</v>
      </c>
      <c r="AA1125" s="441">
        <v>19700</v>
      </c>
      <c r="AB1125" s="441">
        <v>19700</v>
      </c>
      <c r="AC1125" s="441">
        <v>19700</v>
      </c>
      <c r="AD1125" s="441">
        <v>19700</v>
      </c>
      <c r="AE1125" s="437">
        <v>19700</v>
      </c>
      <c r="AF1125" s="437">
        <v>19700</v>
      </c>
      <c r="AG1125" s="437">
        <v>19700</v>
      </c>
      <c r="AH1125" s="437">
        <v>19700</v>
      </c>
      <c r="AI1125" s="437">
        <v>19700</v>
      </c>
    </row>
    <row r="1126" spans="1:35">
      <c r="A1126" s="145">
        <v>45383</v>
      </c>
      <c r="B1126" s="376"/>
      <c r="C1126" s="27">
        <v>230203</v>
      </c>
      <c r="D1126" s="20" t="str">
        <f t="shared" ref="D1126:D1128" si="566">IF(C1126="","",_xlfn.XLOOKUP(C1126,社員№,派遣先,"",0,-1))</f>
        <v>加藤木材工業 春日井</v>
      </c>
      <c r="E1126" s="20" t="str">
        <f t="shared" ref="E1126:E1128" si="567">IF(C1126="","",_xlfn.XLOOKUP(C1126,社員№,氏名,"",0,-1))</f>
        <v>NGUYEN QUANG TRUONG</v>
      </c>
      <c r="F1126" s="20" t="str">
        <f t="shared" ref="F1126:F1128" si="568">IF(C1126="","",_xlfn.XLOOKUP(C1126,社員№,カナ,"",0,-1))</f>
        <v>グエン　クアン　チュオン</v>
      </c>
      <c r="G1126" s="11"/>
      <c r="H1126" s="11"/>
      <c r="I1126" s="11">
        <v>19700</v>
      </c>
      <c r="J1126" s="563" t="s">
        <v>527</v>
      </c>
      <c r="K1126" s="563"/>
      <c r="M1126" s="81">
        <v>0</v>
      </c>
      <c r="N1126" s="81">
        <v>19700</v>
      </c>
      <c r="O1126" s="81">
        <v>19700</v>
      </c>
      <c r="P1126" s="81">
        <v>19700</v>
      </c>
      <c r="Q1126" s="81">
        <v>19700</v>
      </c>
      <c r="R1126" s="81">
        <v>19700</v>
      </c>
      <c r="S1126" s="81">
        <v>19700</v>
      </c>
      <c r="T1126" s="81">
        <v>19700</v>
      </c>
      <c r="U1126" s="81">
        <v>19700</v>
      </c>
      <c r="V1126" s="81">
        <v>19700</v>
      </c>
      <c r="W1126" s="81">
        <v>19700</v>
      </c>
      <c r="X1126" s="81">
        <v>19700</v>
      </c>
      <c r="Y1126" s="413">
        <v>19700</v>
      </c>
      <c r="Z1126" s="441">
        <v>19700</v>
      </c>
      <c r="AA1126" s="441">
        <v>19700</v>
      </c>
      <c r="AB1126" s="441">
        <v>19700</v>
      </c>
      <c r="AC1126" s="441">
        <v>19700</v>
      </c>
      <c r="AD1126" s="441">
        <v>19700</v>
      </c>
      <c r="AE1126" s="437">
        <v>19700</v>
      </c>
      <c r="AF1126" s="437">
        <v>19700</v>
      </c>
      <c r="AG1126" s="437">
        <v>19700</v>
      </c>
      <c r="AH1126" s="437">
        <v>19700</v>
      </c>
      <c r="AI1126" s="437">
        <v>19700</v>
      </c>
    </row>
    <row r="1127" spans="1:35" hidden="1">
      <c r="A1127" s="145">
        <v>45471</v>
      </c>
      <c r="B1127" s="376">
        <v>45535</v>
      </c>
      <c r="C1127" s="27">
        <v>240701</v>
      </c>
      <c r="D1127" s="20" t="str">
        <f t="shared" si="566"/>
        <v>ピーエムアイ</v>
      </c>
      <c r="E1127" s="20" t="str">
        <f t="shared" si="567"/>
        <v>NGUYEN VAN THACH</v>
      </c>
      <c r="F1127" s="20" t="str">
        <f t="shared" si="568"/>
        <v>グエン　ヴァン　タック</v>
      </c>
      <c r="G1127" s="11"/>
      <c r="H1127" s="11"/>
      <c r="I1127" s="11">
        <v>19700</v>
      </c>
      <c r="J1127" s="64"/>
      <c r="O1127" s="81"/>
      <c r="P1127" s="81"/>
      <c r="Q1127" s="81">
        <f>1970+19700</f>
        <v>21670</v>
      </c>
      <c r="R1127" s="81">
        <v>19700</v>
      </c>
      <c r="S1127" s="81">
        <v>19700</v>
      </c>
      <c r="T1127" s="81">
        <v>300</v>
      </c>
      <c r="U1127" s="81">
        <v>0</v>
      </c>
      <c r="V1127" s="81">
        <v>0</v>
      </c>
      <c r="W1127" s="81">
        <v>0</v>
      </c>
      <c r="X1127" s="81">
        <v>0</v>
      </c>
      <c r="Y1127" s="413">
        <v>0</v>
      </c>
      <c r="Z1127" s="441">
        <v>0</v>
      </c>
      <c r="AA1127" s="441">
        <v>0</v>
      </c>
      <c r="AB1127" s="441">
        <v>0</v>
      </c>
      <c r="AC1127" s="441">
        <v>0</v>
      </c>
      <c r="AD1127" s="441">
        <v>19700</v>
      </c>
      <c r="AH1127" s="437">
        <v>19700</v>
      </c>
    </row>
    <row r="1128" spans="1:35">
      <c r="A1128" s="145">
        <v>45674</v>
      </c>
      <c r="B1128" s="376">
        <v>45893</v>
      </c>
      <c r="C1128" s="27">
        <v>250115</v>
      </c>
      <c r="D1128" s="20" t="str">
        <f t="shared" si="566"/>
        <v>加藤木材工業 本社</v>
      </c>
      <c r="E1128" s="20" t="str">
        <f t="shared" si="567"/>
        <v>TRAN VAN HOA</v>
      </c>
      <c r="F1128" s="20" t="str">
        <f t="shared" si="568"/>
        <v>チャン　ヴァン　ホア</v>
      </c>
      <c r="G1128" s="11"/>
      <c r="H1128" s="11"/>
      <c r="I1128" s="11">
        <v>19700</v>
      </c>
      <c r="J1128" s="64"/>
      <c r="O1128" s="81"/>
      <c r="P1128" s="81"/>
      <c r="Q1128" s="81"/>
      <c r="R1128" s="81"/>
      <c r="S1128" s="81"/>
      <c r="T1128" s="81"/>
      <c r="U1128" s="81"/>
      <c r="V1128" s="81"/>
      <c r="W1128" s="81">
        <v>9532</v>
      </c>
      <c r="X1128" s="81">
        <v>19700</v>
      </c>
      <c r="Y1128" s="413">
        <v>19700</v>
      </c>
      <c r="Z1128" s="441">
        <v>19700</v>
      </c>
      <c r="AA1128" s="441">
        <v>19700</v>
      </c>
      <c r="AB1128" s="441">
        <v>19700</v>
      </c>
      <c r="AC1128" s="441">
        <v>19700</v>
      </c>
      <c r="AD1128" s="441"/>
    </row>
    <row r="1129" spans="1:35">
      <c r="D1129" s="47"/>
      <c r="E1129" s="47"/>
      <c r="F1129" s="47"/>
      <c r="G1129" s="10"/>
      <c r="H1129" s="10"/>
      <c r="I1129" s="10"/>
      <c r="K1129" s="10"/>
      <c r="L1129" s="10"/>
      <c r="M1129" s="88"/>
      <c r="N1129" s="88"/>
      <c r="O1129" s="88"/>
      <c r="P1129" s="88"/>
      <c r="Q1129" s="88"/>
      <c r="R1129" s="88"/>
      <c r="S1129" s="88"/>
      <c r="T1129" s="88"/>
      <c r="U1129" s="88"/>
      <c r="V1129" s="88"/>
      <c r="W1129" s="88"/>
      <c r="X1129" s="88"/>
      <c r="Y1129" s="410"/>
      <c r="Z1129" s="438"/>
      <c r="AA1129" s="438"/>
      <c r="AB1129" s="438"/>
      <c r="AC1129" s="438"/>
      <c r="AD1129" s="438"/>
    </row>
    <row r="1130" spans="1:35">
      <c r="D1130" s="47"/>
      <c r="E1130" s="36" t="s">
        <v>2623</v>
      </c>
      <c r="F1130" s="47"/>
      <c r="G1130" s="10">
        <v>54000</v>
      </c>
      <c r="H1130" s="10">
        <v>59100</v>
      </c>
      <c r="I1130" s="10" t="s">
        <v>935</v>
      </c>
      <c r="K1130" s="10"/>
      <c r="L1130" s="10"/>
      <c r="M1130" s="88"/>
      <c r="N1130" s="88"/>
      <c r="O1130" s="88"/>
      <c r="P1130" s="88"/>
      <c r="Q1130" s="88"/>
      <c r="R1130" s="88"/>
      <c r="S1130" s="88"/>
      <c r="T1130" s="88"/>
      <c r="U1130" s="88"/>
      <c r="V1130" s="88"/>
      <c r="W1130" s="88"/>
      <c r="X1130" s="88"/>
      <c r="Y1130" s="410"/>
      <c r="Z1130" s="438"/>
      <c r="AA1130" s="438"/>
      <c r="AB1130" s="438"/>
      <c r="AC1130" s="438"/>
      <c r="AD1130" s="438"/>
    </row>
    <row r="1131" spans="1:35">
      <c r="A1131" s="145" t="s">
        <v>1</v>
      </c>
      <c r="B1131" s="376" t="s">
        <v>529</v>
      </c>
      <c r="C1131" s="27" t="s">
        <v>2</v>
      </c>
      <c r="D1131" s="20" t="s">
        <v>2547</v>
      </c>
      <c r="E1131" s="27" t="s">
        <v>2548</v>
      </c>
      <c r="F1131" s="20"/>
      <c r="G1131" s="11"/>
      <c r="H1131" s="11"/>
      <c r="I1131" s="11"/>
      <c r="J1131" s="64"/>
      <c r="O1131" s="81"/>
      <c r="P1131" s="81"/>
      <c r="Q1131" s="81"/>
      <c r="R1131" s="81"/>
      <c r="S1131" s="81"/>
      <c r="T1131" s="81"/>
      <c r="U1131" s="81"/>
      <c r="V1131" s="81"/>
      <c r="W1131" s="81"/>
      <c r="X1131" s="81"/>
      <c r="Y1131" s="413"/>
      <c r="Z1131" s="441"/>
      <c r="AA1131" s="441"/>
      <c r="AB1131" s="441"/>
      <c r="AC1131" s="441"/>
      <c r="AD1131" s="441"/>
      <c r="AE1131" s="1"/>
    </row>
    <row r="1132" spans="1:35">
      <c r="A1132" s="145">
        <v>45950</v>
      </c>
      <c r="B1132" s="376"/>
      <c r="C1132" s="27">
        <v>251009</v>
      </c>
      <c r="D1132" s="20" t="str">
        <f t="shared" ref="D1132" si="569">IF(C1132="","",_xlfn.XLOOKUP(C1132,社員№,派遣先,"",0,-1))</f>
        <v>加藤木材工業 春日井</v>
      </c>
      <c r="E1132" s="20" t="str">
        <f t="shared" ref="E1132" si="570">IF(C1132="","",_xlfn.XLOOKUP(C1132,社員№,氏名,"",0,-1))</f>
        <v>TRAN VAN TOAN</v>
      </c>
      <c r="F1132" s="20" t="str">
        <f t="shared" ref="F1132" si="571">IF(C1132="","",_xlfn.XLOOKUP(C1132,社員№,カナ,"",0,-1))</f>
        <v>チャン　ヴァン　トアン</v>
      </c>
      <c r="G1132" s="11"/>
      <c r="H1132" s="11"/>
      <c r="I1132" s="11">
        <v>19700</v>
      </c>
      <c r="J1132" s="64"/>
      <c r="O1132" s="81"/>
      <c r="P1132" s="81"/>
      <c r="Q1132" s="81"/>
      <c r="R1132" s="81"/>
      <c r="S1132" s="81"/>
      <c r="T1132" s="81"/>
      <c r="U1132" s="81"/>
      <c r="V1132" s="81"/>
      <c r="W1132" s="81"/>
      <c r="X1132" s="81"/>
      <c r="Y1132" s="413"/>
      <c r="Z1132" s="441"/>
      <c r="AA1132" s="441"/>
      <c r="AB1132" s="441"/>
      <c r="AC1132" s="441"/>
      <c r="AD1132" s="441"/>
      <c r="AE1132" s="1"/>
      <c r="AF1132" s="536">
        <v>7626</v>
      </c>
      <c r="AG1132" s="522">
        <v>27326</v>
      </c>
      <c r="AH1132" s="508">
        <v>19700</v>
      </c>
      <c r="AI1132" s="508">
        <v>19700</v>
      </c>
    </row>
    <row r="1133" spans="1:35">
      <c r="A1133" s="145">
        <v>45952</v>
      </c>
      <c r="B1133" s="376"/>
      <c r="C1133" s="27">
        <v>251011</v>
      </c>
      <c r="D1133" s="20" t="str">
        <f t="shared" ref="D1133" si="572">IF(C1133="","",_xlfn.XLOOKUP(C1133,社員№,派遣先,"",0,-1))</f>
        <v>加藤木材工業 春日井</v>
      </c>
      <c r="E1133" s="20" t="str">
        <f t="shared" ref="E1133" si="573">IF(C1133="","",_xlfn.XLOOKUP(C1133,社員№,氏名,"",0,-1))</f>
        <v>PHAM HUNG</v>
      </c>
      <c r="F1133" s="20" t="str">
        <f t="shared" ref="F1133" si="574">IF(C1133="","",_xlfn.XLOOKUP(C1133,社員№,カナ,"",0,-1))</f>
        <v>ファム　フン</v>
      </c>
      <c r="G1133" s="11"/>
      <c r="H1133" s="11"/>
      <c r="I1133" s="11">
        <v>19700</v>
      </c>
      <c r="J1133" s="64"/>
      <c r="O1133" s="81"/>
      <c r="P1133" s="81"/>
      <c r="Q1133" s="81"/>
      <c r="R1133" s="81"/>
      <c r="S1133" s="81"/>
      <c r="T1133" s="81"/>
      <c r="U1133" s="81"/>
      <c r="V1133" s="81"/>
      <c r="W1133" s="81"/>
      <c r="X1133" s="81"/>
      <c r="Y1133" s="413"/>
      <c r="Z1133" s="441"/>
      <c r="AA1133" s="441"/>
      <c r="AB1133" s="441"/>
      <c r="AC1133" s="441"/>
      <c r="AD1133" s="441"/>
      <c r="AE1133" s="1"/>
      <c r="AF1133" s="536">
        <v>6355</v>
      </c>
      <c r="AG1133" s="522">
        <v>25955</v>
      </c>
      <c r="AH1133" s="508">
        <v>19700</v>
      </c>
      <c r="AI1133" s="508">
        <v>19700</v>
      </c>
    </row>
    <row r="1134" spans="1:35">
      <c r="D1134" s="47"/>
      <c r="E1134" s="47"/>
      <c r="F1134" s="47"/>
      <c r="G1134" s="10"/>
      <c r="H1134" s="10"/>
      <c r="I1134" s="10"/>
      <c r="K1134" s="10"/>
      <c r="L1134" s="10"/>
      <c r="M1134" s="88"/>
      <c r="N1134" s="88"/>
      <c r="O1134" s="88"/>
      <c r="P1134" s="88"/>
      <c r="Q1134" s="88"/>
      <c r="R1134" s="88"/>
      <c r="S1134" s="88"/>
      <c r="T1134" s="88"/>
      <c r="U1134" s="88"/>
      <c r="V1134" s="88"/>
      <c r="W1134" s="88"/>
      <c r="X1134" s="88"/>
      <c r="Y1134" s="410"/>
      <c r="Z1134" s="438"/>
      <c r="AA1134" s="438"/>
      <c r="AB1134" s="438"/>
      <c r="AC1134" s="438"/>
      <c r="AD1134" s="438"/>
    </row>
    <row r="1135" spans="1:35">
      <c r="F1135" s="160"/>
      <c r="K1135" s="10"/>
      <c r="L1135" s="10"/>
      <c r="M1135" s="88"/>
      <c r="N1135" s="88"/>
      <c r="O1135" s="88"/>
      <c r="P1135" s="88"/>
      <c r="Q1135" s="88"/>
      <c r="R1135" s="88"/>
      <c r="S1135" s="88"/>
      <c r="T1135" s="88"/>
      <c r="U1135" s="88"/>
      <c r="V1135" s="88"/>
      <c r="W1135" s="88"/>
      <c r="X1135" s="88"/>
      <c r="Y1135" s="410"/>
      <c r="Z1135" s="438"/>
      <c r="AA1135" s="438"/>
      <c r="AB1135" s="438"/>
    </row>
    <row r="1136" spans="1:35">
      <c r="C1136" s="36"/>
      <c r="D1136" s="36"/>
      <c r="E1136" s="36" t="s">
        <v>170</v>
      </c>
      <c r="F1136" s="162"/>
      <c r="G1136" s="210">
        <v>52000</v>
      </c>
      <c r="H1136" s="210">
        <v>57000</v>
      </c>
      <c r="I1136" s="210" t="s">
        <v>584</v>
      </c>
      <c r="K1136" s="10"/>
      <c r="L1136" s="10"/>
      <c r="M1136" s="88"/>
      <c r="N1136" s="88"/>
      <c r="O1136" s="88"/>
      <c r="P1136" s="88"/>
      <c r="Q1136" s="88"/>
      <c r="R1136" s="88"/>
      <c r="S1136" s="88"/>
      <c r="T1136" s="88"/>
      <c r="U1136" s="88"/>
      <c r="V1136" s="88"/>
      <c r="W1136" s="88"/>
      <c r="X1136" s="88"/>
      <c r="Y1136" s="410"/>
      <c r="Z1136" s="438"/>
      <c r="AA1136" s="438"/>
      <c r="AB1136" s="438"/>
    </row>
    <row r="1137" spans="1:35">
      <c r="A1137" s="145" t="s">
        <v>1</v>
      </c>
      <c r="B1137" s="376" t="s">
        <v>529</v>
      </c>
      <c r="C1137" s="27" t="s">
        <v>2</v>
      </c>
      <c r="D1137" s="27" t="s">
        <v>2532</v>
      </c>
      <c r="E1137" s="25" t="s">
        <v>2433</v>
      </c>
      <c r="F1137" s="184"/>
      <c r="G1137" s="212"/>
      <c r="H1137" s="212"/>
      <c r="I1137" s="212" t="s">
        <v>3</v>
      </c>
      <c r="J1137" s="107"/>
      <c r="K1137" s="91"/>
      <c r="L1137" s="91"/>
      <c r="M1137" s="92"/>
      <c r="N1137" s="92"/>
      <c r="O1137" s="92"/>
      <c r="P1137" s="92"/>
      <c r="Q1137" s="92"/>
      <c r="R1137" s="92"/>
      <c r="S1137" s="92"/>
      <c r="T1137" s="92"/>
      <c r="U1137" s="92"/>
      <c r="V1137" s="92"/>
      <c r="W1137" s="92"/>
      <c r="X1137" s="92"/>
      <c r="Y1137" s="411"/>
      <c r="Z1137" s="439"/>
      <c r="AA1137" s="439"/>
      <c r="AB1137" s="439"/>
    </row>
    <row r="1138" spans="1:35" hidden="1">
      <c r="A1138" s="145">
        <v>44877</v>
      </c>
      <c r="B1138" s="376">
        <v>45630</v>
      </c>
      <c r="C1138" s="27">
        <v>221103</v>
      </c>
      <c r="D1138" s="20" t="str">
        <f t="shared" si="550"/>
        <v>加藤木材工業 本社</v>
      </c>
      <c r="E1138" s="20" t="str">
        <f t="shared" si="551"/>
        <v>MAI THI QUYEN</v>
      </c>
      <c r="F1138" s="20" t="str">
        <f t="shared" si="552"/>
        <v>マイ　ティ　クェン</v>
      </c>
      <c r="G1138" s="11"/>
      <c r="H1138" s="11"/>
      <c r="I1138" s="11">
        <v>28500</v>
      </c>
      <c r="J1138" s="64"/>
      <c r="K1138" s="11">
        <v>28500</v>
      </c>
      <c r="L1138" s="11">
        <v>28500</v>
      </c>
      <c r="M1138" s="81">
        <v>28500</v>
      </c>
      <c r="N1138" s="81">
        <v>28500</v>
      </c>
      <c r="O1138" s="81">
        <v>28500</v>
      </c>
      <c r="P1138" s="81">
        <v>28500</v>
      </c>
      <c r="Q1138" s="81">
        <v>28500</v>
      </c>
      <c r="R1138" s="81">
        <v>28500</v>
      </c>
      <c r="S1138" s="81">
        <v>28500</v>
      </c>
      <c r="T1138" s="81">
        <v>28500</v>
      </c>
      <c r="U1138" s="81">
        <v>28500</v>
      </c>
      <c r="V1138" s="81">
        <f>28500+20000</f>
        <v>48500</v>
      </c>
      <c r="W1138" s="81">
        <v>0</v>
      </c>
      <c r="X1138" s="81">
        <v>0</v>
      </c>
      <c r="Y1138" s="413">
        <v>0</v>
      </c>
      <c r="Z1138" s="441">
        <v>0</v>
      </c>
      <c r="AA1138" s="441">
        <v>0</v>
      </c>
      <c r="AB1138" s="441">
        <v>0</v>
      </c>
    </row>
    <row r="1139" spans="1:35">
      <c r="A1139" s="145">
        <v>45689</v>
      </c>
      <c r="B1139" s="376"/>
      <c r="C1139" s="27">
        <v>250116</v>
      </c>
      <c r="D1139" s="20" t="str">
        <f t="shared" ref="D1139:D1144" si="575">IF(C1139="","",_xlfn.XLOOKUP(C1139,社員№,派遣先,"",0,-1))</f>
        <v>加藤木材工業 本社</v>
      </c>
      <c r="E1139" s="20" t="str">
        <f t="shared" ref="E1139:E1144" si="576">IF(C1139="","",_xlfn.XLOOKUP(C1139,社員№,氏名,"",0,-1))</f>
        <v>DANG DINH DUC</v>
      </c>
      <c r="F1139" s="20" t="str">
        <f t="shared" ref="F1139:F1144" si="577">IF(C1139="","",_xlfn.XLOOKUP(C1139,社員№,カナ,"",0,-1))</f>
        <v>ダン　ディン　ドゥック</v>
      </c>
      <c r="G1139" s="11"/>
      <c r="H1139" s="11"/>
      <c r="I1139" s="11">
        <v>28500</v>
      </c>
      <c r="J1139" s="64"/>
      <c r="O1139" s="81"/>
      <c r="P1139" s="81"/>
      <c r="Q1139" s="81"/>
      <c r="R1139" s="81"/>
      <c r="S1139" s="81"/>
      <c r="T1139" s="81"/>
      <c r="U1139" s="81"/>
      <c r="V1139" s="81"/>
      <c r="W1139" s="81"/>
      <c r="X1139" s="81">
        <f t="shared" ref="X1139:X1140" si="578">8183+3563+13232</f>
        <v>24978</v>
      </c>
      <c r="Y1139" s="413">
        <v>28500</v>
      </c>
      <c r="Z1139" s="441">
        <v>28500</v>
      </c>
      <c r="AA1139" s="441">
        <v>28500</v>
      </c>
      <c r="AB1139" s="441">
        <v>28500</v>
      </c>
      <c r="AC1139" s="441">
        <v>28500</v>
      </c>
      <c r="AD1139" s="441">
        <v>28500</v>
      </c>
      <c r="AE1139" s="437">
        <v>28500</v>
      </c>
      <c r="AF1139" s="437">
        <v>28500</v>
      </c>
      <c r="AG1139" s="437">
        <v>28500</v>
      </c>
      <c r="AH1139" s="437">
        <v>28500</v>
      </c>
      <c r="AI1139" s="437">
        <v>28500</v>
      </c>
    </row>
    <row r="1140" spans="1:35" hidden="1">
      <c r="A1140" s="145">
        <v>45689</v>
      </c>
      <c r="B1140" s="376">
        <v>45777</v>
      </c>
      <c r="C1140" s="27">
        <v>250106</v>
      </c>
      <c r="D1140" s="20" t="str">
        <f t="shared" si="575"/>
        <v>加藤木材工業 本社</v>
      </c>
      <c r="E1140" s="20" t="str">
        <f t="shared" si="576"/>
        <v>HOANG BA THIEN</v>
      </c>
      <c r="F1140" s="20" t="str">
        <f t="shared" si="577"/>
        <v>ホアン　バー　ティエン</v>
      </c>
      <c r="G1140" s="203" t="s">
        <v>963</v>
      </c>
      <c r="H1140" s="11"/>
      <c r="I1140" s="11">
        <v>28500</v>
      </c>
      <c r="J1140" s="64"/>
      <c r="O1140" s="81"/>
      <c r="P1140" s="81"/>
      <c r="Q1140" s="81"/>
      <c r="R1140" s="81"/>
      <c r="S1140" s="81"/>
      <c r="T1140" s="81"/>
      <c r="U1140" s="81"/>
      <c r="V1140" s="81"/>
      <c r="W1140" s="81"/>
      <c r="X1140" s="81">
        <f t="shared" si="578"/>
        <v>24978</v>
      </c>
      <c r="Y1140" s="413">
        <v>28500</v>
      </c>
      <c r="Z1140" s="441">
        <f>28500+20000</f>
        <v>48500</v>
      </c>
      <c r="AA1140" s="441">
        <v>0</v>
      </c>
      <c r="AB1140" s="441">
        <v>0</v>
      </c>
      <c r="AC1140" s="448"/>
    </row>
    <row r="1141" spans="1:35" hidden="1">
      <c r="A1141" s="145">
        <v>45697</v>
      </c>
      <c r="B1141" s="376">
        <v>45703</v>
      </c>
      <c r="C1141" s="27">
        <v>230214</v>
      </c>
      <c r="D1141" s="20" t="str">
        <f t="shared" si="575"/>
        <v>高雄工業 岡山</v>
      </c>
      <c r="E1141" s="20" t="str">
        <f t="shared" si="576"/>
        <v>VU DINH QUANG</v>
      </c>
      <c r="F1141" s="20" t="str">
        <f t="shared" si="577"/>
        <v>ヴー　ディン　クアン</v>
      </c>
      <c r="G1141" s="11"/>
      <c r="H1141" s="11"/>
      <c r="I1141" s="11">
        <v>14250</v>
      </c>
      <c r="J1141" s="64"/>
      <c r="O1141" s="81"/>
      <c r="P1141" s="81"/>
      <c r="Q1141" s="81"/>
      <c r="R1141" s="81"/>
      <c r="S1141" s="81"/>
      <c r="T1141" s="81"/>
      <c r="U1141" s="81"/>
      <c r="V1141" s="81"/>
      <c r="W1141" s="81"/>
      <c r="X1141" s="81">
        <v>0</v>
      </c>
      <c r="Y1141" s="413">
        <v>0</v>
      </c>
      <c r="Z1141" s="441">
        <v>0</v>
      </c>
      <c r="AA1141" s="441">
        <v>0</v>
      </c>
      <c r="AB1141" s="441">
        <v>0</v>
      </c>
      <c r="AC1141" s="448"/>
    </row>
    <row r="1142" spans="1:35" hidden="1">
      <c r="A1142" s="145">
        <v>45700</v>
      </c>
      <c r="B1142" s="376">
        <v>45703</v>
      </c>
      <c r="C1142" s="27">
        <v>250221</v>
      </c>
      <c r="D1142" s="20" t="str">
        <f t="shared" si="575"/>
        <v>加藤木材工業 本社</v>
      </c>
      <c r="E1142" s="20" t="str">
        <f t="shared" si="576"/>
        <v>NGUYEN VANG DANG</v>
      </c>
      <c r="F1142" s="20" t="str">
        <f t="shared" si="577"/>
        <v>グエン　ヴァン　ダン</v>
      </c>
      <c r="G1142" s="11"/>
      <c r="H1142" s="11"/>
      <c r="I1142" s="11">
        <v>14250</v>
      </c>
      <c r="J1142" s="64"/>
      <c r="O1142" s="81"/>
      <c r="P1142" s="81"/>
      <c r="Q1142" s="81"/>
      <c r="R1142" s="81"/>
      <c r="S1142" s="81"/>
      <c r="T1142" s="81"/>
      <c r="U1142" s="81"/>
      <c r="V1142" s="81"/>
      <c r="W1142" s="81"/>
      <c r="X1142" s="81">
        <v>0</v>
      </c>
      <c r="Y1142" s="413">
        <v>0</v>
      </c>
      <c r="Z1142" s="441">
        <v>0</v>
      </c>
      <c r="AA1142" s="441">
        <v>0</v>
      </c>
      <c r="AB1142" s="441">
        <v>0</v>
      </c>
      <c r="AC1142" s="448"/>
    </row>
    <row r="1143" spans="1:35">
      <c r="A1143" s="228">
        <v>45842</v>
      </c>
      <c r="B1143" s="375">
        <v>45857</v>
      </c>
      <c r="C1143" s="43">
        <v>220501</v>
      </c>
      <c r="D1143" s="20" t="str">
        <f t="shared" si="575"/>
        <v>加藤木材工業 春日井</v>
      </c>
      <c r="E1143" s="20" t="str">
        <f t="shared" si="576"/>
        <v>PHAN VAN CUONG</v>
      </c>
      <c r="F1143" s="20" t="str">
        <f t="shared" si="577"/>
        <v>ハン　バン　クオン</v>
      </c>
      <c r="G1143" s="3"/>
      <c r="H1143" s="3"/>
      <c r="I1143" s="3"/>
      <c r="J1143" s="75"/>
      <c r="K1143" s="3"/>
      <c r="L1143" s="3"/>
      <c r="M1143" s="95"/>
      <c r="N1143" s="95"/>
      <c r="O1143" s="95"/>
      <c r="P1143" s="95"/>
      <c r="Q1143" s="95"/>
      <c r="R1143" s="95"/>
      <c r="S1143" s="95"/>
      <c r="T1143" s="95"/>
      <c r="U1143" s="95"/>
      <c r="V1143" s="95"/>
      <c r="W1143" s="95"/>
      <c r="X1143" s="95"/>
      <c r="Y1143" s="429"/>
      <c r="Z1143" s="463"/>
      <c r="AA1143" s="463"/>
      <c r="AB1143" s="463"/>
      <c r="AC1143" s="498"/>
    </row>
    <row r="1144" spans="1:35">
      <c r="A1144" s="145">
        <v>45876</v>
      </c>
      <c r="B1144" s="376"/>
      <c r="C1144" s="27">
        <v>250806</v>
      </c>
      <c r="D1144" s="20" t="str">
        <f t="shared" si="575"/>
        <v>加藤木材工業 本社</v>
      </c>
      <c r="E1144" s="20" t="str">
        <f t="shared" si="576"/>
        <v>LE VAN HOANG</v>
      </c>
      <c r="F1144" s="20" t="str">
        <f t="shared" si="577"/>
        <v>レー　ヴァン　ホアン</v>
      </c>
      <c r="G1144" s="11"/>
      <c r="H1144" s="11"/>
      <c r="I1144" s="11"/>
      <c r="J1144" s="64"/>
      <c r="O1144" s="81"/>
      <c r="P1144" s="81"/>
      <c r="Q1144" s="81"/>
      <c r="R1144" s="81"/>
      <c r="S1144" s="81"/>
      <c r="T1144" s="81"/>
      <c r="U1144" s="81"/>
      <c r="V1144" s="81"/>
      <c r="W1144" s="81"/>
      <c r="X1144" s="81"/>
      <c r="Y1144" s="413"/>
      <c r="Z1144" s="441"/>
      <c r="AA1144" s="441"/>
      <c r="AB1144" s="441"/>
      <c r="AC1144" s="448"/>
      <c r="AD1144" s="499">
        <v>22984</v>
      </c>
      <c r="AE1144" s="522">
        <v>28500</v>
      </c>
      <c r="AF1144" s="522">
        <v>28500</v>
      </c>
      <c r="AG1144" s="522">
        <v>28500</v>
      </c>
      <c r="AH1144" s="522">
        <v>28500</v>
      </c>
      <c r="AI1144" s="522">
        <v>28500</v>
      </c>
    </row>
    <row r="1145" spans="1:35">
      <c r="F1145" s="160"/>
      <c r="G1145" s="10"/>
      <c r="H1145" s="10"/>
      <c r="I1145" s="10"/>
      <c r="K1145" s="10"/>
      <c r="L1145" s="10"/>
      <c r="M1145" s="88"/>
      <c r="N1145" s="88"/>
      <c r="O1145" s="88"/>
      <c r="P1145" s="88"/>
      <c r="Q1145" s="88"/>
      <c r="R1145" s="88"/>
      <c r="S1145" s="88"/>
      <c r="T1145" s="88"/>
      <c r="U1145" s="88"/>
      <c r="V1145" s="88"/>
      <c r="W1145" s="88"/>
      <c r="X1145" s="88"/>
      <c r="Y1145" s="410"/>
      <c r="Z1145" s="438"/>
      <c r="AA1145" s="438"/>
      <c r="AB1145" s="438"/>
    </row>
    <row r="1146" spans="1:35">
      <c r="C1146" s="36"/>
      <c r="D1146" s="36"/>
      <c r="E1146" s="36" t="s">
        <v>957</v>
      </c>
      <c r="F1146" s="162"/>
      <c r="G1146" s="210">
        <v>52000</v>
      </c>
      <c r="H1146" s="210">
        <v>57000</v>
      </c>
      <c r="I1146" s="210" t="s">
        <v>584</v>
      </c>
      <c r="K1146" s="10"/>
      <c r="L1146" s="10"/>
      <c r="M1146" s="88"/>
      <c r="N1146" s="88"/>
      <c r="O1146" s="88"/>
      <c r="P1146" s="88"/>
      <c r="Q1146" s="88"/>
      <c r="R1146" s="88"/>
      <c r="S1146" s="88"/>
      <c r="T1146" s="88"/>
      <c r="U1146" s="88"/>
      <c r="V1146" s="88"/>
      <c r="W1146" s="88" t="s">
        <v>985</v>
      </c>
      <c r="X1146" s="88"/>
      <c r="Y1146" s="410"/>
      <c r="Z1146" s="438"/>
      <c r="AA1146" s="438"/>
      <c r="AB1146" s="438"/>
    </row>
    <row r="1147" spans="1:35">
      <c r="A1147" s="145" t="s">
        <v>1</v>
      </c>
      <c r="B1147" s="376" t="s">
        <v>529</v>
      </c>
      <c r="C1147" s="27" t="s">
        <v>2</v>
      </c>
      <c r="D1147" s="27" t="s">
        <v>2532</v>
      </c>
      <c r="E1147" s="25" t="s">
        <v>2433</v>
      </c>
      <c r="F1147" s="184"/>
      <c r="G1147" s="212"/>
      <c r="H1147" s="212"/>
      <c r="I1147" s="212" t="s">
        <v>3</v>
      </c>
      <c r="J1147" s="107"/>
      <c r="K1147" s="91"/>
      <c r="L1147" s="91"/>
      <c r="M1147" s="92"/>
      <c r="N1147" s="92"/>
      <c r="O1147" s="92"/>
      <c r="P1147" s="92"/>
      <c r="Q1147" s="92"/>
      <c r="R1147" s="92"/>
      <c r="S1147" s="92"/>
      <c r="T1147" s="92"/>
      <c r="U1147" s="92"/>
      <c r="V1147" s="92"/>
      <c r="W1147" s="92"/>
      <c r="X1147" s="92"/>
      <c r="Y1147" s="411"/>
      <c r="Z1147" s="439"/>
      <c r="AA1147" s="439"/>
      <c r="AB1147" s="439"/>
    </row>
    <row r="1148" spans="1:35">
      <c r="A1148" s="145">
        <v>45703</v>
      </c>
      <c r="B1148" s="376"/>
      <c r="C1148" s="27">
        <v>250214</v>
      </c>
      <c r="D1148" s="20" t="str">
        <f t="shared" si="550"/>
        <v>加藤木材工業 本社</v>
      </c>
      <c r="E1148" s="20" t="str">
        <f t="shared" si="551"/>
        <v>NGUYEN DINH THANG</v>
      </c>
      <c r="F1148" s="20" t="str">
        <f t="shared" si="552"/>
        <v>グエン　ディン　タン</v>
      </c>
      <c r="G1148" s="11"/>
      <c r="H1148" s="11"/>
      <c r="I1148" s="11">
        <v>28500</v>
      </c>
      <c r="J1148" s="64"/>
      <c r="O1148" s="81"/>
      <c r="P1148" s="81"/>
      <c r="Q1148" s="81"/>
      <c r="R1148" s="81"/>
      <c r="S1148" s="81"/>
      <c r="T1148" s="81"/>
      <c r="U1148" s="81"/>
      <c r="V1148" s="81"/>
      <c r="W1148" s="81"/>
      <c r="X1148" s="81">
        <f t="shared" ref="X1148:X1149" si="579">3563+9500</f>
        <v>13063</v>
      </c>
      <c r="Y1148" s="413">
        <v>28500</v>
      </c>
      <c r="Z1148" s="441">
        <v>28500</v>
      </c>
      <c r="AA1148" s="441">
        <v>28500</v>
      </c>
      <c r="AB1148" s="441">
        <v>28500</v>
      </c>
      <c r="AC1148" s="441">
        <v>28500</v>
      </c>
      <c r="AD1148" s="441">
        <v>28500</v>
      </c>
      <c r="AE1148" s="437">
        <v>28500</v>
      </c>
      <c r="AF1148" s="437">
        <v>28500</v>
      </c>
      <c r="AG1148" s="437">
        <v>28500</v>
      </c>
      <c r="AH1148" s="437">
        <v>28500</v>
      </c>
      <c r="AI1148" s="437">
        <v>28500</v>
      </c>
    </row>
    <row r="1149" spans="1:35">
      <c r="A1149" s="145">
        <v>45703</v>
      </c>
      <c r="B1149" s="376"/>
      <c r="C1149" s="27">
        <v>250222</v>
      </c>
      <c r="D1149" s="20" t="str">
        <f t="shared" ref="D1149:D1150" si="580">IF(C1149="","",_xlfn.XLOOKUP(C1149,社員№,派遣先,"",0,-1))</f>
        <v>加藤木材工業 本社</v>
      </c>
      <c r="E1149" s="20" t="str">
        <f t="shared" ref="E1149:E1150" si="581">IF(C1149="","",_xlfn.XLOOKUP(C1149,社員№,氏名,"",0,-1))</f>
        <v>NGUYEN DINH THUAN</v>
      </c>
      <c r="F1149" s="20" t="str">
        <f t="shared" ref="F1149:F1150" si="582">IF(C1149="","",_xlfn.XLOOKUP(C1149,社員№,カナ,"",0,-1))</f>
        <v>グエン　ディン　トゥアン</v>
      </c>
      <c r="G1149" s="11"/>
      <c r="H1149" s="11"/>
      <c r="I1149" s="11">
        <v>28500</v>
      </c>
      <c r="J1149" s="64"/>
      <c r="O1149" s="81"/>
      <c r="P1149" s="81"/>
      <c r="Q1149" s="81"/>
      <c r="R1149" s="81"/>
      <c r="S1149" s="81"/>
      <c r="T1149" s="81"/>
      <c r="U1149" s="81"/>
      <c r="V1149" s="81"/>
      <c r="W1149" s="81"/>
      <c r="X1149" s="81">
        <f t="shared" si="579"/>
        <v>13063</v>
      </c>
      <c r="Y1149" s="413">
        <v>28500</v>
      </c>
      <c r="Z1149" s="441">
        <v>28500</v>
      </c>
      <c r="AA1149" s="441">
        <v>28500</v>
      </c>
      <c r="AB1149" s="441">
        <v>28500</v>
      </c>
      <c r="AC1149" s="441">
        <v>28500</v>
      </c>
      <c r="AD1149" s="441">
        <v>28500</v>
      </c>
      <c r="AE1149" s="437">
        <v>28500</v>
      </c>
      <c r="AF1149" s="437">
        <v>28500</v>
      </c>
      <c r="AG1149" s="437">
        <v>28500</v>
      </c>
      <c r="AH1149" s="437">
        <v>28500</v>
      </c>
      <c r="AI1149" s="437">
        <v>28500</v>
      </c>
    </row>
    <row r="1150" spans="1:35" hidden="1">
      <c r="A1150" s="145">
        <v>45703</v>
      </c>
      <c r="B1150" s="376">
        <v>45716</v>
      </c>
      <c r="C1150" s="27">
        <v>250221</v>
      </c>
      <c r="D1150" s="20" t="str">
        <f t="shared" si="580"/>
        <v>加藤木材工業 本社</v>
      </c>
      <c r="E1150" s="20" t="str">
        <f t="shared" si="581"/>
        <v>NGUYEN VANG DANG</v>
      </c>
      <c r="F1150" s="20" t="str">
        <f t="shared" si="582"/>
        <v>グエン　ヴァン　ダン</v>
      </c>
      <c r="G1150" s="11" t="s">
        <v>965</v>
      </c>
      <c r="H1150" s="11"/>
      <c r="I1150" s="11">
        <v>19000</v>
      </c>
      <c r="J1150" s="64"/>
      <c r="O1150" s="81"/>
      <c r="P1150" s="81"/>
      <c r="Q1150" s="81"/>
      <c r="R1150" s="81"/>
      <c r="S1150" s="81"/>
      <c r="T1150" s="81"/>
      <c r="U1150" s="81"/>
      <c r="V1150" s="81"/>
      <c r="W1150" s="81"/>
      <c r="X1150" s="81">
        <v>9500</v>
      </c>
      <c r="Y1150" s="413">
        <v>0</v>
      </c>
      <c r="Z1150" s="441">
        <v>0</v>
      </c>
      <c r="AA1150" s="441">
        <v>0</v>
      </c>
      <c r="AB1150" s="441">
        <v>0</v>
      </c>
      <c r="AC1150" s="441"/>
      <c r="AD1150" s="441">
        <v>28500</v>
      </c>
      <c r="AI1150" s="437">
        <v>28500</v>
      </c>
    </row>
    <row r="1151" spans="1:35">
      <c r="F1151" s="160"/>
      <c r="G1151" s="10"/>
      <c r="H1151" s="10"/>
      <c r="I1151" s="10"/>
      <c r="K1151" s="10"/>
      <c r="L1151" s="10"/>
      <c r="M1151" s="88"/>
      <c r="N1151" s="88"/>
      <c r="O1151" s="88"/>
      <c r="P1151" s="88"/>
      <c r="Q1151" s="88"/>
      <c r="R1151" s="88"/>
      <c r="S1151" s="88"/>
      <c r="T1151" s="88"/>
      <c r="U1151" s="88"/>
      <c r="V1151" s="88"/>
      <c r="W1151" s="88"/>
      <c r="X1151" s="88"/>
      <c r="Y1151" s="410"/>
      <c r="Z1151" s="438"/>
      <c r="AA1151" s="438"/>
      <c r="AB1151" s="438"/>
    </row>
    <row r="1152" spans="1:35">
      <c r="C1152" s="36"/>
      <c r="D1152" s="36"/>
      <c r="E1152" s="36" t="s">
        <v>2525</v>
      </c>
      <c r="F1152" s="162"/>
      <c r="G1152" s="210">
        <v>48730</v>
      </c>
      <c r="H1152" s="210">
        <v>53400</v>
      </c>
      <c r="I1152" s="210" t="s">
        <v>581</v>
      </c>
      <c r="K1152" s="10"/>
      <c r="L1152" s="10"/>
      <c r="M1152" s="88"/>
      <c r="N1152" s="88"/>
      <c r="O1152" s="88"/>
      <c r="P1152" s="88"/>
      <c r="Q1152" s="88"/>
      <c r="R1152" s="88"/>
      <c r="S1152" s="88"/>
      <c r="T1152" s="88"/>
      <c r="U1152" s="88"/>
      <c r="V1152" s="88"/>
      <c r="W1152" s="88"/>
      <c r="X1152" s="88"/>
      <c r="Y1152" s="410"/>
      <c r="Z1152" s="438"/>
      <c r="AA1152" s="438"/>
      <c r="AB1152" s="438"/>
    </row>
    <row r="1153" spans="1:35">
      <c r="A1153" s="145" t="s">
        <v>1</v>
      </c>
      <c r="B1153" s="376" t="s">
        <v>529</v>
      </c>
      <c r="C1153" s="27" t="s">
        <v>2</v>
      </c>
      <c r="D1153" s="27" t="s">
        <v>2532</v>
      </c>
      <c r="E1153" s="27" t="s">
        <v>2433</v>
      </c>
      <c r="F1153" s="165"/>
      <c r="G1153" s="111"/>
      <c r="H1153" s="111"/>
      <c r="I1153" s="111" t="s">
        <v>3</v>
      </c>
      <c r="J1153" s="107" t="s">
        <v>154</v>
      </c>
      <c r="K1153" s="91"/>
      <c r="L1153" s="91"/>
      <c r="M1153" s="92"/>
      <c r="N1153" s="92"/>
      <c r="O1153" s="92"/>
      <c r="P1153" s="92"/>
      <c r="Q1153" s="92"/>
      <c r="R1153" s="92"/>
      <c r="S1153" s="92"/>
      <c r="T1153" s="92"/>
      <c r="U1153" s="92"/>
      <c r="V1153" s="92"/>
      <c r="W1153" s="92"/>
      <c r="X1153" s="92"/>
      <c r="Y1153" s="411"/>
      <c r="Z1153" s="439"/>
      <c r="AA1153" s="439"/>
      <c r="AB1153" s="439"/>
    </row>
    <row r="1154" spans="1:35">
      <c r="A1154" s="145">
        <v>45305</v>
      </c>
      <c r="B1154" s="376"/>
      <c r="C1154" s="27">
        <v>230602</v>
      </c>
      <c r="D1154" s="20" t="str">
        <f t="shared" si="550"/>
        <v>加藤木材工業 春日井</v>
      </c>
      <c r="E1154" s="20" t="str">
        <f t="shared" si="551"/>
        <v>NGUYEN VAN DU</v>
      </c>
      <c r="F1154" s="20" t="str">
        <f t="shared" si="552"/>
        <v>グエン　ヴァン　ズ</v>
      </c>
      <c r="G1154" s="11"/>
      <c r="H1154" s="11"/>
      <c r="I1154" s="11">
        <v>53400</v>
      </c>
      <c r="J1154" s="75" t="s">
        <v>558</v>
      </c>
      <c r="K1154" s="3"/>
      <c r="L1154" s="3"/>
      <c r="M1154" s="95">
        <f>26700+1700</f>
        <v>28400</v>
      </c>
      <c r="N1154" s="87">
        <v>26700</v>
      </c>
      <c r="O1154" s="132">
        <v>26700</v>
      </c>
      <c r="P1154" s="27">
        <v>53400</v>
      </c>
      <c r="Q1154" s="27">
        <v>53400</v>
      </c>
      <c r="R1154" s="27">
        <v>53400</v>
      </c>
      <c r="S1154" s="27">
        <v>53400</v>
      </c>
      <c r="T1154" s="27">
        <v>53400</v>
      </c>
      <c r="U1154" s="27">
        <v>53400</v>
      </c>
      <c r="V1154" s="27">
        <v>53400</v>
      </c>
      <c r="W1154" s="27">
        <v>53400</v>
      </c>
      <c r="X1154" s="27">
        <v>53400</v>
      </c>
      <c r="Y1154" s="7">
        <v>53400</v>
      </c>
      <c r="Z1154" s="448">
        <v>53400</v>
      </c>
      <c r="AA1154" s="448">
        <v>53400</v>
      </c>
      <c r="AB1154" s="448">
        <v>53400</v>
      </c>
      <c r="AC1154" s="448">
        <v>53400</v>
      </c>
      <c r="AD1154" s="448">
        <v>53400</v>
      </c>
      <c r="AE1154" s="508">
        <v>53400</v>
      </c>
      <c r="AF1154" s="508">
        <v>53400</v>
      </c>
      <c r="AG1154" s="508">
        <v>53400</v>
      </c>
      <c r="AH1154" s="508">
        <v>53400</v>
      </c>
      <c r="AI1154" s="508">
        <v>53400</v>
      </c>
    </row>
    <row r="1155" spans="1:35">
      <c r="F1155" s="160"/>
      <c r="G1155" s="10"/>
      <c r="H1155" s="10"/>
      <c r="I1155" s="10"/>
      <c r="J1155" s="110"/>
      <c r="K1155" s="98"/>
      <c r="L1155" s="98"/>
      <c r="M1155" s="99"/>
      <c r="N1155" s="99"/>
      <c r="O1155" s="99"/>
      <c r="P1155" s="99"/>
      <c r="Q1155" s="99"/>
      <c r="R1155" s="99"/>
      <c r="S1155" s="99"/>
      <c r="T1155" s="99"/>
      <c r="U1155" s="99"/>
      <c r="V1155" s="99"/>
      <c r="W1155" s="99"/>
      <c r="X1155" s="99"/>
      <c r="Y1155" s="416"/>
      <c r="Z1155" s="445"/>
      <c r="AA1155" s="445"/>
      <c r="AB1155" s="445"/>
    </row>
    <row r="1156" spans="1:35">
      <c r="C1156" s="36"/>
      <c r="D1156" s="36"/>
      <c r="E1156" s="36" t="s">
        <v>252</v>
      </c>
      <c r="F1156" s="162"/>
      <c r="G1156" s="211">
        <v>42900</v>
      </c>
      <c r="H1156" s="211">
        <v>42900</v>
      </c>
      <c r="I1156" s="211" t="s">
        <v>585</v>
      </c>
      <c r="J1156" s="61" t="s">
        <v>631</v>
      </c>
      <c r="K1156" s="10"/>
      <c r="L1156" s="10"/>
      <c r="M1156" s="88"/>
      <c r="N1156" s="88"/>
      <c r="O1156" s="88"/>
      <c r="P1156" s="88"/>
      <c r="Q1156" s="88"/>
      <c r="R1156" s="88"/>
      <c r="S1156" s="88"/>
      <c r="T1156" s="88"/>
      <c r="U1156" s="88"/>
      <c r="V1156" s="88"/>
      <c r="W1156" s="88"/>
      <c r="X1156" s="88"/>
      <c r="Y1156" s="410"/>
      <c r="Z1156" s="438"/>
      <c r="AA1156" s="438"/>
      <c r="AB1156" s="438"/>
    </row>
    <row r="1157" spans="1:35">
      <c r="A1157" s="145" t="s">
        <v>1</v>
      </c>
      <c r="B1157" s="376" t="s">
        <v>529</v>
      </c>
      <c r="C1157" s="27" t="s">
        <v>2</v>
      </c>
      <c r="D1157" s="27" t="s">
        <v>2532</v>
      </c>
      <c r="E1157" s="27" t="s">
        <v>2433</v>
      </c>
      <c r="F1157" s="165"/>
      <c r="G1157" s="111"/>
      <c r="H1157" s="111"/>
      <c r="I1157" s="111" t="s">
        <v>3</v>
      </c>
      <c r="J1157" s="107"/>
      <c r="K1157" s="91"/>
      <c r="L1157" s="91"/>
      <c r="M1157" s="92"/>
      <c r="N1157" s="92"/>
      <c r="O1157" s="92"/>
      <c r="P1157" s="92"/>
      <c r="Q1157" s="92"/>
      <c r="R1157" s="92"/>
      <c r="S1157" s="92"/>
      <c r="T1157" s="92"/>
      <c r="U1157" s="92"/>
      <c r="V1157" s="92"/>
      <c r="W1157" s="92"/>
      <c r="X1157" s="92"/>
      <c r="Y1157" s="411"/>
      <c r="Z1157" s="439"/>
      <c r="AA1157" s="439"/>
      <c r="AB1157" s="439"/>
    </row>
    <row r="1158" spans="1:35">
      <c r="A1158" s="145">
        <v>44983</v>
      </c>
      <c r="B1158" s="376"/>
      <c r="C1158" s="27">
        <v>221010</v>
      </c>
      <c r="D1158" s="20" t="str">
        <f t="shared" si="550"/>
        <v>加藤木材工業 本社</v>
      </c>
      <c r="E1158" s="20" t="str">
        <f t="shared" si="551"/>
        <v>HUYNH TRUNG TUYEN</v>
      </c>
      <c r="F1158" s="20" t="str">
        <f t="shared" si="552"/>
        <v>フイン　チュン　トウエン</v>
      </c>
      <c r="G1158" s="11"/>
      <c r="H1158" s="11"/>
      <c r="I1158" s="11">
        <v>42900</v>
      </c>
      <c r="J1158" s="112"/>
      <c r="K1158" s="105">
        <v>42900</v>
      </c>
      <c r="L1158" s="105">
        <v>42900</v>
      </c>
      <c r="M1158" s="106">
        <v>42900</v>
      </c>
      <c r="N1158" s="106">
        <v>42900</v>
      </c>
      <c r="O1158" s="135">
        <v>42900</v>
      </c>
      <c r="P1158" s="135">
        <v>42900</v>
      </c>
      <c r="Q1158" s="135">
        <v>42900</v>
      </c>
      <c r="R1158" s="135">
        <v>42900</v>
      </c>
      <c r="S1158" s="135">
        <v>42900</v>
      </c>
      <c r="T1158" s="135">
        <v>42900</v>
      </c>
      <c r="U1158" s="135">
        <v>42900</v>
      </c>
      <c r="V1158" s="135">
        <v>42900</v>
      </c>
      <c r="W1158" s="135">
        <v>42900</v>
      </c>
      <c r="X1158" s="135">
        <v>42900</v>
      </c>
      <c r="Y1158" s="420">
        <v>42900</v>
      </c>
      <c r="Z1158" s="450">
        <v>42900</v>
      </c>
      <c r="AA1158" s="450">
        <v>42900</v>
      </c>
      <c r="AB1158" s="450">
        <v>42900</v>
      </c>
      <c r="AC1158" s="441">
        <v>42900</v>
      </c>
      <c r="AD1158" s="441">
        <v>42900</v>
      </c>
      <c r="AE1158" s="437">
        <v>42900</v>
      </c>
      <c r="AF1158" s="437">
        <v>42900</v>
      </c>
      <c r="AG1158" s="437">
        <v>42900</v>
      </c>
      <c r="AH1158" s="437">
        <v>42900</v>
      </c>
      <c r="AI1158" s="437">
        <v>42900</v>
      </c>
    </row>
    <row r="1159" spans="1:35">
      <c r="F1159" s="160"/>
      <c r="J1159" s="110"/>
      <c r="K1159" s="98"/>
      <c r="L1159" s="98"/>
      <c r="M1159" s="99"/>
      <c r="N1159" s="99"/>
      <c r="O1159" s="99"/>
      <c r="P1159" s="99"/>
      <c r="Q1159" s="99"/>
      <c r="R1159" s="99"/>
      <c r="S1159" s="99"/>
      <c r="T1159" s="99"/>
      <c r="U1159" s="99"/>
      <c r="V1159" s="99"/>
      <c r="W1159" s="99"/>
      <c r="X1159" s="99"/>
      <c r="Y1159" s="416"/>
      <c r="Z1159" s="445"/>
      <c r="AA1159" s="445"/>
      <c r="AB1159" s="445"/>
    </row>
    <row r="1160" spans="1:35">
      <c r="C1160" s="36"/>
      <c r="D1160" s="36"/>
      <c r="E1160" s="36" t="s">
        <v>2526</v>
      </c>
      <c r="F1160" s="162"/>
      <c r="G1160" s="211">
        <v>55000</v>
      </c>
      <c r="H1160" s="211">
        <v>55000</v>
      </c>
      <c r="I1160" s="211" t="s">
        <v>584</v>
      </c>
      <c r="J1160" s="61" t="s">
        <v>631</v>
      </c>
      <c r="K1160" s="10"/>
      <c r="L1160" s="10"/>
      <c r="M1160" s="88"/>
      <c r="N1160" s="88"/>
      <c r="O1160" s="88"/>
      <c r="P1160" s="88"/>
      <c r="Q1160" s="88"/>
      <c r="R1160" s="88"/>
      <c r="S1160" s="88"/>
      <c r="T1160" s="88"/>
      <c r="U1160" s="88"/>
      <c r="V1160" s="88"/>
      <c r="W1160" s="88"/>
      <c r="X1160" s="88"/>
      <c r="Y1160" s="410"/>
      <c r="Z1160" s="438"/>
      <c r="AA1160" s="438"/>
      <c r="AB1160" s="438"/>
    </row>
    <row r="1161" spans="1:35">
      <c r="A1161" s="145" t="s">
        <v>1</v>
      </c>
      <c r="B1161" s="376" t="s">
        <v>529</v>
      </c>
      <c r="C1161" s="27" t="s">
        <v>2</v>
      </c>
      <c r="D1161" s="27" t="s">
        <v>2532</v>
      </c>
      <c r="E1161" s="27" t="s">
        <v>2433</v>
      </c>
      <c r="F1161" s="165"/>
      <c r="G1161" s="22"/>
      <c r="H1161" s="22"/>
      <c r="I1161" s="22" t="s">
        <v>3</v>
      </c>
      <c r="J1161" s="107"/>
      <c r="K1161" s="91"/>
      <c r="L1161" s="91"/>
      <c r="M1161" s="92"/>
      <c r="N1161" s="92"/>
      <c r="O1161" s="92"/>
      <c r="P1161" s="92"/>
      <c r="Q1161" s="92"/>
      <c r="R1161" s="92"/>
      <c r="S1161" s="92"/>
      <c r="T1161" s="92"/>
      <c r="U1161" s="92"/>
      <c r="V1161" s="92"/>
      <c r="W1161" s="92"/>
      <c r="X1161" s="92"/>
      <c r="Y1161" s="411"/>
      <c r="Z1161" s="439"/>
      <c r="AA1161" s="439"/>
      <c r="AB1161" s="439"/>
    </row>
    <row r="1162" spans="1:35">
      <c r="A1162" s="145">
        <v>44924</v>
      </c>
      <c r="B1162" s="376"/>
      <c r="C1162" s="27">
        <v>230101</v>
      </c>
      <c r="D1162" s="20" t="str">
        <f t="shared" si="550"/>
        <v>加藤木材工業 本社</v>
      </c>
      <c r="E1162" s="20" t="str">
        <f t="shared" si="551"/>
        <v>ZARATE SAKUDA SERGIO EDUARDO</v>
      </c>
      <c r="F1162" s="20" t="str">
        <f t="shared" si="552"/>
        <v>サラテ　サクダ　セルヒオ　エドゥアルド</v>
      </c>
      <c r="G1162" s="11"/>
      <c r="H1162" s="11"/>
      <c r="I1162" s="11">
        <v>55000</v>
      </c>
      <c r="K1162" s="105">
        <v>55000</v>
      </c>
      <c r="L1162" s="105">
        <v>55000</v>
      </c>
      <c r="M1162" s="106">
        <v>55000</v>
      </c>
      <c r="N1162" s="106">
        <v>55000</v>
      </c>
      <c r="O1162" s="135">
        <v>55000</v>
      </c>
      <c r="P1162" s="135">
        <v>55000</v>
      </c>
      <c r="Q1162" s="135">
        <v>55000</v>
      </c>
      <c r="R1162" s="135">
        <v>55000</v>
      </c>
      <c r="S1162" s="135">
        <v>55000</v>
      </c>
      <c r="T1162" s="135">
        <v>55000</v>
      </c>
      <c r="U1162" s="135">
        <v>55000</v>
      </c>
      <c r="V1162" s="135">
        <v>55000</v>
      </c>
      <c r="W1162" s="135">
        <v>55000</v>
      </c>
      <c r="X1162" s="135">
        <v>55000</v>
      </c>
      <c r="Y1162" s="420">
        <v>55000</v>
      </c>
      <c r="Z1162" s="450">
        <v>55000</v>
      </c>
      <c r="AA1162" s="450">
        <v>55000</v>
      </c>
      <c r="AB1162" s="450">
        <v>55000</v>
      </c>
      <c r="AC1162" s="441">
        <v>55000</v>
      </c>
      <c r="AD1162" s="441">
        <v>55000</v>
      </c>
      <c r="AE1162" s="437">
        <v>55000</v>
      </c>
      <c r="AF1162" s="437">
        <v>55000</v>
      </c>
      <c r="AG1162" s="437">
        <v>55000</v>
      </c>
      <c r="AH1162" s="437">
        <v>55000</v>
      </c>
      <c r="AI1162" s="437">
        <v>55000</v>
      </c>
    </row>
    <row r="1163" spans="1:35">
      <c r="F1163" s="160"/>
      <c r="J1163" s="110"/>
      <c r="K1163" s="98"/>
      <c r="L1163" s="98"/>
      <c r="M1163" s="99"/>
      <c r="N1163" s="99"/>
      <c r="O1163" s="99"/>
      <c r="P1163" s="99"/>
      <c r="Q1163" s="99"/>
      <c r="R1163" s="99"/>
      <c r="S1163" s="99"/>
      <c r="T1163" s="99"/>
      <c r="U1163" s="99"/>
      <c r="V1163" s="99"/>
      <c r="W1163" s="99"/>
      <c r="X1163" s="99"/>
      <c r="Y1163" s="416"/>
      <c r="Z1163" s="445"/>
      <c r="AA1163" s="445"/>
      <c r="AB1163" s="445"/>
    </row>
    <row r="1164" spans="1:35">
      <c r="C1164" s="36"/>
      <c r="D1164" s="36"/>
      <c r="E1164" s="36" t="s">
        <v>282</v>
      </c>
      <c r="F1164" s="162"/>
      <c r="G1164" s="211">
        <v>56000</v>
      </c>
      <c r="H1164" s="211">
        <v>61200</v>
      </c>
      <c r="I1164" s="211" t="s">
        <v>25</v>
      </c>
      <c r="J1164" s="107"/>
      <c r="K1164" s="91"/>
      <c r="L1164" s="91"/>
      <c r="M1164" s="92"/>
      <c r="N1164" s="92"/>
      <c r="O1164" s="92"/>
      <c r="P1164" s="92"/>
      <c r="Q1164" s="92"/>
      <c r="R1164" s="92"/>
      <c r="S1164" s="92"/>
      <c r="T1164" s="92"/>
      <c r="U1164" s="92"/>
      <c r="V1164" s="92"/>
      <c r="W1164" s="92"/>
      <c r="X1164" s="92"/>
      <c r="Y1164" s="411"/>
      <c r="Z1164" s="439"/>
      <c r="AA1164" s="439"/>
      <c r="AB1164" s="439"/>
    </row>
    <row r="1165" spans="1:35">
      <c r="A1165" s="145" t="s">
        <v>1</v>
      </c>
      <c r="B1165" s="376" t="s">
        <v>529</v>
      </c>
      <c r="C1165" s="27" t="s">
        <v>2</v>
      </c>
      <c r="D1165" s="27" t="s">
        <v>2532</v>
      </c>
      <c r="E1165" s="27" t="s">
        <v>2433</v>
      </c>
      <c r="F1165" s="165"/>
      <c r="G1165" s="11"/>
      <c r="H1165" s="11"/>
      <c r="I1165" s="11" t="s">
        <v>3</v>
      </c>
      <c r="J1165" s="76" t="s">
        <v>285</v>
      </c>
      <c r="K1165" s="78"/>
      <c r="L1165" s="78"/>
      <c r="M1165" s="87"/>
      <c r="N1165" s="87"/>
      <c r="O1165" s="132"/>
      <c r="P1165" s="132"/>
      <c r="Q1165" s="132"/>
      <c r="R1165" s="132"/>
      <c r="S1165" s="132"/>
      <c r="T1165" s="132"/>
      <c r="U1165" s="132"/>
      <c r="V1165" s="132"/>
      <c r="W1165" s="132"/>
      <c r="X1165" s="132"/>
      <c r="Y1165" s="412"/>
      <c r="Z1165" s="440"/>
      <c r="AA1165" s="440"/>
      <c r="AB1165" s="440"/>
    </row>
    <row r="1166" spans="1:35">
      <c r="A1166" s="145">
        <v>45025</v>
      </c>
      <c r="B1166" s="376"/>
      <c r="C1166" s="27">
        <v>220511</v>
      </c>
      <c r="D1166" s="20" t="str">
        <f t="shared" si="550"/>
        <v>加藤木材工業 本社</v>
      </c>
      <c r="E1166" s="20" t="str">
        <f t="shared" si="551"/>
        <v>DUONG VAN TOAN</v>
      </c>
      <c r="F1166" s="20" t="str">
        <f t="shared" si="552"/>
        <v>ズオン　ヴァン　トアン</v>
      </c>
      <c r="G1166" s="11"/>
      <c r="H1166" s="11"/>
      <c r="I1166" s="11">
        <v>20400</v>
      </c>
      <c r="J1166" s="64">
        <v>12200</v>
      </c>
      <c r="K1166" s="11">
        <v>20400</v>
      </c>
      <c r="L1166" s="11">
        <v>20400</v>
      </c>
      <c r="M1166" s="81">
        <v>20400</v>
      </c>
      <c r="N1166" s="81">
        <v>20400</v>
      </c>
      <c r="O1166" s="130">
        <v>20400</v>
      </c>
      <c r="P1166" s="130">
        <v>20400</v>
      </c>
      <c r="Q1166" s="130">
        <v>20400</v>
      </c>
      <c r="R1166" s="130">
        <v>20400</v>
      </c>
      <c r="S1166" s="130">
        <v>20400</v>
      </c>
      <c r="T1166" s="130">
        <v>20400</v>
      </c>
      <c r="U1166" s="130">
        <v>20400</v>
      </c>
      <c r="V1166" s="130">
        <v>20400</v>
      </c>
      <c r="W1166" s="130">
        <v>20400</v>
      </c>
      <c r="X1166" s="130">
        <v>20400</v>
      </c>
      <c r="Y1166" s="408">
        <v>20400</v>
      </c>
      <c r="Z1166" s="437">
        <v>20400</v>
      </c>
      <c r="AA1166" s="437">
        <v>20400</v>
      </c>
      <c r="AB1166" s="437">
        <v>20400</v>
      </c>
      <c r="AC1166" s="437">
        <v>20400</v>
      </c>
      <c r="AD1166" s="437">
        <v>20400</v>
      </c>
      <c r="AE1166" s="437">
        <v>20400</v>
      </c>
      <c r="AF1166" s="437">
        <v>20400</v>
      </c>
      <c r="AG1166" s="437">
        <v>20400</v>
      </c>
      <c r="AH1166" s="437">
        <v>20400</v>
      </c>
      <c r="AI1166" s="437">
        <v>20400</v>
      </c>
    </row>
    <row r="1167" spans="1:35">
      <c r="A1167" s="228">
        <v>45025</v>
      </c>
      <c r="B1167" s="375"/>
      <c r="C1167" s="43">
        <v>220504</v>
      </c>
      <c r="D1167" s="20" t="str">
        <f t="shared" ref="D1167:D1169" si="583">IF(C1167="","",_xlfn.XLOOKUP(C1167,社員№,派遣先,"",0,-1))</f>
        <v>加藤木材工業 本社</v>
      </c>
      <c r="E1167" s="20" t="str">
        <f t="shared" ref="E1167:E1169" si="584">IF(C1167="","",_xlfn.XLOOKUP(C1167,社員№,氏名,"",0,-1))</f>
        <v>VU DINH SON</v>
      </c>
      <c r="F1167" s="20" t="str">
        <f t="shared" ref="F1167:F1169" si="585">IF(C1167="","",_xlfn.XLOOKUP(C1167,社員№,カナ,"",0,-1))</f>
        <v>ヴー　ディン　ソン</v>
      </c>
      <c r="G1167" s="3"/>
      <c r="H1167" s="3"/>
      <c r="I1167" s="3">
        <v>20400</v>
      </c>
      <c r="J1167" s="64">
        <v>12200</v>
      </c>
      <c r="K1167" s="11">
        <v>20400</v>
      </c>
      <c r="L1167" s="11">
        <v>20400</v>
      </c>
      <c r="M1167" s="81">
        <v>20400</v>
      </c>
      <c r="N1167" s="81">
        <v>20400</v>
      </c>
      <c r="O1167" s="130">
        <v>20400</v>
      </c>
      <c r="P1167" s="130">
        <v>20400</v>
      </c>
      <c r="Q1167" s="130">
        <v>20400</v>
      </c>
      <c r="R1167" s="130">
        <v>20400</v>
      </c>
      <c r="S1167" s="130">
        <v>20400</v>
      </c>
      <c r="T1167" s="130">
        <v>20400</v>
      </c>
      <c r="U1167" s="130">
        <v>20400</v>
      </c>
      <c r="V1167" s="130">
        <v>20400</v>
      </c>
      <c r="W1167" s="130">
        <v>20400</v>
      </c>
      <c r="X1167" s="130">
        <v>20400</v>
      </c>
      <c r="Y1167" s="408">
        <v>20400</v>
      </c>
      <c r="Z1167" s="437">
        <v>20400</v>
      </c>
      <c r="AA1167" s="437">
        <v>20400</v>
      </c>
      <c r="AB1167" s="437">
        <v>20400</v>
      </c>
      <c r="AC1167" s="437">
        <v>20400</v>
      </c>
      <c r="AD1167" s="437">
        <v>20400</v>
      </c>
      <c r="AE1167" s="437">
        <v>20400</v>
      </c>
      <c r="AF1167" s="437">
        <v>20400</v>
      </c>
      <c r="AG1167" s="437">
        <v>20400</v>
      </c>
      <c r="AH1167" s="437">
        <v>20400</v>
      </c>
      <c r="AI1167" s="437">
        <v>20400</v>
      </c>
    </row>
    <row r="1168" spans="1:35">
      <c r="A1168" s="228">
        <v>45929</v>
      </c>
      <c r="B1168" s="375" t="s">
        <v>2660</v>
      </c>
      <c r="C1168" s="43">
        <v>251001</v>
      </c>
      <c r="D1168" s="20" t="str">
        <f t="shared" si="583"/>
        <v>加藤木材工業 本社</v>
      </c>
      <c r="E1168" s="20" t="str">
        <f t="shared" si="584"/>
        <v>LUU XUAN VU</v>
      </c>
      <c r="F1168" s="20" t="str">
        <f t="shared" si="585"/>
        <v>リュウ　スアン　ヴ</v>
      </c>
      <c r="G1168" s="3"/>
      <c r="H1168" s="3"/>
      <c r="I1168" s="3">
        <v>20400</v>
      </c>
      <c r="J1168" s="75"/>
      <c r="K1168" s="113"/>
      <c r="L1168" s="3"/>
      <c r="M1168" s="95"/>
      <c r="N1168" s="95"/>
      <c r="O1168" s="136"/>
      <c r="P1168" s="136"/>
      <c r="Q1168" s="136"/>
      <c r="R1168" s="136"/>
      <c r="S1168" s="136"/>
      <c r="T1168" s="136"/>
      <c r="U1168" s="136"/>
      <c r="V1168" s="136"/>
      <c r="W1168" s="136"/>
      <c r="X1168" s="136"/>
      <c r="Y1168" s="421"/>
      <c r="Z1168" s="451"/>
      <c r="AA1168" s="451"/>
      <c r="AB1168" s="451"/>
      <c r="AC1168" s="437"/>
      <c r="AD1168" s="437"/>
      <c r="AE1168" s="437"/>
      <c r="AF1168" s="492">
        <v>40800</v>
      </c>
      <c r="AG1168" s="522">
        <v>0</v>
      </c>
    </row>
    <row r="1169" spans="1:32">
      <c r="A1169" s="145">
        <v>45346</v>
      </c>
      <c r="B1169" s="376">
        <v>45900</v>
      </c>
      <c r="C1169" s="27">
        <v>230403</v>
      </c>
      <c r="D1169" s="20" t="str">
        <f t="shared" si="583"/>
        <v>加藤木材工業 本社</v>
      </c>
      <c r="E1169" s="20" t="str">
        <f t="shared" si="584"/>
        <v>PHAM DUY QUANG</v>
      </c>
      <c r="F1169" s="20" t="str">
        <f t="shared" si="585"/>
        <v>ファム　ズイ　クアン</v>
      </c>
      <c r="G1169" s="11"/>
      <c r="H1169" s="11"/>
      <c r="I1169" s="11">
        <v>20400</v>
      </c>
      <c r="J1169" s="75"/>
      <c r="K1169" s="113"/>
      <c r="L1169" s="3">
        <v>29005</v>
      </c>
      <c r="M1169" s="95">
        <v>20400</v>
      </c>
      <c r="N1169" s="95">
        <v>20400</v>
      </c>
      <c r="O1169" s="136">
        <v>20400</v>
      </c>
      <c r="P1169" s="136">
        <v>20400</v>
      </c>
      <c r="Q1169" s="136">
        <v>20400</v>
      </c>
      <c r="R1169" s="136">
        <v>20400</v>
      </c>
      <c r="S1169" s="136">
        <v>20400</v>
      </c>
      <c r="T1169" s="136">
        <v>20400</v>
      </c>
      <c r="U1169" s="136">
        <v>20400</v>
      </c>
      <c r="V1169" s="136">
        <v>20400</v>
      </c>
      <c r="W1169" s="136">
        <v>20400</v>
      </c>
      <c r="X1169" s="136">
        <v>20400</v>
      </c>
      <c r="Y1169" s="421">
        <v>20400</v>
      </c>
      <c r="Z1169" s="451">
        <v>20400</v>
      </c>
      <c r="AA1169" s="451">
        <v>20400</v>
      </c>
      <c r="AB1169" s="451">
        <v>20400</v>
      </c>
      <c r="AC1169" s="437">
        <v>20400</v>
      </c>
      <c r="AD1169" s="437">
        <v>40400</v>
      </c>
      <c r="AE1169" s="437">
        <v>0</v>
      </c>
      <c r="AF1169" s="437">
        <v>0</v>
      </c>
    </row>
    <row r="1170" spans="1:32">
      <c r="F1170" s="160"/>
      <c r="G1170" s="10"/>
      <c r="H1170" s="10"/>
      <c r="I1170" s="10"/>
      <c r="J1170" s="110"/>
      <c r="K1170" s="98"/>
      <c r="L1170" s="98"/>
      <c r="M1170" s="99"/>
      <c r="N1170" s="99"/>
      <c r="O1170" s="99"/>
      <c r="P1170" s="99"/>
      <c r="Q1170" s="99"/>
      <c r="R1170" s="99"/>
      <c r="S1170" s="99"/>
      <c r="T1170" s="99"/>
      <c r="U1170" s="99"/>
      <c r="V1170" s="99"/>
      <c r="W1170" s="99"/>
      <c r="X1170" s="99"/>
      <c r="Y1170" s="416"/>
      <c r="Z1170" s="445"/>
      <c r="AA1170" s="445"/>
      <c r="AB1170" s="445"/>
    </row>
    <row r="1171" spans="1:32" hidden="1">
      <c r="B1171" s="513" t="s">
        <v>2644</v>
      </c>
      <c r="C1171" s="39"/>
      <c r="D1171" s="39"/>
      <c r="E1171" s="39" t="s">
        <v>2527</v>
      </c>
      <c r="F1171" s="199"/>
      <c r="G1171" s="211">
        <v>35000</v>
      </c>
      <c r="H1171" s="211">
        <v>35000</v>
      </c>
      <c r="I1171" s="211" t="s">
        <v>584</v>
      </c>
      <c r="J1171" s="61" t="s">
        <v>631</v>
      </c>
      <c r="K1171" s="10"/>
      <c r="L1171" s="10"/>
      <c r="M1171" s="88"/>
      <c r="N1171" s="88"/>
      <c r="O1171" s="88"/>
      <c r="P1171" s="88"/>
      <c r="Q1171" s="88"/>
      <c r="R1171" s="88"/>
      <c r="S1171" s="88"/>
      <c r="T1171" s="88"/>
      <c r="U1171" s="88"/>
      <c r="V1171" s="88"/>
      <c r="W1171" s="88"/>
      <c r="X1171" s="88"/>
      <c r="Y1171" s="410"/>
      <c r="Z1171" s="438"/>
      <c r="AA1171" s="438"/>
      <c r="AB1171" s="438"/>
    </row>
    <row r="1172" spans="1:32" hidden="1">
      <c r="A1172" s="145" t="s">
        <v>1</v>
      </c>
      <c r="B1172" s="376" t="s">
        <v>529</v>
      </c>
      <c r="C1172" s="27" t="s">
        <v>2</v>
      </c>
      <c r="D1172" s="27" t="s">
        <v>2532</v>
      </c>
      <c r="E1172" s="27" t="s">
        <v>2433</v>
      </c>
      <c r="F1172" s="165"/>
      <c r="G1172" s="22"/>
      <c r="H1172" s="22"/>
      <c r="I1172" s="22" t="s">
        <v>3</v>
      </c>
      <c r="J1172" s="107"/>
      <c r="K1172" s="91"/>
      <c r="L1172" s="91"/>
      <c r="M1172" s="92"/>
      <c r="N1172" s="92"/>
      <c r="O1172" s="92"/>
      <c r="P1172" s="92"/>
      <c r="Q1172" s="92"/>
      <c r="R1172" s="92"/>
      <c r="S1172" s="92"/>
      <c r="T1172" s="92"/>
      <c r="U1172" s="92"/>
      <c r="V1172" s="92"/>
      <c r="W1172" s="92"/>
      <c r="X1172" s="92"/>
      <c r="Y1172" s="411"/>
      <c r="Z1172" s="439"/>
      <c r="AA1172" s="439"/>
      <c r="AB1172" s="439"/>
    </row>
    <row r="1173" spans="1:32" hidden="1">
      <c r="A1173" s="145">
        <v>45197</v>
      </c>
      <c r="B1173" s="376">
        <v>45766</v>
      </c>
      <c r="C1173" s="27">
        <v>220915</v>
      </c>
      <c r="D1173" s="20" t="str">
        <f t="shared" ref="D1173:D1203" si="586">IF(C1173="","",_xlfn.XLOOKUP(C1173,社員№,派遣先,"",0,-1))</f>
        <v>加藤木材工業 本社</v>
      </c>
      <c r="E1173" s="20" t="str">
        <f t="shared" ref="E1173:E1203" si="587">IF(C1173="","",_xlfn.XLOOKUP(C1173,社員№,氏名,"",0,-1))</f>
        <v>BUI VAN DOAN</v>
      </c>
      <c r="F1173" s="20" t="str">
        <f t="shared" ref="F1173:F1203" si="588">IF(C1173="","",_xlfn.XLOOKUP(C1173,社員№,カナ,"",0,-1))</f>
        <v>ブイ　ヴァン　ドアン</v>
      </c>
      <c r="G1173" s="11"/>
      <c r="H1173" s="11"/>
      <c r="I1173" s="11">
        <v>35000</v>
      </c>
      <c r="J1173" s="156" t="s">
        <v>394</v>
      </c>
      <c r="K1173" s="105">
        <v>35000</v>
      </c>
      <c r="L1173" s="105">
        <v>35000</v>
      </c>
      <c r="M1173" s="106">
        <v>35000</v>
      </c>
      <c r="N1173" s="106">
        <v>35000</v>
      </c>
      <c r="O1173" s="135">
        <v>35000</v>
      </c>
      <c r="P1173" s="135">
        <v>35000</v>
      </c>
      <c r="Q1173" s="135">
        <v>35000</v>
      </c>
      <c r="R1173" s="135">
        <v>35000</v>
      </c>
      <c r="S1173" s="135">
        <v>35000</v>
      </c>
      <c r="T1173" s="135">
        <v>35000</v>
      </c>
      <c r="U1173" s="135">
        <v>35000</v>
      </c>
      <c r="V1173" s="135">
        <v>35000</v>
      </c>
      <c r="W1173" s="135">
        <v>35000</v>
      </c>
      <c r="X1173" s="135">
        <v>35000</v>
      </c>
      <c r="Y1173" s="420">
        <v>35000</v>
      </c>
      <c r="Z1173" s="450">
        <v>35000</v>
      </c>
      <c r="AA1173" s="450">
        <v>0</v>
      </c>
      <c r="AB1173" s="450">
        <v>0</v>
      </c>
    </row>
    <row r="1174" spans="1:32" hidden="1">
      <c r="C1174" s="389"/>
      <c r="D1174" s="389"/>
      <c r="E1174" s="389"/>
      <c r="F1174" s="390"/>
      <c r="G1174" s="10"/>
      <c r="H1174" s="10"/>
      <c r="I1174" s="10"/>
      <c r="J1174" s="156"/>
      <c r="K1174" s="10"/>
      <c r="L1174" s="10"/>
      <c r="M1174" s="88"/>
      <c r="N1174" s="88"/>
      <c r="O1174" s="88"/>
      <c r="P1174" s="88"/>
      <c r="Q1174" s="88"/>
      <c r="R1174" s="88"/>
      <c r="S1174" s="88"/>
      <c r="T1174" s="88"/>
      <c r="U1174" s="88"/>
      <c r="V1174" s="88"/>
      <c r="W1174" s="88"/>
      <c r="X1174" s="88"/>
      <c r="Y1174" s="410"/>
      <c r="Z1174" s="438"/>
      <c r="AA1174" s="438"/>
      <c r="AB1174" s="438"/>
    </row>
    <row r="1175" spans="1:32" hidden="1">
      <c r="A1175" s="147"/>
      <c r="B1175" s="513" t="s">
        <v>2581</v>
      </c>
      <c r="C1175" s="39"/>
      <c r="D1175" s="39"/>
      <c r="E1175" s="39" t="s">
        <v>559</v>
      </c>
      <c r="F1175" s="199"/>
      <c r="G1175" s="211">
        <v>39000</v>
      </c>
      <c r="H1175" s="211">
        <v>39000</v>
      </c>
      <c r="I1175" s="211" t="s">
        <v>582</v>
      </c>
      <c r="J1175" s="74" t="s">
        <v>631</v>
      </c>
      <c r="K1175" s="10"/>
      <c r="L1175" s="10"/>
      <c r="M1175" s="88"/>
      <c r="N1175" s="88"/>
      <c r="O1175" s="88"/>
      <c r="P1175" s="88"/>
      <c r="Q1175" s="88"/>
      <c r="R1175" s="88"/>
      <c r="S1175" s="88"/>
      <c r="T1175" s="88"/>
      <c r="U1175" s="88"/>
      <c r="V1175" s="88"/>
      <c r="W1175" s="88"/>
      <c r="X1175" s="88"/>
      <c r="Y1175" s="410"/>
      <c r="Z1175" s="438"/>
      <c r="AA1175" s="438"/>
      <c r="AB1175" s="438"/>
    </row>
    <row r="1176" spans="1:32" hidden="1">
      <c r="A1176" s="148" t="s">
        <v>1</v>
      </c>
      <c r="B1176" s="377" t="s">
        <v>529</v>
      </c>
      <c r="C1176" s="27" t="s">
        <v>2</v>
      </c>
      <c r="D1176" s="27" t="s">
        <v>2532</v>
      </c>
      <c r="E1176" s="27" t="s">
        <v>2433</v>
      </c>
      <c r="F1176" s="165"/>
      <c r="G1176" s="22"/>
      <c r="H1176" s="22"/>
      <c r="I1176" s="22" t="s">
        <v>3</v>
      </c>
      <c r="J1176" s="90"/>
      <c r="K1176" s="91"/>
      <c r="L1176" s="91"/>
      <c r="M1176" s="92"/>
      <c r="N1176" s="92"/>
      <c r="O1176" s="92"/>
      <c r="P1176" s="92"/>
      <c r="Q1176" s="92"/>
      <c r="R1176" s="92"/>
      <c r="S1176" s="92"/>
      <c r="T1176" s="92"/>
      <c r="U1176" s="92"/>
      <c r="V1176" s="92"/>
      <c r="W1176" s="92"/>
      <c r="X1176" s="92"/>
      <c r="Y1176" s="469" t="s">
        <v>1029</v>
      </c>
      <c r="Z1176" s="439"/>
      <c r="AA1176" s="439"/>
      <c r="AB1176" s="439"/>
    </row>
    <row r="1177" spans="1:32" ht="54" hidden="1">
      <c r="A1177" s="149">
        <v>45509</v>
      </c>
      <c r="B1177" s="514" t="s">
        <v>2579</v>
      </c>
      <c r="C1177" s="27">
        <v>210906</v>
      </c>
      <c r="D1177" s="20" t="str">
        <f t="shared" si="586"/>
        <v>加藤木材工業 本社</v>
      </c>
      <c r="E1177" s="20" t="str">
        <f t="shared" si="587"/>
        <v>DAO NGOC ANH</v>
      </c>
      <c r="F1177" s="20" t="str">
        <f t="shared" si="588"/>
        <v>ダオ　ゴック　アン</v>
      </c>
      <c r="G1177" s="11"/>
      <c r="H1177" s="11"/>
      <c r="I1177" s="11">
        <v>39000</v>
      </c>
      <c r="J1177" s="66"/>
      <c r="T1177" s="130">
        <f>39000+39000</f>
        <v>78000</v>
      </c>
      <c r="U1177" s="130">
        <v>39000</v>
      </c>
      <c r="V1177" s="130">
        <v>39000</v>
      </c>
      <c r="W1177" s="130">
        <v>39000</v>
      </c>
      <c r="X1177" s="130">
        <v>39000</v>
      </c>
      <c r="Y1177" s="408">
        <f>39000+39000</f>
        <v>78000</v>
      </c>
      <c r="Z1177" s="437">
        <v>0</v>
      </c>
      <c r="AA1177" s="437">
        <v>39000</v>
      </c>
      <c r="AB1177" s="437">
        <v>39000</v>
      </c>
      <c r="AC1177" s="443">
        <v>39000</v>
      </c>
      <c r="AD1177" s="443">
        <v>39000</v>
      </c>
      <c r="AE1177" s="493">
        <v>39000</v>
      </c>
      <c r="AF1177" s="493">
        <v>0</v>
      </c>
    </row>
    <row r="1178" spans="1:32" hidden="1">
      <c r="F1178" s="160"/>
      <c r="M1178" s="130"/>
      <c r="N1178" s="88"/>
      <c r="O1178" s="88"/>
      <c r="P1178" s="88"/>
      <c r="Q1178" s="88"/>
      <c r="R1178" s="88"/>
      <c r="S1178" s="88"/>
      <c r="T1178" s="88"/>
      <c r="U1178" s="88"/>
      <c r="V1178" s="88"/>
      <c r="W1178" s="88"/>
      <c r="X1178" s="88"/>
      <c r="Y1178" s="410"/>
      <c r="Z1178" s="438"/>
      <c r="AA1178" s="438"/>
      <c r="AB1178" s="438"/>
    </row>
    <row r="1179" spans="1:32">
      <c r="A1179" s="147"/>
      <c r="C1179" s="39"/>
      <c r="D1179" s="39"/>
      <c r="E1179" s="39" t="s">
        <v>2528</v>
      </c>
      <c r="F1179" s="199"/>
      <c r="G1179" s="211">
        <v>54030</v>
      </c>
      <c r="H1179" s="211">
        <v>60000</v>
      </c>
      <c r="I1179" s="211" t="s">
        <v>25</v>
      </c>
      <c r="J1179" s="61" t="s">
        <v>1006</v>
      </c>
      <c r="M1179" s="130"/>
      <c r="N1179" s="88"/>
      <c r="O1179" s="88"/>
      <c r="P1179" s="88"/>
      <c r="Q1179" s="88"/>
      <c r="R1179" s="88"/>
      <c r="S1179" s="88"/>
      <c r="T1179" s="88"/>
      <c r="U1179" s="88"/>
      <c r="V1179" s="88"/>
      <c r="W1179" s="88"/>
      <c r="X1179" s="88"/>
      <c r="Y1179" s="410"/>
      <c r="Z1179" s="438"/>
      <c r="AA1179" s="438"/>
      <c r="AB1179" s="438"/>
    </row>
    <row r="1180" spans="1:32">
      <c r="A1180" s="151" t="s">
        <v>1</v>
      </c>
      <c r="B1180" s="379" t="s">
        <v>529</v>
      </c>
      <c r="C1180" s="43" t="s">
        <v>2</v>
      </c>
      <c r="D1180" s="43" t="s">
        <v>2532</v>
      </c>
      <c r="E1180" s="43" t="s">
        <v>2433</v>
      </c>
      <c r="F1180" s="186"/>
      <c r="G1180" s="11"/>
      <c r="H1180" s="11"/>
      <c r="I1180" s="11" t="s">
        <v>3</v>
      </c>
      <c r="K1180" s="3"/>
      <c r="L1180" s="3"/>
      <c r="M1180" s="136"/>
      <c r="N1180" s="88"/>
      <c r="O1180" s="88"/>
      <c r="P1180" s="88"/>
      <c r="Q1180" s="88"/>
      <c r="R1180" s="88"/>
      <c r="S1180" s="88"/>
      <c r="T1180" s="88"/>
      <c r="U1180" s="88"/>
      <c r="V1180" s="88"/>
      <c r="W1180" s="88"/>
      <c r="X1180" s="88"/>
      <c r="Y1180" s="410"/>
      <c r="Z1180" s="438"/>
      <c r="AA1180" s="438"/>
      <c r="AB1180" s="438"/>
    </row>
    <row r="1181" spans="1:32" hidden="1">
      <c r="A1181" s="2">
        <v>45509</v>
      </c>
      <c r="B1181" s="384">
        <v>45584</v>
      </c>
      <c r="C1181" s="27">
        <v>240806</v>
      </c>
      <c r="D1181" s="20" t="str">
        <f t="shared" si="586"/>
        <v>加藤木材工業 本社</v>
      </c>
      <c r="E1181" s="20" t="str">
        <f t="shared" si="587"/>
        <v>NGUYEN THE HAO</v>
      </c>
      <c r="F1181" s="20" t="str">
        <f t="shared" si="588"/>
        <v>グエン　テー　ハオ</v>
      </c>
      <c r="G1181" s="11"/>
      <c r="H1181" s="11"/>
      <c r="I1181" s="11">
        <v>20000</v>
      </c>
      <c r="J1181" s="64"/>
      <c r="O1181" s="81"/>
      <c r="P1181" s="81"/>
      <c r="Q1181" s="81"/>
      <c r="R1181" s="81">
        <v>17419</v>
      </c>
      <c r="S1181" s="81">
        <f>20000+20000</f>
        <v>40000</v>
      </c>
      <c r="T1181" s="81">
        <v>20000</v>
      </c>
      <c r="U1181" s="81">
        <v>20000</v>
      </c>
      <c r="V1181" s="81">
        <v>0</v>
      </c>
      <c r="W1181" s="81">
        <v>0</v>
      </c>
      <c r="X1181" s="81">
        <v>0</v>
      </c>
      <c r="Y1181" s="413">
        <v>0</v>
      </c>
      <c r="Z1181" s="441">
        <v>0</v>
      </c>
      <c r="AA1181" s="441">
        <v>0</v>
      </c>
      <c r="AB1181" s="441">
        <v>0</v>
      </c>
    </row>
    <row r="1182" spans="1:32">
      <c r="A1182" s="2">
        <v>45524</v>
      </c>
      <c r="B1182" s="384">
        <v>45918</v>
      </c>
      <c r="C1182" s="27">
        <v>240813</v>
      </c>
      <c r="D1182" s="20" t="str">
        <f t="shared" ref="D1182:D1187" si="589">IF(C1182="","",_xlfn.XLOOKUP(C1182,社員№,派遣先,"",0,-1))</f>
        <v>加藤木材工業 本社</v>
      </c>
      <c r="E1182" s="20" t="str">
        <f t="shared" ref="E1182:E1187" si="590">IF(C1182="","",_xlfn.XLOOKUP(C1182,社員№,氏名,"",0,-1))</f>
        <v>VU DUONG LINH</v>
      </c>
      <c r="F1182" s="20" t="str">
        <f t="shared" ref="F1182:F1187" si="591">IF(C1182="","",_xlfn.XLOOKUP(C1182,社員№,カナ,"",0,-1))</f>
        <v>ヴ　ヅオン　リン</v>
      </c>
      <c r="G1182" s="11"/>
      <c r="H1182" s="11"/>
      <c r="I1182" s="11">
        <v>20000</v>
      </c>
      <c r="J1182" s="64"/>
      <c r="O1182" s="81"/>
      <c r="P1182" s="81"/>
      <c r="Q1182" s="81"/>
      <c r="R1182" s="81">
        <v>7742</v>
      </c>
      <c r="S1182" s="81">
        <v>20000</v>
      </c>
      <c r="T1182" s="81">
        <v>20000</v>
      </c>
      <c r="U1182" s="81">
        <v>20000</v>
      </c>
      <c r="V1182" s="81">
        <v>20000</v>
      </c>
      <c r="W1182" s="81">
        <v>20000</v>
      </c>
      <c r="X1182" s="81">
        <v>20000</v>
      </c>
      <c r="Y1182" s="413">
        <v>20000</v>
      </c>
      <c r="Z1182" s="441">
        <v>20000</v>
      </c>
      <c r="AA1182" s="441">
        <v>20000</v>
      </c>
      <c r="AB1182" s="441">
        <v>20000</v>
      </c>
      <c r="AC1182" s="441">
        <v>20000</v>
      </c>
      <c r="AD1182" s="441">
        <v>20000</v>
      </c>
      <c r="AE1182" s="437">
        <v>20000</v>
      </c>
      <c r="AF1182" s="437">
        <v>20000</v>
      </c>
    </row>
    <row r="1183" spans="1:32" hidden="1">
      <c r="A1183" s="145">
        <v>45640</v>
      </c>
      <c r="B1183" s="376">
        <v>45716</v>
      </c>
      <c r="C1183" s="27">
        <v>240801</v>
      </c>
      <c r="D1183" s="20" t="str">
        <f t="shared" si="589"/>
        <v>加藤木材工業 本社</v>
      </c>
      <c r="E1183" s="20" t="str">
        <f t="shared" si="590"/>
        <v>NGUYEN THANH Y</v>
      </c>
      <c r="F1183" s="20" t="str">
        <f t="shared" si="591"/>
        <v>グエン　タン　イー</v>
      </c>
      <c r="G1183" s="11" t="s">
        <v>964</v>
      </c>
      <c r="H1183" s="11"/>
      <c r="I1183" s="11">
        <v>20000</v>
      </c>
      <c r="J1183" s="64"/>
      <c r="O1183" s="81"/>
      <c r="P1183" s="81"/>
      <c r="Q1183" s="81"/>
      <c r="R1183" s="81"/>
      <c r="S1183" s="81"/>
      <c r="T1183" s="81"/>
      <c r="U1183" s="81"/>
      <c r="V1183" s="81">
        <f>13512+11613</f>
        <v>25125</v>
      </c>
      <c r="W1183" s="81">
        <v>20000</v>
      </c>
      <c r="X1183" s="81">
        <v>20000</v>
      </c>
      <c r="Y1183" s="413">
        <v>0</v>
      </c>
      <c r="Z1183" s="441">
        <v>0</v>
      </c>
      <c r="AA1183" s="441">
        <v>0</v>
      </c>
      <c r="AB1183" s="441">
        <v>0</v>
      </c>
      <c r="AC1183" s="441"/>
      <c r="AD1183" s="441">
        <v>20000</v>
      </c>
      <c r="AE1183" s="437">
        <v>20000</v>
      </c>
      <c r="AF1183" s="437">
        <v>20000</v>
      </c>
    </row>
    <row r="1184" spans="1:32" hidden="1">
      <c r="A1184" s="145">
        <v>45674</v>
      </c>
      <c r="B1184" s="376">
        <v>45689</v>
      </c>
      <c r="C1184" s="27">
        <v>250116</v>
      </c>
      <c r="D1184" s="20" t="str">
        <f t="shared" si="589"/>
        <v>加藤木材工業 本社</v>
      </c>
      <c r="E1184" s="20" t="str">
        <f t="shared" si="590"/>
        <v>DANG DINH DUC</v>
      </c>
      <c r="F1184" s="20" t="str">
        <f t="shared" si="591"/>
        <v>ダン　ディン　ドゥック</v>
      </c>
      <c r="G1184" s="3"/>
      <c r="H1184" s="3"/>
      <c r="I1184" s="11">
        <v>20000</v>
      </c>
      <c r="J1184" s="75"/>
      <c r="K1184" s="3"/>
      <c r="L1184" s="3"/>
      <c r="M1184" s="95"/>
      <c r="N1184" s="95"/>
      <c r="O1184" s="95"/>
      <c r="P1184" s="95"/>
      <c r="Q1184" s="95"/>
      <c r="R1184" s="95"/>
      <c r="S1184" s="95"/>
      <c r="T1184" s="95"/>
      <c r="U1184" s="95"/>
      <c r="V1184" s="95"/>
      <c r="W1184" s="95">
        <v>9677</v>
      </c>
      <c r="X1184" s="95">
        <v>0</v>
      </c>
      <c r="Y1184" s="429">
        <v>0</v>
      </c>
      <c r="Z1184" s="463">
        <v>0</v>
      </c>
      <c r="AA1184" s="463">
        <v>0</v>
      </c>
      <c r="AB1184" s="463">
        <v>0</v>
      </c>
      <c r="AC1184" s="441"/>
      <c r="AD1184" s="441">
        <v>20000</v>
      </c>
      <c r="AE1184" s="437">
        <v>20000</v>
      </c>
      <c r="AF1184" s="437">
        <v>20000</v>
      </c>
    </row>
    <row r="1185" spans="1:35" hidden="1">
      <c r="A1185" s="145">
        <v>45689</v>
      </c>
      <c r="B1185" s="376">
        <v>45716</v>
      </c>
      <c r="C1185" s="27">
        <v>230704</v>
      </c>
      <c r="D1185" s="20" t="str">
        <f t="shared" si="589"/>
        <v>加藤木材工業 本社</v>
      </c>
      <c r="E1185" s="20" t="str">
        <f t="shared" si="590"/>
        <v>DO VAN HIEP</v>
      </c>
      <c r="F1185" s="20" t="str">
        <f t="shared" si="591"/>
        <v>ド　ヴァン　ヒエップ</v>
      </c>
      <c r="G1185" s="11"/>
      <c r="H1185" s="11"/>
      <c r="I1185" s="11">
        <v>20000</v>
      </c>
      <c r="J1185" s="64"/>
      <c r="O1185" s="81"/>
      <c r="P1185" s="81"/>
      <c r="Q1185" s="81"/>
      <c r="R1185" s="81"/>
      <c r="S1185" s="81"/>
      <c r="T1185" s="81"/>
      <c r="U1185" s="81"/>
      <c r="V1185" s="81"/>
      <c r="W1185" s="396" t="s">
        <v>925</v>
      </c>
      <c r="X1185" s="395">
        <f>20000-10113</f>
        <v>9887</v>
      </c>
      <c r="Y1185" s="413">
        <v>0</v>
      </c>
      <c r="Z1185" s="441">
        <v>0</v>
      </c>
      <c r="AA1185" s="441">
        <v>0</v>
      </c>
      <c r="AB1185" s="441">
        <v>0</v>
      </c>
      <c r="AC1185" s="441"/>
      <c r="AD1185" s="441">
        <v>20000</v>
      </c>
      <c r="AE1185" s="437">
        <v>20000</v>
      </c>
      <c r="AF1185" s="437">
        <v>20000</v>
      </c>
    </row>
    <row r="1186" spans="1:35">
      <c r="A1186" s="145">
        <v>45717</v>
      </c>
      <c r="B1186" s="376"/>
      <c r="C1186" s="27">
        <v>230910</v>
      </c>
      <c r="D1186" s="20" t="str">
        <f t="shared" si="589"/>
        <v>加藤木材工業 本社</v>
      </c>
      <c r="E1186" s="20" t="str">
        <f t="shared" si="590"/>
        <v>TRAN THANH VAN</v>
      </c>
      <c r="F1186" s="20" t="str">
        <f t="shared" si="591"/>
        <v>チャン　タン　バン</v>
      </c>
      <c r="G1186" s="11"/>
      <c r="H1186" s="11"/>
      <c r="I1186" s="11">
        <v>20000</v>
      </c>
      <c r="J1186" s="64"/>
      <c r="O1186" s="81"/>
      <c r="P1186" s="81"/>
      <c r="Q1186" s="81"/>
      <c r="R1186" s="81"/>
      <c r="S1186" s="81"/>
      <c r="T1186" s="81"/>
      <c r="U1186" s="81"/>
      <c r="V1186" s="81"/>
      <c r="W1186" s="81"/>
      <c r="X1186" s="81">
        <v>0</v>
      </c>
      <c r="Y1186" s="413">
        <v>20000</v>
      </c>
      <c r="Z1186" s="441">
        <v>20000</v>
      </c>
      <c r="AA1186" s="441">
        <v>20000</v>
      </c>
      <c r="AB1186" s="441">
        <v>20000</v>
      </c>
      <c r="AC1186" s="441">
        <v>20000</v>
      </c>
      <c r="AD1186" s="441">
        <v>20000</v>
      </c>
      <c r="AE1186" s="437">
        <v>20000</v>
      </c>
      <c r="AF1186" s="437">
        <v>20000</v>
      </c>
      <c r="AG1186" s="437">
        <v>20000</v>
      </c>
      <c r="AH1186" s="437">
        <v>20000</v>
      </c>
      <c r="AI1186" s="437">
        <v>20000</v>
      </c>
    </row>
    <row r="1187" spans="1:35">
      <c r="A1187" s="145">
        <v>45856</v>
      </c>
      <c r="B1187" s="376"/>
      <c r="C1187" s="27">
        <v>250706</v>
      </c>
      <c r="D1187" s="20" t="str">
        <f t="shared" si="589"/>
        <v>加藤木材工業 本社</v>
      </c>
      <c r="E1187" s="20" t="str">
        <f t="shared" si="590"/>
        <v>HO VIET PHANG</v>
      </c>
      <c r="F1187" s="20" t="str">
        <f t="shared" si="591"/>
        <v>ホー　ヴェット　ファン</v>
      </c>
      <c r="G1187" s="11"/>
      <c r="H1187" s="11"/>
      <c r="I1187" s="11"/>
      <c r="J1187" s="64"/>
      <c r="O1187" s="81"/>
      <c r="P1187" s="81"/>
      <c r="Q1187" s="81"/>
      <c r="R1187" s="81"/>
      <c r="S1187" s="81"/>
      <c r="T1187" s="81"/>
      <c r="U1187" s="81"/>
      <c r="V1187" s="81"/>
      <c r="W1187" s="81"/>
      <c r="X1187" s="81"/>
      <c r="Y1187" s="413"/>
      <c r="Z1187" s="441"/>
      <c r="AA1187" s="441"/>
      <c r="AB1187" s="441"/>
      <c r="AC1187" s="487">
        <v>9680</v>
      </c>
      <c r="AD1187" s="475">
        <v>29680</v>
      </c>
      <c r="AE1187" s="437">
        <v>20000</v>
      </c>
      <c r="AF1187" s="437">
        <v>20000</v>
      </c>
      <c r="AG1187" s="437">
        <v>20000</v>
      </c>
      <c r="AH1187" s="437">
        <v>20000</v>
      </c>
      <c r="AI1187" s="437">
        <v>20000</v>
      </c>
    </row>
    <row r="1188" spans="1:35">
      <c r="F1188" s="160"/>
      <c r="G1188" s="10"/>
      <c r="H1188" s="10"/>
      <c r="I1188" s="10"/>
      <c r="K1188" s="105"/>
      <c r="L1188" s="105"/>
      <c r="M1188" s="135"/>
      <c r="N1188" s="88"/>
      <c r="O1188" s="88"/>
      <c r="P1188" s="88"/>
      <c r="Q1188" s="88"/>
      <c r="R1188" s="88"/>
      <c r="S1188" s="88"/>
      <c r="T1188" s="88"/>
      <c r="U1188" s="88"/>
      <c r="V1188" s="88"/>
      <c r="W1188" s="88"/>
      <c r="X1188" s="88"/>
      <c r="Y1188" s="410"/>
      <c r="Z1188" s="438"/>
      <c r="AA1188" s="438"/>
      <c r="AB1188" s="438"/>
    </row>
    <row r="1189" spans="1:35">
      <c r="A1189" s="147"/>
      <c r="C1189" s="36"/>
      <c r="D1189" s="36"/>
      <c r="E1189" s="36" t="s">
        <v>560</v>
      </c>
      <c r="F1189" s="162"/>
      <c r="G1189" s="211">
        <v>60230</v>
      </c>
      <c r="H1189" s="211">
        <v>66000</v>
      </c>
      <c r="I1189" s="211" t="s">
        <v>574</v>
      </c>
      <c r="K1189" s="3"/>
      <c r="L1189" s="3"/>
      <c r="M1189" s="136"/>
      <c r="N1189" s="88"/>
      <c r="O1189" s="88"/>
      <c r="P1189" s="88"/>
      <c r="Q1189" s="88"/>
      <c r="R1189" s="88"/>
      <c r="S1189" s="88"/>
      <c r="T1189" s="88"/>
      <c r="U1189" s="88"/>
      <c r="V1189" s="88"/>
      <c r="W1189" s="88"/>
      <c r="X1189" s="88"/>
      <c r="Y1189" s="410"/>
      <c r="Z1189" s="438"/>
      <c r="AA1189" s="438"/>
      <c r="AB1189" s="438"/>
    </row>
    <row r="1190" spans="1:35">
      <c r="A1190" s="145" t="s">
        <v>1</v>
      </c>
      <c r="B1190" s="376" t="s">
        <v>529</v>
      </c>
      <c r="C1190" s="27" t="s">
        <v>2</v>
      </c>
      <c r="D1190" s="27" t="s">
        <v>2532</v>
      </c>
      <c r="E1190" s="27" t="s">
        <v>2433</v>
      </c>
      <c r="F1190" s="165"/>
      <c r="G1190" s="11"/>
      <c r="H1190" s="11"/>
      <c r="I1190" s="11" t="s">
        <v>3</v>
      </c>
      <c r="J1190" s="203" t="s">
        <v>566</v>
      </c>
      <c r="O1190" s="81"/>
      <c r="P1190" s="81"/>
      <c r="Q1190" s="81"/>
      <c r="R1190" s="81"/>
      <c r="S1190" s="81"/>
      <c r="T1190" s="81"/>
      <c r="U1190" s="81"/>
      <c r="V1190" s="81"/>
      <c r="W1190" s="81"/>
      <c r="X1190" s="81"/>
      <c r="Y1190" s="413"/>
      <c r="Z1190" s="441"/>
      <c r="AA1190" s="441"/>
      <c r="AB1190" s="441"/>
    </row>
    <row r="1191" spans="1:35">
      <c r="A1191" s="2">
        <v>45525</v>
      </c>
      <c r="B1191" s="384"/>
      <c r="C1191" s="27">
        <v>240815</v>
      </c>
      <c r="D1191" s="20" t="str">
        <f t="shared" si="586"/>
        <v>加藤木材工業 本社</v>
      </c>
      <c r="E1191" s="20" t="str">
        <f t="shared" si="587"/>
        <v>DANG VAN MUOI</v>
      </c>
      <c r="F1191" s="20" t="str">
        <f t="shared" si="588"/>
        <v>ダン　バン　ムオイ</v>
      </c>
      <c r="G1191" s="11"/>
      <c r="H1191" s="11"/>
      <c r="I1191" s="11">
        <v>32500</v>
      </c>
      <c r="J1191" s="64">
        <v>22000</v>
      </c>
      <c r="O1191" s="81"/>
      <c r="P1191" s="81"/>
      <c r="Q1191" s="81"/>
      <c r="R1191" s="81">
        <v>11532</v>
      </c>
      <c r="S1191" s="81">
        <v>22000</v>
      </c>
      <c r="T1191" s="81">
        <v>22000</v>
      </c>
      <c r="U1191" s="81">
        <v>22000</v>
      </c>
      <c r="V1191" s="81">
        <v>22000</v>
      </c>
      <c r="W1191" s="81">
        <v>22000</v>
      </c>
      <c r="X1191" s="81">
        <v>22000</v>
      </c>
      <c r="Y1191" s="413">
        <v>22000</v>
      </c>
      <c r="Z1191" s="441">
        <v>22000</v>
      </c>
      <c r="AA1191" s="441">
        <v>22000</v>
      </c>
      <c r="AB1191" s="441">
        <v>22000</v>
      </c>
      <c r="AC1191" s="441">
        <v>22000</v>
      </c>
      <c r="AD1191" s="441">
        <v>22000</v>
      </c>
      <c r="AE1191" s="437">
        <v>22000</v>
      </c>
      <c r="AF1191" s="437">
        <v>22000</v>
      </c>
      <c r="AG1191" s="437">
        <v>22000</v>
      </c>
      <c r="AH1191" s="437">
        <v>22000</v>
      </c>
      <c r="AI1191" s="437">
        <v>22000</v>
      </c>
    </row>
    <row r="1192" spans="1:35">
      <c r="A1192" s="2">
        <v>45536</v>
      </c>
      <c r="B1192" s="384"/>
      <c r="C1192" s="27">
        <v>240902</v>
      </c>
      <c r="D1192" s="20" t="str">
        <f t="shared" ref="D1192:D1193" si="592">IF(C1192="","",_xlfn.XLOOKUP(C1192,社員№,派遣先,"",0,-1))</f>
        <v>加藤木材工業 春日井</v>
      </c>
      <c r="E1192" s="20" t="str">
        <f t="shared" ref="E1192:E1193" si="593">IF(C1192="","",_xlfn.XLOOKUP(C1192,社員№,氏名,"",0,-1))</f>
        <v>PHAM HUU CUONG</v>
      </c>
      <c r="F1192" s="20" t="str">
        <f t="shared" ref="F1192:F1193" si="594">IF(C1192="","",_xlfn.XLOOKUP(C1192,社員№,カナ,"",0,-1))</f>
        <v>ファム　ヒゥ　クオン</v>
      </c>
      <c r="G1192" s="11"/>
      <c r="H1192" s="11"/>
      <c r="I1192" s="11">
        <v>32500</v>
      </c>
      <c r="J1192" s="64">
        <v>22000</v>
      </c>
      <c r="O1192" s="81"/>
      <c r="P1192" s="81"/>
      <c r="Q1192" s="81"/>
      <c r="R1192" s="81"/>
      <c r="S1192" s="81">
        <v>22000</v>
      </c>
      <c r="T1192" s="81">
        <v>22000</v>
      </c>
      <c r="U1192" s="81">
        <v>22000</v>
      </c>
      <c r="V1192" s="81">
        <v>22000</v>
      </c>
      <c r="W1192" s="81">
        <v>22000</v>
      </c>
      <c r="X1192" s="81">
        <v>22000</v>
      </c>
      <c r="Y1192" s="413">
        <v>22000</v>
      </c>
      <c r="Z1192" s="441">
        <v>22000</v>
      </c>
      <c r="AA1192" s="441">
        <v>22000</v>
      </c>
      <c r="AB1192" s="441">
        <v>22000</v>
      </c>
      <c r="AC1192" s="441">
        <v>22000</v>
      </c>
      <c r="AD1192" s="441">
        <v>22000</v>
      </c>
      <c r="AE1192" s="437">
        <v>22000</v>
      </c>
      <c r="AF1192" s="437">
        <v>22000</v>
      </c>
      <c r="AG1192" s="437">
        <v>22000</v>
      </c>
      <c r="AH1192" s="437">
        <v>22000</v>
      </c>
      <c r="AI1192" s="437">
        <v>22000</v>
      </c>
    </row>
    <row r="1193" spans="1:35">
      <c r="A1193" s="2">
        <v>45534</v>
      </c>
      <c r="B1193" s="384"/>
      <c r="C1193" s="27">
        <v>240904</v>
      </c>
      <c r="D1193" s="20" t="str">
        <f t="shared" si="592"/>
        <v>加藤木材工業 本社</v>
      </c>
      <c r="E1193" s="20" t="str">
        <f t="shared" si="593"/>
        <v>TRAN THE AN</v>
      </c>
      <c r="F1193" s="20" t="str">
        <f t="shared" si="594"/>
        <v>チャン　テー　アン</v>
      </c>
      <c r="G1193" s="11"/>
      <c r="H1193" s="11"/>
      <c r="I1193" s="11"/>
      <c r="J1193" s="64">
        <v>22000</v>
      </c>
      <c r="O1193" s="81"/>
      <c r="P1193" s="81"/>
      <c r="Q1193" s="81"/>
      <c r="R1193" s="81"/>
      <c r="S1193" s="81">
        <f>2097+22000</f>
        <v>24097</v>
      </c>
      <c r="T1193" s="81">
        <v>22000</v>
      </c>
      <c r="U1193" s="81">
        <v>22000</v>
      </c>
      <c r="V1193" s="81">
        <v>22000</v>
      </c>
      <c r="W1193" s="81">
        <v>22000</v>
      </c>
      <c r="X1193" s="81">
        <v>22000</v>
      </c>
      <c r="Y1193" s="413">
        <v>22000</v>
      </c>
      <c r="Z1193" s="441">
        <v>22000</v>
      </c>
      <c r="AA1193" s="441">
        <v>22000</v>
      </c>
      <c r="AB1193" s="441">
        <v>22000</v>
      </c>
      <c r="AC1193" s="441">
        <v>22000</v>
      </c>
      <c r="AD1193" s="441">
        <v>22000</v>
      </c>
      <c r="AE1193" s="437">
        <v>22000</v>
      </c>
      <c r="AF1193" s="437">
        <v>22000</v>
      </c>
      <c r="AG1193" s="437">
        <v>22000</v>
      </c>
      <c r="AH1193" s="437">
        <v>22000</v>
      </c>
      <c r="AI1193" s="437">
        <v>22000</v>
      </c>
    </row>
    <row r="1194" spans="1:35">
      <c r="A1194" s="13"/>
      <c r="B1194"/>
      <c r="C1194"/>
      <c r="D1194"/>
      <c r="E1194"/>
      <c r="F1194"/>
      <c r="G1194"/>
      <c r="H1194"/>
      <c r="I1194"/>
      <c r="J1194"/>
      <c r="K1194"/>
      <c r="L1194"/>
      <c r="M1194"/>
      <c r="N1194"/>
      <c r="O1194"/>
      <c r="P1194"/>
      <c r="Q1194"/>
      <c r="R1194"/>
      <c r="S1194"/>
      <c r="T1194"/>
      <c r="U1194"/>
      <c r="V1194"/>
      <c r="W1194"/>
      <c r="X1194"/>
      <c r="Y1194" s="430"/>
      <c r="Z1194" s="464"/>
      <c r="AA1194" s="464"/>
      <c r="AB1194" s="464"/>
    </row>
    <row r="1195" spans="1:35">
      <c r="A1195" s="147"/>
      <c r="C1195" s="36"/>
      <c r="D1195" s="36"/>
      <c r="E1195" s="36" t="s">
        <v>2529</v>
      </c>
      <c r="F1195" s="162"/>
      <c r="G1195" s="211">
        <v>45638</v>
      </c>
      <c r="H1195" s="211">
        <v>51000</v>
      </c>
      <c r="I1195" s="211" t="s">
        <v>1007</v>
      </c>
      <c r="K1195" s="3"/>
      <c r="L1195" s="3"/>
      <c r="M1195" s="136"/>
      <c r="N1195" s="88"/>
      <c r="O1195" s="88"/>
      <c r="P1195" s="88"/>
      <c r="Q1195" s="88"/>
      <c r="R1195" s="88"/>
      <c r="S1195" s="88"/>
      <c r="T1195" s="88"/>
      <c r="U1195" s="88"/>
      <c r="V1195" s="88"/>
      <c r="W1195" s="88"/>
      <c r="X1195" s="88"/>
      <c r="Y1195" s="410"/>
      <c r="Z1195" s="438"/>
      <c r="AA1195" s="438"/>
      <c r="AB1195" s="438"/>
    </row>
    <row r="1196" spans="1:35">
      <c r="A1196" s="145" t="s">
        <v>1</v>
      </c>
      <c r="B1196" s="376" t="s">
        <v>529</v>
      </c>
      <c r="C1196" s="27" t="s">
        <v>2</v>
      </c>
      <c r="D1196" s="27" t="s">
        <v>2532</v>
      </c>
      <c r="E1196" s="27" t="s">
        <v>2433</v>
      </c>
      <c r="F1196" s="165"/>
      <c r="G1196" s="11"/>
      <c r="H1196" s="11"/>
      <c r="I1196" s="11" t="s">
        <v>3</v>
      </c>
      <c r="J1196" s="203"/>
      <c r="O1196" s="81"/>
      <c r="P1196" s="81"/>
      <c r="Q1196" s="81"/>
      <c r="R1196" s="81"/>
      <c r="S1196" s="81"/>
      <c r="T1196" s="81"/>
      <c r="U1196" s="81"/>
      <c r="V1196" s="81"/>
      <c r="W1196" s="81"/>
      <c r="X1196" s="81"/>
      <c r="Y1196" s="413"/>
      <c r="Z1196" s="441"/>
      <c r="AA1196" s="441"/>
      <c r="AB1196" s="441"/>
    </row>
    <row r="1197" spans="1:35">
      <c r="A1197" s="145">
        <v>45717</v>
      </c>
      <c r="B1197" s="376"/>
      <c r="C1197" s="27">
        <v>240801</v>
      </c>
      <c r="D1197" s="20" t="str">
        <f t="shared" si="586"/>
        <v>加藤木材工業 本社</v>
      </c>
      <c r="E1197" s="20" t="str">
        <f t="shared" si="587"/>
        <v>NGUYEN THANH Y</v>
      </c>
      <c r="F1197" s="20" t="str">
        <f t="shared" si="588"/>
        <v>グエン　タン　イー</v>
      </c>
      <c r="G1197" s="11"/>
      <c r="H1197" s="11"/>
      <c r="I1197" s="11">
        <v>25500</v>
      </c>
      <c r="J1197" s="64"/>
      <c r="O1197" s="81"/>
      <c r="P1197" s="81"/>
      <c r="Q1197" s="81"/>
      <c r="R1197" s="81"/>
      <c r="S1197" s="81"/>
      <c r="T1197" s="81"/>
      <c r="U1197" s="81"/>
      <c r="V1197" s="81"/>
      <c r="W1197" s="81"/>
      <c r="X1197" s="81">
        <v>0</v>
      </c>
      <c r="Y1197" s="413">
        <v>25500</v>
      </c>
      <c r="Z1197" s="441">
        <v>25500</v>
      </c>
      <c r="AA1197" s="441">
        <v>25500</v>
      </c>
      <c r="AB1197" s="441">
        <v>25500</v>
      </c>
      <c r="AC1197" s="441">
        <v>25500</v>
      </c>
      <c r="AD1197" s="441">
        <v>25500</v>
      </c>
      <c r="AE1197" s="437">
        <v>25500</v>
      </c>
      <c r="AF1197" s="437">
        <v>25500</v>
      </c>
      <c r="AG1197" s="437">
        <v>25500</v>
      </c>
      <c r="AH1197" s="437">
        <v>25500</v>
      </c>
      <c r="AI1197" s="437">
        <v>25500</v>
      </c>
    </row>
    <row r="1198" spans="1:35">
      <c r="A1198" s="145">
        <v>45717</v>
      </c>
      <c r="B1198" s="376">
        <v>45953</v>
      </c>
      <c r="C1198" s="27">
        <v>250221</v>
      </c>
      <c r="D1198" s="20" t="str">
        <f t="shared" ref="D1198:D1199" si="595">IF(C1198="","",_xlfn.XLOOKUP(C1198,社員№,派遣先,"",0,-1))</f>
        <v>加藤木材工業 本社</v>
      </c>
      <c r="E1198" s="20" t="str">
        <f t="shared" ref="E1198:E1199" si="596">IF(C1198="","",_xlfn.XLOOKUP(C1198,社員№,氏名,"",0,-1))</f>
        <v>NGUYEN VANG DANG</v>
      </c>
      <c r="F1198" s="20" t="str">
        <f t="shared" ref="F1198:F1199" si="597">IF(C1198="","",_xlfn.XLOOKUP(C1198,社員№,カナ,"",0,-1))</f>
        <v>グエン　ヴァン　ダン</v>
      </c>
      <c r="G1198" s="11"/>
      <c r="H1198" s="11"/>
      <c r="I1198" s="11">
        <v>25500</v>
      </c>
      <c r="J1198" s="64"/>
      <c r="O1198" s="81"/>
      <c r="P1198" s="81"/>
      <c r="Q1198" s="81"/>
      <c r="R1198" s="81"/>
      <c r="S1198" s="81"/>
      <c r="T1198" s="81"/>
      <c r="U1198" s="81"/>
      <c r="V1198" s="81"/>
      <c r="W1198" s="81"/>
      <c r="X1198" s="81">
        <v>0</v>
      </c>
      <c r="Y1198" s="413">
        <v>25500</v>
      </c>
      <c r="Z1198" s="441">
        <v>25500</v>
      </c>
      <c r="AA1198" s="441">
        <v>25500</v>
      </c>
      <c r="AB1198" s="441">
        <v>25500</v>
      </c>
      <c r="AC1198" s="441">
        <v>25500</v>
      </c>
      <c r="AD1198" s="441">
        <v>25500</v>
      </c>
      <c r="AE1198" s="437">
        <v>25500</v>
      </c>
      <c r="AF1198" s="437">
        <v>45500</v>
      </c>
      <c r="AG1198" s="522">
        <v>-10000</v>
      </c>
      <c r="AH1198" s="508">
        <v>0</v>
      </c>
    </row>
    <row r="1199" spans="1:35">
      <c r="A1199" s="145">
        <v>46006</v>
      </c>
      <c r="B1199" s="376"/>
      <c r="C1199" s="27">
        <v>240602</v>
      </c>
      <c r="D1199" s="20" t="str">
        <f t="shared" si="595"/>
        <v>加藤木材工業 春日井</v>
      </c>
      <c r="E1199" s="20" t="str">
        <f t="shared" si="596"/>
        <v>NGUYEN VAN TU</v>
      </c>
      <c r="F1199" s="20" t="str">
        <f t="shared" si="597"/>
        <v>グエン　バン　トゥ</v>
      </c>
      <c r="G1199" s="11"/>
      <c r="H1199" s="11"/>
      <c r="I1199" s="11"/>
      <c r="J1199" s="64"/>
      <c r="O1199" s="81"/>
      <c r="P1199" s="81"/>
      <c r="Q1199" s="81"/>
      <c r="R1199" s="81"/>
      <c r="S1199" s="81"/>
      <c r="T1199" s="81"/>
      <c r="U1199" s="81"/>
      <c r="V1199" s="81"/>
      <c r="W1199" s="81"/>
      <c r="X1199" s="81"/>
      <c r="Y1199" s="413"/>
      <c r="Z1199" s="441"/>
      <c r="AA1199" s="441"/>
      <c r="AB1199" s="441"/>
      <c r="AC1199" s="441"/>
      <c r="AD1199" s="441"/>
      <c r="AE1199" s="441"/>
      <c r="AF1199" s="441"/>
      <c r="AG1199" s="522"/>
      <c r="AH1199" s="508">
        <v>26697</v>
      </c>
      <c r="AI1199" s="487">
        <v>25500</v>
      </c>
    </row>
    <row r="1200" spans="1:35">
      <c r="A1200" s="13"/>
      <c r="B1200"/>
      <c r="C1200"/>
      <c r="D1200"/>
      <c r="E1200"/>
      <c r="F1200"/>
      <c r="G1200"/>
      <c r="H1200"/>
      <c r="I1200"/>
      <c r="J1200"/>
      <c r="K1200"/>
      <c r="L1200"/>
      <c r="M1200"/>
      <c r="N1200"/>
      <c r="O1200"/>
      <c r="P1200"/>
      <c r="Q1200"/>
      <c r="R1200"/>
      <c r="S1200"/>
      <c r="T1200"/>
      <c r="U1200"/>
      <c r="V1200"/>
      <c r="W1200"/>
      <c r="X1200"/>
      <c r="Y1200" s="430"/>
      <c r="Z1200" s="464"/>
      <c r="AA1200" s="464"/>
      <c r="AB1200" s="464"/>
      <c r="AF1200" s="538"/>
    </row>
    <row r="1201" spans="1:28" hidden="1">
      <c r="C1201" s="28"/>
      <c r="D1201" s="28"/>
      <c r="E1201" s="28" t="s">
        <v>2530</v>
      </c>
      <c r="F1201" s="174"/>
      <c r="G1201" s="211">
        <v>25000</v>
      </c>
      <c r="H1201" s="211">
        <v>30000</v>
      </c>
      <c r="I1201" s="211" t="s">
        <v>582</v>
      </c>
      <c r="J1201" s="400" t="s">
        <v>897</v>
      </c>
      <c r="M1201" s="130"/>
      <c r="N1201" s="88"/>
      <c r="O1201" s="88"/>
      <c r="P1201" s="88"/>
      <c r="Q1201" s="88"/>
      <c r="R1201" s="88"/>
      <c r="S1201" s="88"/>
      <c r="T1201" s="88"/>
      <c r="U1201" s="88"/>
      <c r="V1201" s="88"/>
      <c r="W1201" s="88"/>
      <c r="X1201" s="88"/>
      <c r="Y1201" s="410"/>
      <c r="Z1201" s="438"/>
      <c r="AA1201" s="438"/>
      <c r="AB1201" s="438"/>
    </row>
    <row r="1202" spans="1:28" hidden="1">
      <c r="A1202" s="145" t="s">
        <v>1</v>
      </c>
      <c r="B1202" s="376" t="s">
        <v>529</v>
      </c>
      <c r="C1202" s="27" t="s">
        <v>2</v>
      </c>
      <c r="D1202" s="27" t="s">
        <v>2532</v>
      </c>
      <c r="E1202" s="27" t="s">
        <v>2433</v>
      </c>
      <c r="F1202" s="165"/>
      <c r="G1202" s="3"/>
      <c r="H1202" s="3"/>
      <c r="I1202" s="3" t="s">
        <v>3</v>
      </c>
      <c r="K1202" s="3"/>
      <c r="L1202" s="3"/>
      <c r="M1202" s="136"/>
      <c r="N1202" s="88"/>
      <c r="O1202" s="88"/>
      <c r="P1202" s="88"/>
      <c r="Q1202" s="88"/>
      <c r="R1202" s="88"/>
      <c r="S1202" s="88"/>
      <c r="T1202" s="88"/>
      <c r="U1202" s="88"/>
      <c r="V1202" s="88"/>
      <c r="W1202" s="88"/>
      <c r="X1202" s="88"/>
      <c r="Y1202" s="410"/>
      <c r="Z1202" s="438"/>
      <c r="AA1202" s="438"/>
      <c r="AB1202" s="438"/>
    </row>
    <row r="1203" spans="1:28" hidden="1">
      <c r="A1203" s="145">
        <v>45457</v>
      </c>
      <c r="B1203" s="376">
        <v>45716</v>
      </c>
      <c r="C1203" s="27">
        <v>240601</v>
      </c>
      <c r="D1203" s="20" t="str">
        <f t="shared" si="586"/>
        <v>アサヒフォージ</v>
      </c>
      <c r="E1203" s="20" t="str">
        <f t="shared" si="587"/>
        <v>DO DUC TUAN</v>
      </c>
      <c r="F1203" s="20" t="str">
        <f t="shared" si="588"/>
        <v>ド　ドゥック　トゥアン</v>
      </c>
      <c r="G1203" s="11"/>
      <c r="H1203" s="11"/>
      <c r="I1203" s="11">
        <v>30000</v>
      </c>
      <c r="J1203" s="64"/>
      <c r="O1203" s="81"/>
      <c r="P1203" s="81">
        <v>16000</v>
      </c>
      <c r="Q1203" s="81">
        <v>30000</v>
      </c>
      <c r="R1203" s="81">
        <v>30000</v>
      </c>
      <c r="S1203" s="81">
        <v>30000</v>
      </c>
      <c r="T1203" s="81">
        <v>30000</v>
      </c>
      <c r="U1203" s="81">
        <v>30000</v>
      </c>
      <c r="V1203" s="81">
        <v>30000</v>
      </c>
      <c r="W1203" s="81">
        <v>30000</v>
      </c>
      <c r="X1203" s="81">
        <f>30000+20000</f>
        <v>50000</v>
      </c>
      <c r="Y1203" s="413">
        <v>0</v>
      </c>
      <c r="Z1203" s="441">
        <v>0</v>
      </c>
      <c r="AA1203" s="441">
        <v>0</v>
      </c>
      <c r="AB1203" s="441">
        <v>0</v>
      </c>
    </row>
    <row r="1204" spans="1:28" hidden="1">
      <c r="F1204" s="160"/>
      <c r="G1204" s="10"/>
      <c r="H1204" s="10"/>
      <c r="I1204" s="10"/>
      <c r="K1204" s="78"/>
      <c r="L1204" s="78"/>
      <c r="M1204" s="132"/>
      <c r="N1204" s="88"/>
      <c r="O1204" s="88"/>
      <c r="P1204" s="88"/>
      <c r="Q1204" s="88"/>
      <c r="R1204" s="88"/>
      <c r="S1204" s="88"/>
      <c r="T1204" s="88"/>
      <c r="U1204" s="88"/>
      <c r="V1204" s="88"/>
      <c r="W1204" s="88"/>
      <c r="X1204" s="88"/>
      <c r="Y1204" s="410"/>
      <c r="Z1204" s="438"/>
      <c r="AA1204" s="438"/>
      <c r="AB1204" s="438"/>
    </row>
    <row r="1205" spans="1:28" hidden="1">
      <c r="F1205" s="160"/>
      <c r="G1205" s="10"/>
      <c r="H1205" s="10"/>
      <c r="I1205" s="10"/>
      <c r="M1205" s="130"/>
      <c r="N1205" s="88"/>
      <c r="O1205" s="88"/>
      <c r="P1205" s="88"/>
      <c r="Q1205" s="88"/>
      <c r="R1205" s="88"/>
      <c r="S1205" s="88"/>
      <c r="T1205" s="88"/>
      <c r="U1205" s="88"/>
      <c r="V1205" s="88"/>
      <c r="W1205" s="88"/>
      <c r="X1205" s="88"/>
      <c r="Y1205" s="410"/>
      <c r="Z1205" s="438"/>
      <c r="AA1205" s="438"/>
      <c r="AB1205" s="438"/>
    </row>
    <row r="1206" spans="1:28">
      <c r="F1206" s="160"/>
      <c r="K1206" s="78"/>
      <c r="L1206" s="78"/>
      <c r="M1206" s="132"/>
      <c r="N1206" s="88"/>
      <c r="O1206" s="88"/>
      <c r="P1206" s="88"/>
      <c r="Q1206" s="88"/>
      <c r="R1206" s="88"/>
      <c r="S1206" s="88"/>
      <c r="T1206" s="88"/>
      <c r="U1206" s="88"/>
      <c r="V1206" s="88"/>
      <c r="W1206" s="88"/>
      <c r="X1206" s="88"/>
      <c r="Y1206" s="410"/>
      <c r="Z1206" s="438"/>
      <c r="AA1206" s="438"/>
      <c r="AB1206" s="438"/>
    </row>
    <row r="1207" spans="1:28">
      <c r="M1207" s="130"/>
      <c r="N1207" s="88"/>
      <c r="O1207" s="88"/>
      <c r="P1207" s="88"/>
      <c r="Q1207" s="88"/>
      <c r="R1207" s="88"/>
      <c r="S1207" s="88"/>
      <c r="T1207" s="88"/>
      <c r="U1207" s="88"/>
      <c r="V1207" s="88"/>
      <c r="W1207" s="88"/>
      <c r="X1207" s="88"/>
      <c r="Y1207" s="410"/>
      <c r="Z1207" s="438"/>
      <c r="AA1207" s="438"/>
      <c r="AB1207" s="438"/>
    </row>
    <row r="1208" spans="1:28">
      <c r="M1208" s="130"/>
      <c r="N1208" s="88"/>
      <c r="O1208" s="88"/>
      <c r="P1208" s="88"/>
      <c r="Q1208" s="88"/>
      <c r="R1208" s="88"/>
      <c r="S1208" s="88"/>
      <c r="T1208" s="88"/>
      <c r="U1208" s="88"/>
      <c r="V1208" s="88"/>
      <c r="W1208" s="88"/>
      <c r="X1208" s="88"/>
      <c r="Y1208" s="410"/>
      <c r="Z1208" s="438"/>
      <c r="AA1208" s="438"/>
      <c r="AB1208" s="438"/>
    </row>
    <row r="1209" spans="1:28">
      <c r="M1209" s="130"/>
      <c r="N1209" s="88"/>
      <c r="O1209" s="88"/>
      <c r="P1209" s="88"/>
      <c r="Q1209" s="88"/>
      <c r="R1209" s="88"/>
      <c r="S1209" s="88"/>
      <c r="T1209" s="88"/>
      <c r="U1209" s="88"/>
      <c r="V1209" s="88"/>
      <c r="W1209" s="88"/>
      <c r="X1209" s="88"/>
      <c r="Y1209" s="410"/>
      <c r="Z1209" s="438"/>
      <c r="AA1209" s="438"/>
      <c r="AB1209" s="438"/>
    </row>
    <row r="1210" spans="1:28">
      <c r="M1210" s="130"/>
      <c r="N1210" s="88"/>
      <c r="O1210" s="88"/>
      <c r="P1210" s="88"/>
      <c r="Q1210" s="88"/>
      <c r="R1210" s="88"/>
      <c r="S1210" s="88"/>
      <c r="T1210" s="88"/>
      <c r="U1210" s="88"/>
      <c r="V1210" s="88"/>
      <c r="W1210" s="88"/>
      <c r="X1210" s="88"/>
      <c r="Y1210" s="410"/>
      <c r="Z1210" s="438"/>
      <c r="AA1210" s="438"/>
      <c r="AB1210" s="438"/>
    </row>
    <row r="1211" spans="1:28">
      <c r="M1211" s="130"/>
      <c r="N1211" s="88"/>
      <c r="O1211" s="88"/>
      <c r="P1211" s="88"/>
      <c r="Q1211" s="88"/>
      <c r="R1211" s="88"/>
      <c r="S1211" s="88"/>
      <c r="T1211" s="88"/>
      <c r="U1211" s="88"/>
      <c r="V1211" s="88"/>
      <c r="W1211" s="88"/>
      <c r="X1211" s="88"/>
      <c r="Y1211" s="410"/>
      <c r="Z1211" s="438"/>
      <c r="AA1211" s="438"/>
      <c r="AB1211" s="438"/>
    </row>
    <row r="1212" spans="1:28">
      <c r="M1212" s="130"/>
      <c r="N1212" s="88"/>
      <c r="O1212" s="88"/>
      <c r="P1212" s="88"/>
      <c r="Q1212" s="88"/>
      <c r="R1212" s="88"/>
      <c r="S1212" s="88"/>
      <c r="T1212" s="88"/>
      <c r="U1212" s="88"/>
      <c r="V1212" s="88"/>
      <c r="W1212" s="88"/>
      <c r="X1212" s="88"/>
      <c r="Y1212" s="410"/>
      <c r="Z1212" s="438"/>
      <c r="AA1212" s="438"/>
      <c r="AB1212" s="438"/>
    </row>
    <row r="1213" spans="1:28">
      <c r="M1213" s="130"/>
      <c r="N1213" s="88"/>
      <c r="O1213" s="88"/>
      <c r="P1213" s="88"/>
      <c r="Q1213" s="88"/>
      <c r="R1213" s="88"/>
      <c r="S1213" s="88"/>
      <c r="T1213" s="88"/>
      <c r="U1213" s="88"/>
      <c r="V1213" s="88"/>
      <c r="W1213" s="88"/>
      <c r="X1213" s="88"/>
      <c r="Y1213" s="410"/>
      <c r="Z1213" s="438"/>
      <c r="AA1213" s="438"/>
      <c r="AB1213" s="438"/>
    </row>
    <row r="1214" spans="1:28">
      <c r="M1214" s="130"/>
      <c r="N1214" s="88"/>
      <c r="O1214" s="88"/>
      <c r="P1214" s="88"/>
      <c r="Q1214" s="88"/>
      <c r="R1214" s="88"/>
      <c r="S1214" s="88"/>
      <c r="T1214" s="88"/>
      <c r="U1214" s="88"/>
      <c r="V1214" s="88"/>
      <c r="W1214" s="88"/>
      <c r="X1214" s="88"/>
      <c r="Y1214" s="410"/>
      <c r="Z1214" s="438"/>
      <c r="AA1214" s="438"/>
      <c r="AB1214" s="438"/>
    </row>
  </sheetData>
  <mergeCells count="3">
    <mergeCell ref="J1126:K1126"/>
    <mergeCell ref="J231:M231"/>
    <mergeCell ref="J1003:K1003"/>
  </mergeCells>
  <phoneticPr fontId="9"/>
  <conditionalFormatting sqref="C484">
    <cfRule type="duplicateValues" dxfId="25" priority="53"/>
  </conditionalFormatting>
  <conditionalFormatting sqref="C631:C634">
    <cfRule type="duplicateValues" dxfId="24" priority="70"/>
    <cfRule type="expression" dxfId="23" priority="71">
      <formula>$A631="退社"</formula>
    </cfRule>
  </conditionalFormatting>
  <conditionalFormatting sqref="C639:C642">
    <cfRule type="duplicateValues" dxfId="22" priority="39"/>
  </conditionalFormatting>
  <conditionalFormatting sqref="C647">
    <cfRule type="duplicateValues" dxfId="21" priority="56"/>
  </conditionalFormatting>
  <conditionalFormatting sqref="C648">
    <cfRule type="duplicateValues" dxfId="20" priority="41"/>
  </conditionalFormatting>
  <conditionalFormatting sqref="C696:C697">
    <cfRule type="duplicateValues" dxfId="19" priority="66"/>
  </conditionalFormatting>
  <conditionalFormatting sqref="C713:C714">
    <cfRule type="duplicateValues" dxfId="18" priority="23"/>
  </conditionalFormatting>
  <conditionalFormatting sqref="C729">
    <cfRule type="duplicateValues" dxfId="17" priority="21"/>
  </conditionalFormatting>
  <conditionalFormatting sqref="C791">
    <cfRule type="duplicateValues" dxfId="16" priority="93"/>
  </conditionalFormatting>
  <conditionalFormatting sqref="C1049:C1050">
    <cfRule type="duplicateValues" dxfId="15" priority="24"/>
  </conditionalFormatting>
  <conditionalFormatting sqref="C1053">
    <cfRule type="duplicateValues" dxfId="14" priority="67"/>
  </conditionalFormatting>
  <conditionalFormatting sqref="C1054">
    <cfRule type="duplicateValues" dxfId="13" priority="61"/>
  </conditionalFormatting>
  <conditionalFormatting sqref="C1064:C1065">
    <cfRule type="duplicateValues" dxfId="12" priority="91"/>
  </conditionalFormatting>
  <conditionalFormatting sqref="C1066 C1060:C1061">
    <cfRule type="duplicateValues" dxfId="11" priority="62"/>
  </conditionalFormatting>
  <conditionalFormatting sqref="D484">
    <cfRule type="expression" dxfId="10" priority="52">
      <formula>$A484="退社"</formula>
    </cfRule>
  </conditionalFormatting>
  <conditionalFormatting sqref="E624">
    <cfRule type="expression" dxfId="9" priority="18">
      <formula>$A624="退社"</formula>
    </cfRule>
  </conditionalFormatting>
  <conditionalFormatting sqref="E668">
    <cfRule type="expression" priority="17">
      <formula>_xlfn.DAYS(#REF!,#REF!) &lt;30</formula>
    </cfRule>
  </conditionalFormatting>
  <conditionalFormatting sqref="E670">
    <cfRule type="expression" priority="16">
      <formula>_xlfn.DAYS(#REF!,#REF!) &lt;30</formula>
    </cfRule>
  </conditionalFormatting>
  <conditionalFormatting sqref="E674">
    <cfRule type="expression" priority="15">
      <formula>_xlfn.DAYS(#REF!,#REF!) &lt;30</formula>
    </cfRule>
  </conditionalFormatting>
  <conditionalFormatting sqref="E676">
    <cfRule type="expression" priority="14">
      <formula>_xlfn.DAYS(#REF!,#REF!) &lt;30</formula>
    </cfRule>
  </conditionalFormatting>
  <conditionalFormatting sqref="E683">
    <cfRule type="expression" priority="13">
      <formula>_xlfn.DAYS(#REF!,#REF!) &lt;30</formula>
    </cfRule>
  </conditionalFormatting>
  <conditionalFormatting sqref="E685">
    <cfRule type="expression" priority="10">
      <formula>_xlfn.DAYS(#REF!,#REF!) &lt;30</formula>
    </cfRule>
  </conditionalFormatting>
  <conditionalFormatting sqref="E687">
    <cfRule type="expression" priority="9">
      <formula>_xlfn.DAYS(#REF!,#REF!) &lt;30</formula>
    </cfRule>
  </conditionalFormatting>
  <conditionalFormatting sqref="E689">
    <cfRule type="expression" priority="8">
      <formula>_xlfn.DAYS(#REF!,#REF!) &lt;30</formula>
    </cfRule>
  </conditionalFormatting>
  <conditionalFormatting sqref="E931">
    <cfRule type="expression" dxfId="8" priority="7">
      <formula>$A931="退社"</formula>
    </cfRule>
  </conditionalFormatting>
  <conditionalFormatting sqref="D642">
    <cfRule type="expression" dxfId="7" priority="6">
      <formula>$A642="退社"</formula>
    </cfRule>
  </conditionalFormatting>
  <conditionalFormatting sqref="D714">
    <cfRule type="expression" dxfId="6" priority="5">
      <formula>$A714="退社"</formula>
    </cfRule>
  </conditionalFormatting>
  <conditionalFormatting sqref="F624">
    <cfRule type="expression" dxfId="5" priority="4">
      <formula>$A624="退社"</formula>
    </cfRule>
  </conditionalFormatting>
  <conditionalFormatting sqref="F931">
    <cfRule type="expression" dxfId="4" priority="3">
      <formula>$A931="退社"</formula>
    </cfRule>
  </conditionalFormatting>
  <conditionalFormatting sqref="C10">
    <cfRule type="expression" dxfId="3" priority="1">
      <formula>$A10="退社"</formula>
    </cfRule>
  </conditionalFormatting>
  <conditionalFormatting sqref="C10">
    <cfRule type="duplicateValues" dxfId="2" priority="2"/>
  </conditionalFormatting>
  <conditionalFormatting sqref="E184">
    <cfRule type="expression" dxfId="1" priority="153">
      <formula>COUNTIF($A$741:$A$765,$A$7537) &gt; 1</formula>
    </cfRule>
  </conditionalFormatting>
  <printOptions horizontalCentered="1"/>
  <pageMargins left="0.25" right="0.25" top="0.37" bottom="0.37" header="0.3" footer="0.2"/>
  <pageSetup paperSize="9" scale="33" fitToHeight="0" orientation="portrait" cellComments="asDisplayed" r:id="rId1"/>
  <headerFooter>
    <oddFooter>&amp;C&amp;P/&amp;N&amp;R&amp;D　　  &amp;T</oddFooter>
  </headerFooter>
  <rowBreaks count="11" manualBreakCount="11">
    <brk id="105" max="35" man="1"/>
    <brk id="204" max="35" man="1"/>
    <brk id="305" max="35" man="1"/>
    <brk id="416" max="35" man="1"/>
    <brk id="528" max="35" man="1"/>
    <brk id="628" max="35" man="1"/>
    <brk id="718" max="35" man="1"/>
    <brk id="803" max="35" man="1"/>
    <brk id="909" max="35" man="1"/>
    <brk id="1025" max="35" man="1"/>
    <brk id="1155" max="35" man="1"/>
  </row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A5F9-A19E-4419-A096-9EA8C1E614EA}">
  <sheetPr codeName="Sheet3"/>
  <dimension ref="A1:K550"/>
  <sheetViews>
    <sheetView view="pageBreakPreview" zoomScale="70" zoomScaleNormal="85" zoomScaleSheetLayoutView="70" workbookViewId="0">
      <pane ySplit="1" topLeftCell="A53" activePane="bottomLeft" state="frozen"/>
      <selection pane="bottomLeft" activeCell="D75" sqref="D75"/>
    </sheetView>
  </sheetViews>
  <sheetFormatPr defaultColWidth="9" defaultRowHeight="18.75"/>
  <cols>
    <col min="2" max="2" width="15.625" bestFit="1" customWidth="1"/>
    <col min="3" max="3" width="24.25" customWidth="1"/>
    <col min="4" max="4" width="9.375" customWidth="1"/>
    <col min="5" max="5" width="13.25" style="125" customWidth="1"/>
    <col min="6" max="6" width="8.625" style="125" customWidth="1"/>
    <col min="7" max="7" width="10.875" style="241" customWidth="1"/>
    <col min="8" max="9" width="15.625" style="359" customWidth="1"/>
    <col min="10" max="10" width="15.625" style="360" customWidth="1"/>
    <col min="11" max="11" width="36.25" style="306" customWidth="1"/>
  </cols>
  <sheetData>
    <row r="1" spans="1:11" s="13" customFormat="1" ht="26.25" customHeight="1">
      <c r="A1" s="27" t="s">
        <v>664</v>
      </c>
      <c r="B1" s="27" t="s">
        <v>665</v>
      </c>
      <c r="C1" s="27" t="s">
        <v>846</v>
      </c>
      <c r="D1" s="27" t="s">
        <v>847</v>
      </c>
      <c r="E1" s="7" t="s">
        <v>661</v>
      </c>
      <c r="F1" s="7" t="s">
        <v>674</v>
      </c>
      <c r="G1" s="7" t="s">
        <v>682</v>
      </c>
      <c r="H1" s="330" t="s">
        <v>649</v>
      </c>
      <c r="I1" s="330" t="s">
        <v>650</v>
      </c>
      <c r="J1" s="239" t="s">
        <v>662</v>
      </c>
      <c r="K1" s="7" t="s">
        <v>663</v>
      </c>
    </row>
    <row r="2" spans="1:11" ht="21.95" customHeight="1">
      <c r="A2" s="242">
        <v>1</v>
      </c>
      <c r="B2" s="579" t="s">
        <v>400</v>
      </c>
      <c r="C2" s="242" t="s">
        <v>690</v>
      </c>
      <c r="D2" s="242" t="s">
        <v>691</v>
      </c>
      <c r="E2" s="243"/>
      <c r="F2" s="243"/>
      <c r="G2" s="278"/>
      <c r="H2" s="331">
        <v>54200</v>
      </c>
      <c r="I2" s="331">
        <v>49200</v>
      </c>
      <c r="J2" s="332">
        <f>I2-H2</f>
        <v>-5000</v>
      </c>
      <c r="K2" s="307"/>
    </row>
    <row r="3" spans="1:11" ht="21.95" customHeight="1">
      <c r="A3" s="244">
        <v>2</v>
      </c>
      <c r="B3" s="569"/>
      <c r="C3" s="248" t="s">
        <v>692</v>
      </c>
      <c r="D3" s="248" t="s">
        <v>693</v>
      </c>
      <c r="E3" s="245"/>
      <c r="F3" s="245"/>
      <c r="G3" s="259"/>
      <c r="H3" s="333">
        <v>50000</v>
      </c>
      <c r="I3" s="333">
        <v>45000</v>
      </c>
      <c r="J3" s="334">
        <f t="shared" ref="J3:J12" si="0">I3-H3</f>
        <v>-5000</v>
      </c>
      <c r="K3" s="308"/>
    </row>
    <row r="4" spans="1:11" ht="21.95" customHeight="1" thickBot="1">
      <c r="A4" s="249">
        <v>3</v>
      </c>
      <c r="B4" s="570"/>
      <c r="C4" s="266" t="s">
        <v>694</v>
      </c>
      <c r="D4" s="266" t="s">
        <v>693</v>
      </c>
      <c r="E4" s="250"/>
      <c r="F4" s="250"/>
      <c r="G4" s="279"/>
      <c r="H4" s="335">
        <v>41000</v>
      </c>
      <c r="I4" s="335">
        <v>36000</v>
      </c>
      <c r="J4" s="336">
        <f t="shared" si="0"/>
        <v>-5000</v>
      </c>
      <c r="K4" s="309"/>
    </row>
    <row r="5" spans="1:11" ht="21.95" customHeight="1" thickTop="1">
      <c r="A5" s="252">
        <v>4</v>
      </c>
      <c r="B5" s="568" t="s">
        <v>9</v>
      </c>
      <c r="C5" s="252" t="s">
        <v>699</v>
      </c>
      <c r="D5" s="252" t="s">
        <v>700</v>
      </c>
      <c r="E5" s="253" t="s">
        <v>587</v>
      </c>
      <c r="F5" s="253">
        <v>2</v>
      </c>
      <c r="G5" s="280" t="s">
        <v>679</v>
      </c>
      <c r="H5" s="337">
        <v>62000</v>
      </c>
      <c r="I5" s="337">
        <f>22400*3</f>
        <v>67200</v>
      </c>
      <c r="J5" s="338">
        <f t="shared" ref="J5:J11" si="1">I5-H5</f>
        <v>5200</v>
      </c>
      <c r="K5" s="322"/>
    </row>
    <row r="6" spans="1:11" ht="21.95" customHeight="1">
      <c r="A6" s="244">
        <v>5</v>
      </c>
      <c r="B6" s="569"/>
      <c r="C6" s="248" t="s">
        <v>699</v>
      </c>
      <c r="D6" s="248" t="s">
        <v>703</v>
      </c>
      <c r="E6" s="246" t="s">
        <v>584</v>
      </c>
      <c r="F6" s="246">
        <v>1</v>
      </c>
      <c r="G6" s="259" t="s">
        <v>679</v>
      </c>
      <c r="H6" s="333">
        <v>54000</v>
      </c>
      <c r="I6" s="333">
        <v>59000</v>
      </c>
      <c r="J6" s="334">
        <f t="shared" si="1"/>
        <v>5000</v>
      </c>
      <c r="K6" s="276"/>
    </row>
    <row r="7" spans="1:11" ht="21.95" customHeight="1">
      <c r="A7" s="244">
        <v>6</v>
      </c>
      <c r="B7" s="569"/>
      <c r="C7" s="248" t="s">
        <v>695</v>
      </c>
      <c r="D7" s="248" t="s">
        <v>696</v>
      </c>
      <c r="E7" s="246" t="s">
        <v>25</v>
      </c>
      <c r="F7" s="246">
        <v>3</v>
      </c>
      <c r="G7" s="259"/>
      <c r="H7" s="333">
        <v>52000</v>
      </c>
      <c r="I7" s="333">
        <v>57000</v>
      </c>
      <c r="J7" s="334">
        <f t="shared" si="1"/>
        <v>5000</v>
      </c>
      <c r="K7" s="276"/>
    </row>
    <row r="8" spans="1:11" ht="21.95" customHeight="1">
      <c r="A8" s="244">
        <v>7</v>
      </c>
      <c r="B8" s="569"/>
      <c r="C8" s="248" t="s">
        <v>697</v>
      </c>
      <c r="D8" s="248" t="s">
        <v>698</v>
      </c>
      <c r="E8" s="246" t="s">
        <v>584</v>
      </c>
      <c r="F8" s="246">
        <v>2</v>
      </c>
      <c r="G8" s="259"/>
      <c r="H8" s="333">
        <v>46500</v>
      </c>
      <c r="I8" s="333">
        <v>51500</v>
      </c>
      <c r="J8" s="334">
        <f t="shared" si="1"/>
        <v>5000</v>
      </c>
      <c r="K8" s="276"/>
    </row>
    <row r="9" spans="1:11" ht="21.95" customHeight="1">
      <c r="A9" s="244">
        <v>8</v>
      </c>
      <c r="B9" s="569"/>
      <c r="C9" s="248" t="s">
        <v>699</v>
      </c>
      <c r="D9" s="248" t="s">
        <v>701</v>
      </c>
      <c r="E9" s="246" t="s">
        <v>584</v>
      </c>
      <c r="F9" s="246">
        <v>2</v>
      </c>
      <c r="G9" s="259"/>
      <c r="H9" s="333">
        <v>50000</v>
      </c>
      <c r="I9" s="333">
        <v>59000</v>
      </c>
      <c r="J9" s="334">
        <f t="shared" si="1"/>
        <v>9000</v>
      </c>
      <c r="K9" s="276"/>
    </row>
    <row r="10" spans="1:11" ht="21.95" customHeight="1">
      <c r="A10" s="244">
        <v>9</v>
      </c>
      <c r="B10" s="569"/>
      <c r="C10" s="248" t="s">
        <v>699</v>
      </c>
      <c r="D10" s="248" t="s">
        <v>702</v>
      </c>
      <c r="E10" s="246" t="s">
        <v>584</v>
      </c>
      <c r="F10" s="246">
        <v>2</v>
      </c>
      <c r="G10" s="259"/>
      <c r="H10" s="333">
        <v>54000</v>
      </c>
      <c r="I10" s="333">
        <v>59000</v>
      </c>
      <c r="J10" s="334">
        <f t="shared" si="1"/>
        <v>5000</v>
      </c>
      <c r="K10" s="276"/>
    </row>
    <row r="11" spans="1:11" ht="21.95" customHeight="1" thickBot="1">
      <c r="A11" s="249">
        <v>10</v>
      </c>
      <c r="B11" s="570"/>
      <c r="C11" s="266" t="s">
        <v>699</v>
      </c>
      <c r="D11" s="266" t="s">
        <v>704</v>
      </c>
      <c r="E11" s="251" t="s">
        <v>584</v>
      </c>
      <c r="F11" s="251">
        <v>2</v>
      </c>
      <c r="G11" s="279"/>
      <c r="H11" s="335">
        <v>54000</v>
      </c>
      <c r="I11" s="335">
        <v>59000</v>
      </c>
      <c r="J11" s="336">
        <f t="shared" si="1"/>
        <v>5000</v>
      </c>
      <c r="K11" s="312"/>
    </row>
    <row r="12" spans="1:11" ht="21.95" customHeight="1" thickTop="1" thickBot="1">
      <c r="A12" s="254">
        <v>11</v>
      </c>
      <c r="B12" s="254" t="s">
        <v>651</v>
      </c>
      <c r="C12" s="254" t="s">
        <v>830</v>
      </c>
      <c r="D12" s="254">
        <v>1</v>
      </c>
      <c r="E12" s="255" t="s">
        <v>574</v>
      </c>
      <c r="F12" s="255">
        <v>1</v>
      </c>
      <c r="G12" s="281" t="s">
        <v>679</v>
      </c>
      <c r="H12" s="339">
        <v>58000</v>
      </c>
      <c r="I12" s="339">
        <v>63000</v>
      </c>
      <c r="J12" s="340">
        <f t="shared" si="0"/>
        <v>5000</v>
      </c>
      <c r="K12" s="313"/>
    </row>
    <row r="13" spans="1:11" ht="21.95" customHeight="1" thickTop="1">
      <c r="A13" s="252">
        <v>12</v>
      </c>
      <c r="B13" s="568" t="s">
        <v>652</v>
      </c>
      <c r="C13" s="252" t="s">
        <v>705</v>
      </c>
      <c r="D13" s="252" t="s">
        <v>703</v>
      </c>
      <c r="E13" s="253" t="s">
        <v>574</v>
      </c>
      <c r="F13" s="253">
        <v>1</v>
      </c>
      <c r="G13" s="280" t="s">
        <v>679</v>
      </c>
      <c r="H13" s="337">
        <v>52000</v>
      </c>
      <c r="I13" s="337">
        <v>57500</v>
      </c>
      <c r="J13" s="338">
        <f t="shared" ref="J13:J44" si="2">I13-H13</f>
        <v>5500</v>
      </c>
      <c r="K13" s="314" t="s">
        <v>630</v>
      </c>
    </row>
    <row r="14" spans="1:11" ht="21.95" customHeight="1">
      <c r="A14" s="244">
        <v>13</v>
      </c>
      <c r="B14" s="569"/>
      <c r="C14" s="248" t="s">
        <v>713</v>
      </c>
      <c r="D14" s="248" t="s">
        <v>710</v>
      </c>
      <c r="E14" s="246" t="s">
        <v>25</v>
      </c>
      <c r="F14" s="246">
        <v>2</v>
      </c>
      <c r="G14" s="259" t="s">
        <v>679</v>
      </c>
      <c r="H14" s="333">
        <v>43880</v>
      </c>
      <c r="I14" s="333">
        <v>50000</v>
      </c>
      <c r="J14" s="334">
        <f t="shared" si="2"/>
        <v>6120</v>
      </c>
      <c r="K14" s="315"/>
    </row>
    <row r="15" spans="1:11" ht="21.95" customHeight="1">
      <c r="A15" s="244">
        <v>14</v>
      </c>
      <c r="B15" s="569"/>
      <c r="C15" s="248" t="s">
        <v>706</v>
      </c>
      <c r="D15" s="248" t="s">
        <v>696</v>
      </c>
      <c r="E15" s="246" t="s">
        <v>584</v>
      </c>
      <c r="F15" s="246">
        <v>2</v>
      </c>
      <c r="G15" s="259"/>
      <c r="H15" s="333">
        <v>50000</v>
      </c>
      <c r="I15" s="333">
        <v>55000</v>
      </c>
      <c r="J15" s="334">
        <f t="shared" si="2"/>
        <v>5000</v>
      </c>
      <c r="K15" s="315"/>
    </row>
    <row r="16" spans="1:11" ht="21.95" customHeight="1">
      <c r="A16" s="244">
        <v>15</v>
      </c>
      <c r="B16" s="569"/>
      <c r="C16" s="248" t="s">
        <v>707</v>
      </c>
      <c r="D16" s="248" t="s">
        <v>708</v>
      </c>
      <c r="E16" s="246" t="s">
        <v>584</v>
      </c>
      <c r="F16" s="246">
        <v>2</v>
      </c>
      <c r="G16" s="259"/>
      <c r="H16" s="333">
        <v>53300</v>
      </c>
      <c r="I16" s="333">
        <v>63000</v>
      </c>
      <c r="J16" s="334">
        <f t="shared" si="2"/>
        <v>9700</v>
      </c>
      <c r="K16" s="276"/>
    </row>
    <row r="17" spans="1:11" ht="21.95" customHeight="1">
      <c r="A17" s="244">
        <v>16</v>
      </c>
      <c r="B17" s="569"/>
      <c r="C17" s="248" t="s">
        <v>709</v>
      </c>
      <c r="D17" s="248" t="s">
        <v>710</v>
      </c>
      <c r="E17" s="246" t="s">
        <v>584</v>
      </c>
      <c r="F17" s="246">
        <v>2</v>
      </c>
      <c r="G17" s="259"/>
      <c r="H17" s="333">
        <v>51300</v>
      </c>
      <c r="I17" s="333">
        <v>56300</v>
      </c>
      <c r="J17" s="334">
        <f t="shared" si="2"/>
        <v>5000</v>
      </c>
      <c r="K17" s="276"/>
    </row>
    <row r="18" spans="1:11" ht="21.95" customHeight="1" thickBot="1">
      <c r="A18" s="249">
        <v>17</v>
      </c>
      <c r="B18" s="570"/>
      <c r="C18" s="266" t="s">
        <v>711</v>
      </c>
      <c r="D18" s="266" t="s">
        <v>712</v>
      </c>
      <c r="E18" s="323" t="s">
        <v>588</v>
      </c>
      <c r="F18" s="323" t="s">
        <v>675</v>
      </c>
      <c r="G18" s="324"/>
      <c r="H18" s="341">
        <v>36500</v>
      </c>
      <c r="I18" s="341">
        <v>36500</v>
      </c>
      <c r="J18" s="336">
        <f t="shared" si="2"/>
        <v>0</v>
      </c>
      <c r="K18" s="316" t="s">
        <v>631</v>
      </c>
    </row>
    <row r="19" spans="1:11" ht="21.95" customHeight="1" thickTop="1">
      <c r="A19" s="252">
        <v>18</v>
      </c>
      <c r="B19" s="580" t="s">
        <v>686</v>
      </c>
      <c r="C19" s="248" t="s">
        <v>726</v>
      </c>
      <c r="D19" s="248" t="s">
        <v>696</v>
      </c>
      <c r="E19" s="261" t="s">
        <v>25</v>
      </c>
      <c r="F19" s="256">
        <v>2</v>
      </c>
      <c r="G19" s="282">
        <v>0</v>
      </c>
      <c r="H19" s="342">
        <v>52550</v>
      </c>
      <c r="I19" s="342">
        <v>57000</v>
      </c>
      <c r="J19" s="338">
        <f t="shared" si="2"/>
        <v>4450</v>
      </c>
      <c r="K19" s="310"/>
    </row>
    <row r="20" spans="1:11" ht="21.95" customHeight="1">
      <c r="A20" s="244">
        <v>19</v>
      </c>
      <c r="B20" s="569"/>
      <c r="C20" s="248" t="s">
        <v>528</v>
      </c>
      <c r="D20" s="248"/>
      <c r="E20" s="257" t="s">
        <v>591</v>
      </c>
      <c r="F20" s="257">
        <v>3</v>
      </c>
      <c r="G20" s="283" t="s">
        <v>679</v>
      </c>
      <c r="H20" s="343">
        <v>69000</v>
      </c>
      <c r="I20" s="343">
        <v>75000</v>
      </c>
      <c r="J20" s="334">
        <f t="shared" si="2"/>
        <v>6000</v>
      </c>
      <c r="K20" s="276"/>
    </row>
    <row r="21" spans="1:11" ht="21.95" customHeight="1">
      <c r="A21" s="244">
        <v>20</v>
      </c>
      <c r="B21" s="569"/>
      <c r="C21" s="248" t="s">
        <v>741</v>
      </c>
      <c r="D21" s="248" t="s">
        <v>722</v>
      </c>
      <c r="E21" s="258" t="s">
        <v>587</v>
      </c>
      <c r="F21" s="258">
        <v>2</v>
      </c>
      <c r="G21" s="284" t="s">
        <v>679</v>
      </c>
      <c r="H21" s="343">
        <v>58390</v>
      </c>
      <c r="I21" s="343">
        <v>66000</v>
      </c>
      <c r="J21" s="334">
        <f t="shared" si="2"/>
        <v>7610</v>
      </c>
      <c r="K21" s="276"/>
    </row>
    <row r="22" spans="1:11" ht="21.95" customHeight="1">
      <c r="A22" s="244">
        <v>21</v>
      </c>
      <c r="B22" s="569"/>
      <c r="C22" s="248" t="s">
        <v>714</v>
      </c>
      <c r="D22" s="248" t="s">
        <v>701</v>
      </c>
      <c r="E22" s="257" t="s">
        <v>584</v>
      </c>
      <c r="F22" s="257">
        <v>2</v>
      </c>
      <c r="G22" s="283"/>
      <c r="H22" s="344">
        <v>50600</v>
      </c>
      <c r="I22" s="344">
        <v>55000</v>
      </c>
      <c r="J22" s="334">
        <f t="shared" si="2"/>
        <v>4400</v>
      </c>
      <c r="K22" s="276"/>
    </row>
    <row r="23" spans="1:11" ht="21.95" customHeight="1">
      <c r="A23" s="244">
        <v>22</v>
      </c>
      <c r="B23" s="569"/>
      <c r="C23" s="248" t="s">
        <v>715</v>
      </c>
      <c r="D23" s="248" t="s">
        <v>716</v>
      </c>
      <c r="E23" s="257" t="s">
        <v>584</v>
      </c>
      <c r="F23" s="257">
        <v>2</v>
      </c>
      <c r="G23" s="283"/>
      <c r="H23" s="344">
        <v>50600</v>
      </c>
      <c r="I23" s="344">
        <v>56200</v>
      </c>
      <c r="J23" s="334">
        <f t="shared" si="2"/>
        <v>5600</v>
      </c>
      <c r="K23" s="276"/>
    </row>
    <row r="24" spans="1:11" ht="21.95" customHeight="1">
      <c r="A24" s="244">
        <v>23</v>
      </c>
      <c r="B24" s="569"/>
      <c r="C24" s="248" t="s">
        <v>717</v>
      </c>
      <c r="D24" s="248" t="s">
        <v>701</v>
      </c>
      <c r="E24" s="257" t="s">
        <v>25</v>
      </c>
      <c r="F24" s="257">
        <v>3</v>
      </c>
      <c r="G24" s="283"/>
      <c r="H24" s="344">
        <v>56650</v>
      </c>
      <c r="I24" s="344">
        <v>69000</v>
      </c>
      <c r="J24" s="334">
        <f t="shared" si="2"/>
        <v>12350</v>
      </c>
      <c r="K24" s="276"/>
    </row>
    <row r="25" spans="1:11" ht="21.95" customHeight="1">
      <c r="A25" s="244">
        <v>24</v>
      </c>
      <c r="B25" s="569"/>
      <c r="C25" s="248" t="s">
        <v>718</v>
      </c>
      <c r="D25" s="248" t="s">
        <v>719</v>
      </c>
      <c r="E25" s="258" t="s">
        <v>584</v>
      </c>
      <c r="F25" s="258" t="s">
        <v>675</v>
      </c>
      <c r="G25" s="284"/>
      <c r="H25" s="343">
        <v>50720</v>
      </c>
      <c r="I25" s="343">
        <v>50720</v>
      </c>
      <c r="J25" s="334">
        <f t="shared" si="2"/>
        <v>0</v>
      </c>
      <c r="K25" s="276" t="s">
        <v>631</v>
      </c>
    </row>
    <row r="26" spans="1:11" ht="21.95" customHeight="1">
      <c r="A26" s="244">
        <v>25</v>
      </c>
      <c r="B26" s="569"/>
      <c r="C26" s="248" t="s">
        <v>718</v>
      </c>
      <c r="D26" s="248" t="s">
        <v>720</v>
      </c>
      <c r="E26" s="257" t="s">
        <v>584</v>
      </c>
      <c r="F26" s="257" t="s">
        <v>675</v>
      </c>
      <c r="G26" s="283"/>
      <c r="H26" s="344">
        <v>51500</v>
      </c>
      <c r="I26" s="344">
        <v>51500</v>
      </c>
      <c r="J26" s="334">
        <f t="shared" si="2"/>
        <v>0</v>
      </c>
      <c r="K26" s="317" t="s">
        <v>631</v>
      </c>
    </row>
    <row r="27" spans="1:11" ht="21.95" customHeight="1">
      <c r="A27" s="244">
        <v>26</v>
      </c>
      <c r="B27" s="569"/>
      <c r="C27" s="248" t="s">
        <v>721</v>
      </c>
      <c r="D27" s="248" t="s">
        <v>720</v>
      </c>
      <c r="E27" s="257" t="s">
        <v>584</v>
      </c>
      <c r="F27" s="257" t="s">
        <v>121</v>
      </c>
      <c r="G27" s="283"/>
      <c r="H27" s="344">
        <v>52720</v>
      </c>
      <c r="I27" s="344">
        <v>53000</v>
      </c>
      <c r="J27" s="334">
        <f t="shared" si="2"/>
        <v>280</v>
      </c>
      <c r="K27" s="276"/>
    </row>
    <row r="28" spans="1:11" ht="21.95" customHeight="1">
      <c r="A28" s="244">
        <v>27</v>
      </c>
      <c r="B28" s="569"/>
      <c r="C28" s="248" t="s">
        <v>721</v>
      </c>
      <c r="D28" s="248" t="s">
        <v>722</v>
      </c>
      <c r="E28" s="257" t="s">
        <v>584</v>
      </c>
      <c r="F28" s="257" t="s">
        <v>675</v>
      </c>
      <c r="G28" s="283"/>
      <c r="H28" s="344">
        <v>55120</v>
      </c>
      <c r="I28" s="344">
        <v>55120</v>
      </c>
      <c r="J28" s="334">
        <f t="shared" si="2"/>
        <v>0</v>
      </c>
      <c r="K28" s="317" t="s">
        <v>631</v>
      </c>
    </row>
    <row r="29" spans="1:11" ht="21.95" customHeight="1">
      <c r="A29" s="244">
        <v>28</v>
      </c>
      <c r="B29" s="569"/>
      <c r="C29" s="248" t="s">
        <v>723</v>
      </c>
      <c r="D29" s="248" t="s">
        <v>693</v>
      </c>
      <c r="E29" s="257" t="s">
        <v>584</v>
      </c>
      <c r="F29" s="257">
        <v>2</v>
      </c>
      <c r="G29" s="283"/>
      <c r="H29" s="344">
        <v>43000</v>
      </c>
      <c r="I29" s="344">
        <v>48500</v>
      </c>
      <c r="J29" s="334">
        <f t="shared" si="2"/>
        <v>5500</v>
      </c>
      <c r="K29" s="276"/>
    </row>
    <row r="30" spans="1:11" ht="21.95" customHeight="1">
      <c r="A30" s="244">
        <v>29</v>
      </c>
      <c r="B30" s="569"/>
      <c r="C30" s="248" t="s">
        <v>724</v>
      </c>
      <c r="D30" s="248" t="s">
        <v>725</v>
      </c>
      <c r="E30" s="258" t="s">
        <v>574</v>
      </c>
      <c r="F30" s="258">
        <v>3</v>
      </c>
      <c r="G30" s="284"/>
      <c r="H30" s="343">
        <v>58980</v>
      </c>
      <c r="I30" s="343">
        <v>64500</v>
      </c>
      <c r="J30" s="334">
        <f t="shared" si="2"/>
        <v>5520</v>
      </c>
      <c r="K30" s="276"/>
    </row>
    <row r="31" spans="1:11" ht="21.95" customHeight="1">
      <c r="A31" s="244">
        <v>30</v>
      </c>
      <c r="B31" s="569"/>
      <c r="C31" s="248" t="s">
        <v>727</v>
      </c>
      <c r="D31" s="248" t="s">
        <v>719</v>
      </c>
      <c r="E31" s="257" t="s">
        <v>589</v>
      </c>
      <c r="F31" s="257">
        <v>2</v>
      </c>
      <c r="G31" s="283"/>
      <c r="H31" s="344">
        <v>44000</v>
      </c>
      <c r="I31" s="344">
        <v>47000</v>
      </c>
      <c r="J31" s="334">
        <f t="shared" si="2"/>
        <v>3000</v>
      </c>
      <c r="K31" s="311"/>
    </row>
    <row r="32" spans="1:11" ht="21.95" customHeight="1">
      <c r="A32" s="244">
        <v>31</v>
      </c>
      <c r="B32" s="569"/>
      <c r="C32" s="248" t="s">
        <v>728</v>
      </c>
      <c r="D32" s="248" t="s">
        <v>693</v>
      </c>
      <c r="E32" s="257" t="s">
        <v>589</v>
      </c>
      <c r="F32" s="257" t="s">
        <v>121</v>
      </c>
      <c r="G32" s="283"/>
      <c r="H32" s="344">
        <v>44000</v>
      </c>
      <c r="I32" s="344">
        <v>47000</v>
      </c>
      <c r="J32" s="334">
        <f t="shared" si="2"/>
        <v>3000</v>
      </c>
      <c r="K32" s="276"/>
    </row>
    <row r="33" spans="1:11" ht="21.95" customHeight="1">
      <c r="A33" s="244">
        <v>32</v>
      </c>
      <c r="B33" s="569"/>
      <c r="C33" s="248" t="s">
        <v>728</v>
      </c>
      <c r="D33" s="248" t="s">
        <v>696</v>
      </c>
      <c r="E33" s="257" t="s">
        <v>589</v>
      </c>
      <c r="F33" s="257" t="s">
        <v>121</v>
      </c>
      <c r="G33" s="283"/>
      <c r="H33" s="344">
        <v>44000</v>
      </c>
      <c r="I33" s="344">
        <v>44000</v>
      </c>
      <c r="J33" s="334">
        <f t="shared" si="2"/>
        <v>0</v>
      </c>
      <c r="K33" s="276"/>
    </row>
    <row r="34" spans="1:11" ht="21.95" customHeight="1">
      <c r="A34" s="244">
        <v>33</v>
      </c>
      <c r="B34" s="569"/>
      <c r="C34" s="248" t="s">
        <v>729</v>
      </c>
      <c r="D34" s="248" t="s">
        <v>720</v>
      </c>
      <c r="E34" s="257" t="s">
        <v>584</v>
      </c>
      <c r="F34" s="257">
        <v>2</v>
      </c>
      <c r="G34" s="283"/>
      <c r="H34" s="344">
        <v>51000</v>
      </c>
      <c r="I34" s="344">
        <v>56000</v>
      </c>
      <c r="J34" s="334">
        <f t="shared" si="2"/>
        <v>5000</v>
      </c>
      <c r="K34" s="276"/>
    </row>
    <row r="35" spans="1:11" ht="21.95" customHeight="1">
      <c r="A35" s="244">
        <v>34</v>
      </c>
      <c r="B35" s="569"/>
      <c r="C35" s="248" t="s">
        <v>730</v>
      </c>
      <c r="D35" s="248" t="s">
        <v>696</v>
      </c>
      <c r="E35" s="257" t="s">
        <v>584</v>
      </c>
      <c r="F35" s="257">
        <v>2</v>
      </c>
      <c r="G35" s="283"/>
      <c r="H35" s="344">
        <v>48000</v>
      </c>
      <c r="I35" s="344">
        <v>53000</v>
      </c>
      <c r="J35" s="334">
        <f t="shared" si="2"/>
        <v>5000</v>
      </c>
      <c r="K35" s="276"/>
    </row>
    <row r="36" spans="1:11" ht="21.95" customHeight="1">
      <c r="A36" s="244">
        <v>35</v>
      </c>
      <c r="B36" s="569"/>
      <c r="C36" s="248" t="s">
        <v>731</v>
      </c>
      <c r="D36" s="248" t="s">
        <v>696</v>
      </c>
      <c r="E36" s="258" t="s">
        <v>25</v>
      </c>
      <c r="F36" s="258">
        <v>3</v>
      </c>
      <c r="G36" s="284"/>
      <c r="H36" s="343">
        <v>60380</v>
      </c>
      <c r="I36" s="343">
        <v>66000</v>
      </c>
      <c r="J36" s="334">
        <f t="shared" si="2"/>
        <v>5620</v>
      </c>
      <c r="K36" s="276"/>
    </row>
    <row r="37" spans="1:11" ht="21.95" customHeight="1">
      <c r="A37" s="244">
        <v>36</v>
      </c>
      <c r="B37" s="569"/>
      <c r="C37" s="248" t="s">
        <v>831</v>
      </c>
      <c r="D37" s="248" t="s">
        <v>732</v>
      </c>
      <c r="E37" s="257" t="s">
        <v>584</v>
      </c>
      <c r="F37" s="257" t="s">
        <v>675</v>
      </c>
      <c r="G37" s="283"/>
      <c r="H37" s="344">
        <v>49790</v>
      </c>
      <c r="I37" s="344">
        <v>49790</v>
      </c>
      <c r="J37" s="334">
        <f t="shared" si="2"/>
        <v>0</v>
      </c>
      <c r="K37" s="317" t="s">
        <v>631</v>
      </c>
    </row>
    <row r="38" spans="1:11" ht="21.95" customHeight="1">
      <c r="A38" s="244">
        <v>37</v>
      </c>
      <c r="B38" s="569"/>
      <c r="C38" s="248" t="s">
        <v>733</v>
      </c>
      <c r="D38" s="248" t="s">
        <v>696</v>
      </c>
      <c r="E38" s="258" t="s">
        <v>584</v>
      </c>
      <c r="F38" s="258">
        <v>2</v>
      </c>
      <c r="G38" s="284"/>
      <c r="H38" s="343">
        <v>46450</v>
      </c>
      <c r="I38" s="343">
        <v>51000</v>
      </c>
      <c r="J38" s="334">
        <f t="shared" si="2"/>
        <v>4550</v>
      </c>
      <c r="K38" s="276"/>
    </row>
    <row r="39" spans="1:11" ht="21.95" customHeight="1">
      <c r="A39" s="244">
        <v>38</v>
      </c>
      <c r="B39" s="569"/>
      <c r="C39" s="248" t="s">
        <v>734</v>
      </c>
      <c r="D39" s="248" t="s">
        <v>701</v>
      </c>
      <c r="E39" s="257" t="s">
        <v>584</v>
      </c>
      <c r="F39" s="257">
        <v>2</v>
      </c>
      <c r="G39" s="283"/>
      <c r="H39" s="344">
        <v>46000</v>
      </c>
      <c r="I39" s="344">
        <v>51000</v>
      </c>
      <c r="J39" s="334">
        <f t="shared" si="2"/>
        <v>5000</v>
      </c>
      <c r="K39" s="276"/>
    </row>
    <row r="40" spans="1:11" ht="21.95" customHeight="1">
      <c r="A40" s="244">
        <v>39</v>
      </c>
      <c r="B40" s="569"/>
      <c r="C40" s="244" t="s">
        <v>735</v>
      </c>
      <c r="D40" s="248" t="s">
        <v>696</v>
      </c>
      <c r="E40" s="258" t="s">
        <v>584</v>
      </c>
      <c r="F40" s="258">
        <v>2</v>
      </c>
      <c r="G40" s="284"/>
      <c r="H40" s="343">
        <v>50880</v>
      </c>
      <c r="I40" s="343">
        <v>55880</v>
      </c>
      <c r="J40" s="334">
        <f t="shared" si="2"/>
        <v>5000</v>
      </c>
      <c r="K40" s="276"/>
    </row>
    <row r="41" spans="1:11" ht="21.95" customHeight="1">
      <c r="A41" s="244">
        <v>40</v>
      </c>
      <c r="B41" s="569"/>
      <c r="C41" s="244" t="s">
        <v>736</v>
      </c>
      <c r="D41" s="248" t="s">
        <v>693</v>
      </c>
      <c r="E41" s="257" t="s">
        <v>25</v>
      </c>
      <c r="F41" s="257">
        <v>3</v>
      </c>
      <c r="G41" s="283"/>
      <c r="H41" s="344">
        <v>57170</v>
      </c>
      <c r="I41" s="344">
        <v>62100</v>
      </c>
      <c r="J41" s="334">
        <f t="shared" si="2"/>
        <v>4930</v>
      </c>
      <c r="K41" s="276"/>
    </row>
    <row r="42" spans="1:11" ht="21.95" customHeight="1">
      <c r="A42" s="244">
        <v>41</v>
      </c>
      <c r="B42" s="569"/>
      <c r="C42" s="248" t="s">
        <v>17</v>
      </c>
      <c r="D42" s="248"/>
      <c r="E42" s="257" t="s">
        <v>25</v>
      </c>
      <c r="F42" s="257">
        <v>3</v>
      </c>
      <c r="G42" s="283"/>
      <c r="H42" s="344">
        <v>61000</v>
      </c>
      <c r="I42" s="344">
        <v>66000</v>
      </c>
      <c r="J42" s="334">
        <f t="shared" si="2"/>
        <v>5000</v>
      </c>
      <c r="K42" s="276"/>
    </row>
    <row r="43" spans="1:11" ht="21.95" customHeight="1">
      <c r="A43" s="244">
        <v>42</v>
      </c>
      <c r="B43" s="569"/>
      <c r="C43" s="248" t="s">
        <v>737</v>
      </c>
      <c r="D43" s="248" t="s">
        <v>720</v>
      </c>
      <c r="E43" s="258" t="s">
        <v>574</v>
      </c>
      <c r="F43" s="258" t="s">
        <v>677</v>
      </c>
      <c r="G43" s="284"/>
      <c r="H43" s="343">
        <v>58530</v>
      </c>
      <c r="I43" s="343">
        <v>58530</v>
      </c>
      <c r="J43" s="334">
        <f t="shared" si="2"/>
        <v>0</v>
      </c>
      <c r="K43" s="276" t="s">
        <v>631</v>
      </c>
    </row>
    <row r="44" spans="1:11" ht="21.95" customHeight="1">
      <c r="A44" s="244">
        <v>43</v>
      </c>
      <c r="B44" s="569"/>
      <c r="C44" s="248" t="s">
        <v>738</v>
      </c>
      <c r="D44" s="248" t="s">
        <v>700</v>
      </c>
      <c r="E44" s="257" t="s">
        <v>587</v>
      </c>
      <c r="F44" s="257">
        <v>3</v>
      </c>
      <c r="G44" s="283"/>
      <c r="H44" s="344">
        <v>59500</v>
      </c>
      <c r="I44" s="344">
        <v>64500</v>
      </c>
      <c r="J44" s="334">
        <f t="shared" si="2"/>
        <v>5000</v>
      </c>
      <c r="K44" s="276"/>
    </row>
    <row r="45" spans="1:11" ht="21.95" customHeight="1">
      <c r="A45" s="244">
        <v>44</v>
      </c>
      <c r="B45" s="569"/>
      <c r="C45" s="248" t="s">
        <v>738</v>
      </c>
      <c r="D45" s="248" t="s">
        <v>739</v>
      </c>
      <c r="E45" s="257" t="s">
        <v>587</v>
      </c>
      <c r="F45" s="257" t="s">
        <v>676</v>
      </c>
      <c r="G45" s="283"/>
      <c r="H45" s="344">
        <v>64500</v>
      </c>
      <c r="I45" s="344">
        <v>64500</v>
      </c>
      <c r="J45" s="334">
        <f t="shared" ref="J45:J76" si="3">I45-H45</f>
        <v>0</v>
      </c>
      <c r="K45" s="317" t="s">
        <v>631</v>
      </c>
    </row>
    <row r="46" spans="1:11" ht="21.95" customHeight="1" thickBot="1">
      <c r="A46" s="249">
        <v>45</v>
      </c>
      <c r="B46" s="570"/>
      <c r="C46" s="249" t="s">
        <v>738</v>
      </c>
      <c r="D46" s="249" t="s">
        <v>740</v>
      </c>
      <c r="E46" s="263" t="s">
        <v>593</v>
      </c>
      <c r="F46" s="263">
        <v>3</v>
      </c>
      <c r="G46" s="286"/>
      <c r="H46" s="345">
        <v>59500</v>
      </c>
      <c r="I46" s="345">
        <v>64500</v>
      </c>
      <c r="J46" s="336">
        <f t="shared" si="3"/>
        <v>5000</v>
      </c>
      <c r="K46" s="312"/>
    </row>
    <row r="47" spans="1:11" ht="21.95" customHeight="1" thickTop="1">
      <c r="A47" s="248">
        <v>46</v>
      </c>
      <c r="B47" s="581" t="s">
        <v>687</v>
      </c>
      <c r="C47" s="252" t="s">
        <v>746</v>
      </c>
      <c r="D47" s="252" t="s">
        <v>720</v>
      </c>
      <c r="E47" s="325" t="s">
        <v>584</v>
      </c>
      <c r="F47" s="326">
        <v>1</v>
      </c>
      <c r="G47" s="327" t="s">
        <v>678</v>
      </c>
      <c r="H47" s="346">
        <v>46850</v>
      </c>
      <c r="I47" s="346">
        <v>50000</v>
      </c>
      <c r="J47" s="347">
        <f t="shared" si="3"/>
        <v>3150</v>
      </c>
      <c r="K47" s="318"/>
    </row>
    <row r="48" spans="1:11" ht="21.95" customHeight="1">
      <c r="A48" s="244">
        <v>47</v>
      </c>
      <c r="B48" s="569"/>
      <c r="C48" s="248" t="s">
        <v>757</v>
      </c>
      <c r="D48" s="248" t="s">
        <v>696</v>
      </c>
      <c r="E48" s="257" t="s">
        <v>587</v>
      </c>
      <c r="F48" s="257">
        <v>2</v>
      </c>
      <c r="G48" s="283" t="s">
        <v>678</v>
      </c>
      <c r="H48" s="344">
        <v>50000</v>
      </c>
      <c r="I48" s="344">
        <v>60000</v>
      </c>
      <c r="J48" s="334">
        <f t="shared" si="3"/>
        <v>10000</v>
      </c>
      <c r="K48" s="315"/>
    </row>
    <row r="49" spans="1:11" ht="21.95" customHeight="1">
      <c r="A49" s="244">
        <v>48</v>
      </c>
      <c r="B49" s="569"/>
      <c r="C49" s="248" t="s">
        <v>833</v>
      </c>
      <c r="D49" s="248">
        <v>203</v>
      </c>
      <c r="E49" s="257" t="s">
        <v>584</v>
      </c>
      <c r="F49" s="257">
        <v>1</v>
      </c>
      <c r="G49" s="283" t="s">
        <v>678</v>
      </c>
      <c r="H49" s="344">
        <v>38000</v>
      </c>
      <c r="I49" s="344">
        <v>43000</v>
      </c>
      <c r="J49" s="334">
        <f t="shared" si="3"/>
        <v>5000</v>
      </c>
      <c r="K49" s="275"/>
    </row>
    <row r="50" spans="1:11" ht="21.95" customHeight="1">
      <c r="A50" s="244">
        <v>49</v>
      </c>
      <c r="B50" s="569"/>
      <c r="C50" s="248" t="s">
        <v>764</v>
      </c>
      <c r="D50" s="248" t="s">
        <v>765</v>
      </c>
      <c r="E50" s="257" t="s">
        <v>600</v>
      </c>
      <c r="F50" s="257">
        <v>2</v>
      </c>
      <c r="G50" s="283" t="s">
        <v>678</v>
      </c>
      <c r="H50" s="344">
        <v>54200</v>
      </c>
      <c r="I50" s="344">
        <v>60000</v>
      </c>
      <c r="J50" s="334">
        <f t="shared" si="3"/>
        <v>5800</v>
      </c>
      <c r="K50" s="275" t="s">
        <v>660</v>
      </c>
    </row>
    <row r="51" spans="1:11" ht="21.95" customHeight="1">
      <c r="A51" s="244">
        <v>50</v>
      </c>
      <c r="B51" s="569"/>
      <c r="C51" s="248" t="s">
        <v>742</v>
      </c>
      <c r="D51" s="248" t="s">
        <v>693</v>
      </c>
      <c r="E51" s="257" t="s">
        <v>584</v>
      </c>
      <c r="F51" s="257">
        <v>2</v>
      </c>
      <c r="G51" s="283"/>
      <c r="H51" s="344">
        <v>51500</v>
      </c>
      <c r="I51" s="344">
        <v>56500</v>
      </c>
      <c r="J51" s="334">
        <f t="shared" si="3"/>
        <v>5000</v>
      </c>
      <c r="K51" s="276"/>
    </row>
    <row r="52" spans="1:11" ht="21.95" customHeight="1">
      <c r="A52" s="244">
        <v>51</v>
      </c>
      <c r="B52" s="569"/>
      <c r="C52" s="248" t="s">
        <v>743</v>
      </c>
      <c r="D52" s="248" t="s">
        <v>696</v>
      </c>
      <c r="E52" s="257" t="s">
        <v>584</v>
      </c>
      <c r="F52" s="257">
        <v>2</v>
      </c>
      <c r="G52" s="283"/>
      <c r="H52" s="344">
        <v>51800</v>
      </c>
      <c r="I52" s="344">
        <v>56800</v>
      </c>
      <c r="J52" s="334">
        <f t="shared" si="3"/>
        <v>5000</v>
      </c>
      <c r="K52" s="276" t="s">
        <v>681</v>
      </c>
    </row>
    <row r="53" spans="1:11" ht="21.95" customHeight="1">
      <c r="A53" s="244">
        <v>52</v>
      </c>
      <c r="B53" s="569"/>
      <c r="C53" s="248" t="s">
        <v>744</v>
      </c>
      <c r="D53" s="248" t="s">
        <v>720</v>
      </c>
      <c r="E53" s="257" t="s">
        <v>584</v>
      </c>
      <c r="F53" s="257">
        <v>2</v>
      </c>
      <c r="G53" s="283"/>
      <c r="H53" s="344">
        <v>51800</v>
      </c>
      <c r="I53" s="344">
        <v>56800</v>
      </c>
      <c r="J53" s="334">
        <f t="shared" si="3"/>
        <v>5000</v>
      </c>
      <c r="K53" s="276"/>
    </row>
    <row r="54" spans="1:11" ht="21.95" customHeight="1">
      <c r="A54" s="244">
        <v>53</v>
      </c>
      <c r="B54" s="569"/>
      <c r="C54" s="248" t="s">
        <v>745</v>
      </c>
      <c r="D54" s="248" t="s">
        <v>698</v>
      </c>
      <c r="E54" s="257" t="s">
        <v>584</v>
      </c>
      <c r="F54" s="257">
        <v>2</v>
      </c>
      <c r="G54" s="283"/>
      <c r="H54" s="344">
        <v>51500</v>
      </c>
      <c r="I54" s="344">
        <v>56500</v>
      </c>
      <c r="J54" s="334">
        <f t="shared" si="3"/>
        <v>5000</v>
      </c>
      <c r="K54" s="276" t="s">
        <v>680</v>
      </c>
    </row>
    <row r="55" spans="1:11" ht="21.95" customHeight="1">
      <c r="A55" s="244">
        <v>54</v>
      </c>
      <c r="B55" s="569"/>
      <c r="C55" s="248" t="s">
        <v>747</v>
      </c>
      <c r="D55" s="248" t="s">
        <v>693</v>
      </c>
      <c r="E55" s="257" t="s">
        <v>584</v>
      </c>
      <c r="F55" s="257">
        <v>2</v>
      </c>
      <c r="G55" s="283"/>
      <c r="H55" s="344">
        <v>41000</v>
      </c>
      <c r="I55" s="344">
        <v>46000</v>
      </c>
      <c r="J55" s="334">
        <f t="shared" si="3"/>
        <v>5000</v>
      </c>
      <c r="K55" s="276"/>
    </row>
    <row r="56" spans="1:11" ht="21.95" customHeight="1">
      <c r="A56" s="244">
        <v>55</v>
      </c>
      <c r="B56" s="569"/>
      <c r="C56" s="248" t="s">
        <v>748</v>
      </c>
      <c r="D56" s="248" t="s">
        <v>722</v>
      </c>
      <c r="E56" s="258" t="s">
        <v>584</v>
      </c>
      <c r="F56" s="258" t="s">
        <v>676</v>
      </c>
      <c r="G56" s="284"/>
      <c r="H56" s="343">
        <v>47200</v>
      </c>
      <c r="I56" s="343">
        <v>48000</v>
      </c>
      <c r="J56" s="334">
        <f t="shared" si="3"/>
        <v>800</v>
      </c>
      <c r="K56" s="276"/>
    </row>
    <row r="57" spans="1:11" ht="21.95" customHeight="1">
      <c r="A57" s="244">
        <v>56</v>
      </c>
      <c r="B57" s="569"/>
      <c r="C57" s="248" t="s">
        <v>749</v>
      </c>
      <c r="D57" s="248" t="s">
        <v>720</v>
      </c>
      <c r="E57" s="257" t="s">
        <v>626</v>
      </c>
      <c r="F57" s="257">
        <v>2</v>
      </c>
      <c r="G57" s="283"/>
      <c r="H57" s="344">
        <v>43330</v>
      </c>
      <c r="I57" s="344">
        <v>48000</v>
      </c>
      <c r="J57" s="334">
        <f t="shared" si="3"/>
        <v>4670</v>
      </c>
      <c r="K57" s="276"/>
    </row>
    <row r="58" spans="1:11" ht="21.95" customHeight="1">
      <c r="A58" s="244">
        <v>57</v>
      </c>
      <c r="B58" s="569"/>
      <c r="C58" s="248" t="s">
        <v>750</v>
      </c>
      <c r="D58" s="248" t="s">
        <v>710</v>
      </c>
      <c r="E58" s="257" t="s">
        <v>584</v>
      </c>
      <c r="F58" s="257">
        <v>2</v>
      </c>
      <c r="G58" s="283"/>
      <c r="H58" s="344">
        <v>42630</v>
      </c>
      <c r="I58" s="344">
        <v>47630</v>
      </c>
      <c r="J58" s="334">
        <f t="shared" si="3"/>
        <v>5000</v>
      </c>
      <c r="K58" s="276"/>
    </row>
    <row r="59" spans="1:11" ht="21.95" customHeight="1">
      <c r="A59" s="244">
        <v>58</v>
      </c>
      <c r="B59" s="569"/>
      <c r="C59" s="248" t="s">
        <v>751</v>
      </c>
      <c r="D59" s="248" t="s">
        <v>710</v>
      </c>
      <c r="E59" s="257" t="s">
        <v>25</v>
      </c>
      <c r="F59" s="257">
        <v>3</v>
      </c>
      <c r="G59" s="283"/>
      <c r="H59" s="344">
        <v>57830</v>
      </c>
      <c r="I59" s="344">
        <v>63000</v>
      </c>
      <c r="J59" s="334">
        <f t="shared" si="3"/>
        <v>5170</v>
      </c>
      <c r="K59" s="276"/>
    </row>
    <row r="60" spans="1:11" ht="21.95" customHeight="1">
      <c r="A60" s="244">
        <v>59</v>
      </c>
      <c r="B60" s="569"/>
      <c r="C60" s="248" t="s">
        <v>752</v>
      </c>
      <c r="D60" s="248" t="s">
        <v>710</v>
      </c>
      <c r="E60" s="258" t="s">
        <v>584</v>
      </c>
      <c r="F60" s="258">
        <v>2</v>
      </c>
      <c r="G60" s="284"/>
      <c r="H60" s="343">
        <v>47500</v>
      </c>
      <c r="I60" s="343">
        <v>53000</v>
      </c>
      <c r="J60" s="334">
        <f t="shared" si="3"/>
        <v>5500</v>
      </c>
      <c r="K60" s="311"/>
    </row>
    <row r="61" spans="1:11" ht="21.95" customHeight="1">
      <c r="A61" s="244">
        <v>60</v>
      </c>
      <c r="B61" s="569"/>
      <c r="C61" s="248" t="s">
        <v>753</v>
      </c>
      <c r="D61" s="248" t="s">
        <v>696</v>
      </c>
      <c r="E61" s="257" t="s">
        <v>25</v>
      </c>
      <c r="F61" s="257">
        <v>2</v>
      </c>
      <c r="G61" s="283"/>
      <c r="H61" s="344">
        <v>60000</v>
      </c>
      <c r="I61" s="344">
        <v>63000</v>
      </c>
      <c r="J61" s="334">
        <f t="shared" si="3"/>
        <v>3000</v>
      </c>
      <c r="K61" s="276"/>
    </row>
    <row r="62" spans="1:11" ht="21.95" customHeight="1">
      <c r="A62" s="244">
        <v>61</v>
      </c>
      <c r="B62" s="569"/>
      <c r="C62" s="248" t="s">
        <v>754</v>
      </c>
      <c r="D62" s="248" t="s">
        <v>701</v>
      </c>
      <c r="E62" s="257" t="s">
        <v>588</v>
      </c>
      <c r="F62" s="257">
        <v>1</v>
      </c>
      <c r="G62" s="283"/>
      <c r="H62" s="344">
        <v>28000</v>
      </c>
      <c r="I62" s="344">
        <v>32000</v>
      </c>
      <c r="J62" s="334">
        <f t="shared" si="3"/>
        <v>4000</v>
      </c>
      <c r="K62" s="276"/>
    </row>
    <row r="63" spans="1:11" ht="21.95" customHeight="1">
      <c r="A63" s="244">
        <v>62</v>
      </c>
      <c r="B63" s="569"/>
      <c r="C63" s="248" t="s">
        <v>755</v>
      </c>
      <c r="D63" s="248" t="s">
        <v>756</v>
      </c>
      <c r="E63" s="258" t="s">
        <v>600</v>
      </c>
      <c r="F63" s="258">
        <v>2</v>
      </c>
      <c r="G63" s="284"/>
      <c r="H63" s="343">
        <v>53000</v>
      </c>
      <c r="I63" s="343">
        <v>60000</v>
      </c>
      <c r="J63" s="334">
        <f t="shared" si="3"/>
        <v>7000</v>
      </c>
      <c r="K63" s="276"/>
    </row>
    <row r="64" spans="1:11" ht="21.95" customHeight="1">
      <c r="A64" s="244">
        <v>63</v>
      </c>
      <c r="B64" s="569"/>
      <c r="C64" s="248" t="s">
        <v>832</v>
      </c>
      <c r="D64" s="248" t="s">
        <v>720</v>
      </c>
      <c r="E64" s="258" t="s">
        <v>584</v>
      </c>
      <c r="F64" s="258">
        <v>2</v>
      </c>
      <c r="G64" s="284"/>
      <c r="H64" s="343">
        <v>44375</v>
      </c>
      <c r="I64" s="343">
        <v>50000</v>
      </c>
      <c r="J64" s="334">
        <f t="shared" si="3"/>
        <v>5625</v>
      </c>
      <c r="K64" s="276"/>
    </row>
    <row r="65" spans="1:11" ht="21.95" customHeight="1">
      <c r="A65" s="244">
        <v>64</v>
      </c>
      <c r="B65" s="569"/>
      <c r="C65" s="248" t="s">
        <v>758</v>
      </c>
      <c r="D65" s="248" t="s">
        <v>698</v>
      </c>
      <c r="E65" s="258" t="s">
        <v>584</v>
      </c>
      <c r="F65" s="258">
        <v>2</v>
      </c>
      <c r="G65" s="284"/>
      <c r="H65" s="343">
        <v>49375</v>
      </c>
      <c r="I65" s="343">
        <v>55000</v>
      </c>
      <c r="J65" s="334">
        <f t="shared" si="3"/>
        <v>5625</v>
      </c>
      <c r="K65" s="276"/>
    </row>
    <row r="66" spans="1:11" ht="21.95" customHeight="1">
      <c r="A66" s="244">
        <v>65</v>
      </c>
      <c r="B66" s="569"/>
      <c r="C66" s="248" t="s">
        <v>759</v>
      </c>
      <c r="D66" s="248" t="s">
        <v>710</v>
      </c>
      <c r="E66" s="257" t="s">
        <v>584</v>
      </c>
      <c r="F66" s="257">
        <v>2</v>
      </c>
      <c r="G66" s="283"/>
      <c r="H66" s="344">
        <v>48200</v>
      </c>
      <c r="I66" s="344">
        <v>52000</v>
      </c>
      <c r="J66" s="334">
        <f t="shared" si="3"/>
        <v>3800</v>
      </c>
      <c r="K66" s="275"/>
    </row>
    <row r="67" spans="1:11" ht="21.95" customHeight="1">
      <c r="A67" s="244">
        <v>66</v>
      </c>
      <c r="B67" s="569"/>
      <c r="C67" s="248" t="s">
        <v>760</v>
      </c>
      <c r="D67" s="248" t="s">
        <v>710</v>
      </c>
      <c r="E67" s="257" t="s">
        <v>584</v>
      </c>
      <c r="F67" s="257">
        <v>2</v>
      </c>
      <c r="G67" s="283"/>
      <c r="H67" s="344">
        <v>38000</v>
      </c>
      <c r="I67" s="344">
        <v>43000</v>
      </c>
      <c r="J67" s="334">
        <f t="shared" si="3"/>
        <v>5000</v>
      </c>
      <c r="K67" s="275"/>
    </row>
    <row r="68" spans="1:11" ht="21.95" customHeight="1">
      <c r="A68" s="244">
        <v>67</v>
      </c>
      <c r="B68" s="569"/>
      <c r="C68" s="248" t="s">
        <v>833</v>
      </c>
      <c r="D68" s="248">
        <v>101</v>
      </c>
      <c r="E68" s="257" t="s">
        <v>584</v>
      </c>
      <c r="F68" s="257">
        <v>2</v>
      </c>
      <c r="G68" s="283"/>
      <c r="H68" s="344">
        <v>38000</v>
      </c>
      <c r="I68" s="344">
        <v>43000</v>
      </c>
      <c r="J68" s="334">
        <f t="shared" si="3"/>
        <v>5000</v>
      </c>
      <c r="K68" s="275"/>
    </row>
    <row r="69" spans="1:11" ht="21.95" customHeight="1">
      <c r="A69" s="244">
        <v>68</v>
      </c>
      <c r="B69" s="569"/>
      <c r="C69" s="248" t="s">
        <v>761</v>
      </c>
      <c r="D69" s="248" t="s">
        <v>698</v>
      </c>
      <c r="E69" s="257" t="s">
        <v>584</v>
      </c>
      <c r="F69" s="257">
        <v>2</v>
      </c>
      <c r="G69" s="283"/>
      <c r="H69" s="344">
        <v>50730</v>
      </c>
      <c r="I69" s="344">
        <v>56000</v>
      </c>
      <c r="J69" s="334">
        <f t="shared" si="3"/>
        <v>5270</v>
      </c>
      <c r="K69" s="275"/>
    </row>
    <row r="70" spans="1:11" ht="21.95" customHeight="1">
      <c r="A70" s="244">
        <v>69</v>
      </c>
      <c r="B70" s="569"/>
      <c r="C70" s="248" t="s">
        <v>761</v>
      </c>
      <c r="D70" s="248" t="s">
        <v>710</v>
      </c>
      <c r="E70" s="257" t="s">
        <v>584</v>
      </c>
      <c r="F70" s="257">
        <v>2</v>
      </c>
      <c r="G70" s="283"/>
      <c r="H70" s="344">
        <v>50730</v>
      </c>
      <c r="I70" s="344">
        <v>56000</v>
      </c>
      <c r="J70" s="334">
        <f t="shared" si="3"/>
        <v>5270</v>
      </c>
      <c r="K70" s="275"/>
    </row>
    <row r="71" spans="1:11" ht="21.95" customHeight="1">
      <c r="A71" s="244">
        <v>70</v>
      </c>
      <c r="B71" s="569"/>
      <c r="C71" s="248" t="s">
        <v>762</v>
      </c>
      <c r="D71" s="248" t="s">
        <v>693</v>
      </c>
      <c r="E71" s="257" t="s">
        <v>574</v>
      </c>
      <c r="F71" s="257">
        <v>3</v>
      </c>
      <c r="G71" s="283"/>
      <c r="H71" s="344">
        <v>46590</v>
      </c>
      <c r="I71" s="344">
        <v>51000</v>
      </c>
      <c r="J71" s="334">
        <f t="shared" si="3"/>
        <v>4410</v>
      </c>
      <c r="K71" s="275"/>
    </row>
    <row r="72" spans="1:11" ht="21.95" customHeight="1">
      <c r="A72" s="244">
        <v>71</v>
      </c>
      <c r="B72" s="569"/>
      <c r="C72" s="248" t="s">
        <v>763</v>
      </c>
      <c r="D72" s="248" t="s">
        <v>693</v>
      </c>
      <c r="E72" s="257" t="s">
        <v>574</v>
      </c>
      <c r="F72" s="257">
        <v>2</v>
      </c>
      <c r="G72" s="283"/>
      <c r="H72" s="344">
        <v>45830</v>
      </c>
      <c r="I72" s="344">
        <v>50500</v>
      </c>
      <c r="J72" s="334">
        <f t="shared" si="3"/>
        <v>4670</v>
      </c>
      <c r="K72" s="275"/>
    </row>
    <row r="73" spans="1:11" ht="21.95" customHeight="1">
      <c r="A73" s="244">
        <v>72</v>
      </c>
      <c r="B73" s="569"/>
      <c r="C73" s="248" t="s">
        <v>764</v>
      </c>
      <c r="D73" s="248" t="s">
        <v>725</v>
      </c>
      <c r="E73" s="257" t="s">
        <v>25</v>
      </c>
      <c r="F73" s="257">
        <v>3</v>
      </c>
      <c r="G73" s="283"/>
      <c r="H73" s="344">
        <v>54200</v>
      </c>
      <c r="I73" s="344">
        <v>60000</v>
      </c>
      <c r="J73" s="334">
        <f t="shared" si="3"/>
        <v>5800</v>
      </c>
      <c r="K73" s="275"/>
    </row>
    <row r="74" spans="1:11" ht="21.95" customHeight="1" thickBot="1">
      <c r="A74" s="244">
        <v>73</v>
      </c>
      <c r="B74" s="570"/>
      <c r="C74" s="266" t="s">
        <v>766</v>
      </c>
      <c r="D74" s="266" t="s">
        <v>701</v>
      </c>
      <c r="E74" s="263" t="s">
        <v>581</v>
      </c>
      <c r="F74" s="257">
        <v>2</v>
      </c>
      <c r="G74" s="283"/>
      <c r="H74" s="344">
        <v>45280</v>
      </c>
      <c r="I74" s="344">
        <v>50100</v>
      </c>
      <c r="J74" s="334">
        <f t="shared" si="3"/>
        <v>4820</v>
      </c>
      <c r="K74" s="275"/>
    </row>
    <row r="75" spans="1:11" ht="23.45" customHeight="1" thickTop="1">
      <c r="A75" s="244">
        <v>74</v>
      </c>
      <c r="B75" s="576" t="s">
        <v>654</v>
      </c>
      <c r="C75" s="252" t="s">
        <v>773</v>
      </c>
      <c r="D75" s="252" t="s">
        <v>722</v>
      </c>
      <c r="E75" s="261" t="s">
        <v>583</v>
      </c>
      <c r="F75" s="257">
        <v>1</v>
      </c>
      <c r="G75" s="283">
        <v>0</v>
      </c>
      <c r="H75" s="344">
        <v>47000</v>
      </c>
      <c r="I75" s="344">
        <v>47000</v>
      </c>
      <c r="J75" s="334">
        <f t="shared" si="3"/>
        <v>0</v>
      </c>
      <c r="K75" s="275" t="s">
        <v>685</v>
      </c>
    </row>
    <row r="76" spans="1:11" ht="23.45" customHeight="1">
      <c r="A76" s="244">
        <v>75</v>
      </c>
      <c r="B76" s="577"/>
      <c r="C76" s="248" t="s">
        <v>775</v>
      </c>
      <c r="D76" s="248" t="s">
        <v>720</v>
      </c>
      <c r="E76" s="257" t="s">
        <v>583</v>
      </c>
      <c r="F76" s="257"/>
      <c r="G76" s="283" t="s">
        <v>660</v>
      </c>
      <c r="H76" s="344">
        <v>0</v>
      </c>
      <c r="I76" s="344"/>
      <c r="J76" s="334">
        <f t="shared" si="3"/>
        <v>0</v>
      </c>
      <c r="K76" s="275" t="s">
        <v>637</v>
      </c>
    </row>
    <row r="77" spans="1:11" ht="23.45" customHeight="1">
      <c r="A77" s="244">
        <v>76</v>
      </c>
      <c r="B77" s="577"/>
      <c r="C77" s="248" t="s">
        <v>778</v>
      </c>
      <c r="D77" s="248" t="s">
        <v>770</v>
      </c>
      <c r="E77" s="257" t="s">
        <v>589</v>
      </c>
      <c r="F77" s="257"/>
      <c r="G77" s="283" t="s">
        <v>660</v>
      </c>
      <c r="H77" s="344">
        <v>0</v>
      </c>
      <c r="I77" s="344"/>
      <c r="J77" s="334">
        <f t="shared" ref="J77:J108" si="4">I77-H77</f>
        <v>0</v>
      </c>
      <c r="K77" s="275" t="s">
        <v>634</v>
      </c>
    </row>
    <row r="78" spans="1:11" ht="23.45" customHeight="1">
      <c r="A78" s="244">
        <v>77</v>
      </c>
      <c r="B78" s="577"/>
      <c r="C78" s="248" t="s">
        <v>783</v>
      </c>
      <c r="D78" s="248" t="s">
        <v>722</v>
      </c>
      <c r="E78" s="257" t="s">
        <v>583</v>
      </c>
      <c r="F78" s="257">
        <v>1</v>
      </c>
      <c r="G78" s="283" t="s">
        <v>679</v>
      </c>
      <c r="H78" s="344">
        <v>47000</v>
      </c>
      <c r="I78" s="344">
        <v>52000</v>
      </c>
      <c r="J78" s="334">
        <f t="shared" si="4"/>
        <v>5000</v>
      </c>
      <c r="K78" s="275"/>
    </row>
    <row r="79" spans="1:11" ht="23.45" customHeight="1">
      <c r="A79" s="244">
        <v>78</v>
      </c>
      <c r="B79" s="577"/>
      <c r="C79" s="248" t="s">
        <v>778</v>
      </c>
      <c r="D79" s="248" t="s">
        <v>716</v>
      </c>
      <c r="E79" s="257" t="s">
        <v>583</v>
      </c>
      <c r="F79" s="257">
        <v>1</v>
      </c>
      <c r="G79" s="283" t="s">
        <v>679</v>
      </c>
      <c r="H79" s="344">
        <v>47000</v>
      </c>
      <c r="I79" s="344">
        <v>52000</v>
      </c>
      <c r="J79" s="334">
        <f t="shared" si="4"/>
        <v>5000</v>
      </c>
      <c r="K79" s="275"/>
    </row>
    <row r="80" spans="1:11" ht="23.45" customHeight="1">
      <c r="A80" s="244">
        <v>79</v>
      </c>
      <c r="B80" s="577"/>
      <c r="C80" s="248" t="s">
        <v>769</v>
      </c>
      <c r="D80" s="248" t="s">
        <v>693</v>
      </c>
      <c r="E80" s="257" t="s">
        <v>589</v>
      </c>
      <c r="F80" s="257">
        <v>1</v>
      </c>
      <c r="G80" s="283" t="s">
        <v>854</v>
      </c>
      <c r="H80" s="344">
        <v>42000</v>
      </c>
      <c r="I80" s="344">
        <v>47000</v>
      </c>
      <c r="J80" s="334">
        <f t="shared" si="4"/>
        <v>5000</v>
      </c>
      <c r="K80" s="275" t="s">
        <v>853</v>
      </c>
    </row>
    <row r="81" spans="1:11" ht="23.45" customHeight="1">
      <c r="A81" s="244">
        <v>80</v>
      </c>
      <c r="B81" s="577"/>
      <c r="C81" s="248" t="s">
        <v>787</v>
      </c>
      <c r="D81" s="248" t="s">
        <v>788</v>
      </c>
      <c r="E81" s="257" t="s">
        <v>584</v>
      </c>
      <c r="F81" s="257">
        <v>2</v>
      </c>
      <c r="G81" s="283"/>
      <c r="H81" s="344">
        <v>43000</v>
      </c>
      <c r="I81" s="344">
        <v>43000</v>
      </c>
      <c r="J81" s="334">
        <f t="shared" si="4"/>
        <v>0</v>
      </c>
      <c r="K81" s="275"/>
    </row>
    <row r="82" spans="1:11" ht="23.45" customHeight="1">
      <c r="A82" s="244">
        <v>81</v>
      </c>
      <c r="B82" s="577"/>
      <c r="C82" s="248" t="s">
        <v>787</v>
      </c>
      <c r="D82" s="248" t="s">
        <v>770</v>
      </c>
      <c r="E82" s="257" t="s">
        <v>584</v>
      </c>
      <c r="F82" s="257">
        <v>2</v>
      </c>
      <c r="G82" s="283"/>
      <c r="H82" s="344">
        <v>53000</v>
      </c>
      <c r="I82" s="344">
        <v>58000</v>
      </c>
      <c r="J82" s="334">
        <f t="shared" si="4"/>
        <v>5000</v>
      </c>
      <c r="K82" s="275"/>
    </row>
    <row r="83" spans="1:11" ht="23.45" customHeight="1">
      <c r="A83" s="244">
        <v>82</v>
      </c>
      <c r="B83" s="577"/>
      <c r="C83" s="248" t="s">
        <v>787</v>
      </c>
      <c r="D83" s="248" t="s">
        <v>768</v>
      </c>
      <c r="E83" s="257" t="s">
        <v>584</v>
      </c>
      <c r="F83" s="257">
        <v>3</v>
      </c>
      <c r="G83" s="283"/>
      <c r="H83" s="344">
        <v>53000</v>
      </c>
      <c r="I83" s="344">
        <v>54999</v>
      </c>
      <c r="J83" s="334">
        <f t="shared" si="4"/>
        <v>1999</v>
      </c>
      <c r="K83" s="275"/>
    </row>
    <row r="84" spans="1:11" ht="23.45" customHeight="1">
      <c r="A84" s="244">
        <v>83</v>
      </c>
      <c r="B84" s="577"/>
      <c r="C84" s="248" t="s">
        <v>787</v>
      </c>
      <c r="D84" s="248" t="s">
        <v>693</v>
      </c>
      <c r="E84" s="257" t="s">
        <v>584</v>
      </c>
      <c r="F84" s="257">
        <v>3</v>
      </c>
      <c r="G84" s="283"/>
      <c r="H84" s="344">
        <v>53000</v>
      </c>
      <c r="I84" s="344">
        <v>54999</v>
      </c>
      <c r="J84" s="334">
        <f t="shared" si="4"/>
        <v>1999</v>
      </c>
      <c r="K84" s="275"/>
    </row>
    <row r="85" spans="1:11" ht="23.45" customHeight="1">
      <c r="A85" s="244">
        <v>84</v>
      </c>
      <c r="B85" s="577"/>
      <c r="C85" s="248" t="s">
        <v>787</v>
      </c>
      <c r="D85" s="248" t="s">
        <v>696</v>
      </c>
      <c r="E85" s="257" t="s">
        <v>584</v>
      </c>
      <c r="F85" s="257">
        <v>3</v>
      </c>
      <c r="G85" s="283"/>
      <c r="H85" s="344">
        <v>53000</v>
      </c>
      <c r="I85" s="344">
        <v>54999</v>
      </c>
      <c r="J85" s="334">
        <f t="shared" si="4"/>
        <v>1999</v>
      </c>
      <c r="K85" s="275"/>
    </row>
    <row r="86" spans="1:11" ht="23.45" customHeight="1">
      <c r="A86" s="244">
        <v>85</v>
      </c>
      <c r="B86" s="577"/>
      <c r="C86" s="248" t="s">
        <v>787</v>
      </c>
      <c r="D86" s="248" t="s">
        <v>789</v>
      </c>
      <c r="E86" s="257" t="s">
        <v>584</v>
      </c>
      <c r="F86" s="257">
        <v>3</v>
      </c>
      <c r="G86" s="283"/>
      <c r="H86" s="344">
        <v>48000</v>
      </c>
      <c r="I86" s="344">
        <v>48000</v>
      </c>
      <c r="J86" s="334">
        <f t="shared" si="4"/>
        <v>0</v>
      </c>
      <c r="K86" s="275"/>
    </row>
    <row r="87" spans="1:11" ht="23.45" customHeight="1">
      <c r="A87" s="244">
        <v>86</v>
      </c>
      <c r="B87" s="577"/>
      <c r="C87" s="248" t="s">
        <v>787</v>
      </c>
      <c r="D87" s="248" t="s">
        <v>790</v>
      </c>
      <c r="E87" s="257" t="s">
        <v>584</v>
      </c>
      <c r="F87" s="257">
        <v>3</v>
      </c>
      <c r="G87" s="283"/>
      <c r="H87" s="344">
        <v>48000</v>
      </c>
      <c r="I87" s="344">
        <v>52800</v>
      </c>
      <c r="J87" s="334">
        <f t="shared" si="4"/>
        <v>4800</v>
      </c>
      <c r="K87" s="275"/>
    </row>
    <row r="88" spans="1:11" ht="23.45" customHeight="1">
      <c r="A88" s="244">
        <v>87</v>
      </c>
      <c r="B88" s="577"/>
      <c r="C88" s="244" t="s">
        <v>787</v>
      </c>
      <c r="D88" s="248" t="s">
        <v>710</v>
      </c>
      <c r="E88" s="257" t="s">
        <v>584</v>
      </c>
      <c r="F88" s="257">
        <v>3</v>
      </c>
      <c r="G88" s="283"/>
      <c r="H88" s="344">
        <v>48000</v>
      </c>
      <c r="I88" s="344">
        <v>48000</v>
      </c>
      <c r="J88" s="334">
        <f t="shared" si="4"/>
        <v>0</v>
      </c>
      <c r="K88" s="275"/>
    </row>
    <row r="89" spans="1:11" ht="23.45" customHeight="1">
      <c r="A89" s="244">
        <v>88</v>
      </c>
      <c r="B89" s="577"/>
      <c r="C89" s="248" t="s">
        <v>786</v>
      </c>
      <c r="D89" s="248" t="s">
        <v>698</v>
      </c>
      <c r="E89" s="257" t="s">
        <v>584</v>
      </c>
      <c r="F89" s="257">
        <v>2</v>
      </c>
      <c r="G89" s="283"/>
      <c r="H89" s="344">
        <v>48000</v>
      </c>
      <c r="I89" s="344">
        <v>48000</v>
      </c>
      <c r="J89" s="334">
        <f t="shared" si="4"/>
        <v>0</v>
      </c>
      <c r="K89" s="275"/>
    </row>
    <row r="90" spans="1:11" ht="23.45" customHeight="1">
      <c r="A90" s="244">
        <v>89</v>
      </c>
      <c r="B90" s="577"/>
      <c r="C90" s="248" t="s">
        <v>786</v>
      </c>
      <c r="D90" s="248" t="s">
        <v>720</v>
      </c>
      <c r="E90" s="257" t="s">
        <v>584</v>
      </c>
      <c r="F90" s="257">
        <v>3</v>
      </c>
      <c r="G90" s="283"/>
      <c r="H90" s="344">
        <v>48000</v>
      </c>
      <c r="I90" s="344">
        <v>48000</v>
      </c>
      <c r="J90" s="334">
        <f t="shared" si="4"/>
        <v>0</v>
      </c>
      <c r="K90" s="275"/>
    </row>
    <row r="91" spans="1:11" ht="23.45" customHeight="1">
      <c r="A91" s="244">
        <v>90</v>
      </c>
      <c r="B91" s="577"/>
      <c r="C91" s="248" t="s">
        <v>775</v>
      </c>
      <c r="D91" s="248" t="s">
        <v>693</v>
      </c>
      <c r="E91" s="257" t="s">
        <v>583</v>
      </c>
      <c r="F91" s="257">
        <v>2</v>
      </c>
      <c r="G91" s="283"/>
      <c r="H91" s="344">
        <v>49500</v>
      </c>
      <c r="I91" s="344">
        <v>54000</v>
      </c>
      <c r="J91" s="334">
        <f t="shared" si="4"/>
        <v>4500</v>
      </c>
      <c r="K91" s="275"/>
    </row>
    <row r="92" spans="1:11" ht="23.45" customHeight="1">
      <c r="A92" s="244">
        <v>91</v>
      </c>
      <c r="B92" s="577"/>
      <c r="C92" s="248" t="s">
        <v>784</v>
      </c>
      <c r="D92" s="248" t="s">
        <v>785</v>
      </c>
      <c r="E92" s="257" t="s">
        <v>582</v>
      </c>
      <c r="F92" s="257">
        <v>1</v>
      </c>
      <c r="G92" s="283"/>
      <c r="H92" s="344">
        <v>32000</v>
      </c>
      <c r="I92" s="344">
        <v>32000</v>
      </c>
      <c r="J92" s="334">
        <f t="shared" si="4"/>
        <v>0</v>
      </c>
      <c r="K92" s="275" t="s">
        <v>635</v>
      </c>
    </row>
    <row r="93" spans="1:11" ht="23.45" customHeight="1">
      <c r="A93" s="244">
        <v>92</v>
      </c>
      <c r="B93" s="577"/>
      <c r="C93" s="248" t="s">
        <v>689</v>
      </c>
      <c r="D93" s="248"/>
      <c r="E93" s="257" t="s">
        <v>25</v>
      </c>
      <c r="F93" s="257"/>
      <c r="G93" s="283"/>
      <c r="H93" s="344"/>
      <c r="I93" s="344"/>
      <c r="J93" s="334">
        <f t="shared" si="4"/>
        <v>0</v>
      </c>
      <c r="K93" s="298" t="s">
        <v>627</v>
      </c>
    </row>
    <row r="94" spans="1:11" ht="23.45" customHeight="1">
      <c r="A94" s="244">
        <v>93</v>
      </c>
      <c r="B94" s="577"/>
      <c r="C94" s="248" t="s">
        <v>773</v>
      </c>
      <c r="D94" s="248" t="s">
        <v>693</v>
      </c>
      <c r="E94" s="257" t="s">
        <v>582</v>
      </c>
      <c r="F94" s="257">
        <v>1</v>
      </c>
      <c r="G94" s="283"/>
      <c r="H94" s="344">
        <v>37000</v>
      </c>
      <c r="I94" s="344">
        <v>37000</v>
      </c>
      <c r="J94" s="334">
        <f t="shared" si="4"/>
        <v>0</v>
      </c>
      <c r="K94" s="275"/>
    </row>
    <row r="95" spans="1:11" ht="23.45" customHeight="1">
      <c r="A95" s="244">
        <v>94</v>
      </c>
      <c r="B95" s="577"/>
      <c r="C95" s="248" t="s">
        <v>773</v>
      </c>
      <c r="D95" s="248" t="s">
        <v>716</v>
      </c>
      <c r="E95" s="257" t="s">
        <v>583</v>
      </c>
      <c r="F95" s="257">
        <v>2</v>
      </c>
      <c r="G95" s="283"/>
      <c r="H95" s="344">
        <v>47000</v>
      </c>
      <c r="I95" s="344">
        <v>47000</v>
      </c>
      <c r="J95" s="334">
        <f t="shared" si="4"/>
        <v>0</v>
      </c>
      <c r="K95" s="275"/>
    </row>
    <row r="96" spans="1:11" ht="23.45" customHeight="1">
      <c r="A96" s="244">
        <v>95</v>
      </c>
      <c r="B96" s="577"/>
      <c r="C96" s="248" t="s">
        <v>773</v>
      </c>
      <c r="D96" s="248" t="s">
        <v>710</v>
      </c>
      <c r="E96" s="257" t="s">
        <v>584</v>
      </c>
      <c r="F96" s="257">
        <v>2</v>
      </c>
      <c r="G96" s="283"/>
      <c r="H96" s="344">
        <v>47000</v>
      </c>
      <c r="I96" s="344">
        <v>52000</v>
      </c>
      <c r="J96" s="334">
        <f t="shared" si="4"/>
        <v>5000</v>
      </c>
      <c r="K96" s="275"/>
    </row>
    <row r="97" spans="1:11" ht="23.45" customHeight="1">
      <c r="A97" s="244">
        <v>96</v>
      </c>
      <c r="B97" s="577"/>
      <c r="C97" s="248" t="s">
        <v>774</v>
      </c>
      <c r="D97" s="248" t="s">
        <v>693</v>
      </c>
      <c r="E97" s="257" t="s">
        <v>582</v>
      </c>
      <c r="F97" s="257">
        <v>1</v>
      </c>
      <c r="G97" s="283"/>
      <c r="H97" s="344">
        <v>30000</v>
      </c>
      <c r="I97" s="344">
        <v>32000</v>
      </c>
      <c r="J97" s="334">
        <f t="shared" si="4"/>
        <v>2000</v>
      </c>
      <c r="K97" s="275"/>
    </row>
    <row r="98" spans="1:11" ht="23.45" customHeight="1">
      <c r="A98" s="244">
        <v>97</v>
      </c>
      <c r="B98" s="577"/>
      <c r="C98" s="248" t="s">
        <v>774</v>
      </c>
      <c r="D98" s="248" t="s">
        <v>696</v>
      </c>
      <c r="E98" s="257" t="s">
        <v>582</v>
      </c>
      <c r="F98" s="257" t="s">
        <v>121</v>
      </c>
      <c r="G98" s="283"/>
      <c r="H98" s="344">
        <v>30000</v>
      </c>
      <c r="I98" s="344">
        <v>35000</v>
      </c>
      <c r="J98" s="334">
        <f t="shared" si="4"/>
        <v>5000</v>
      </c>
      <c r="K98" s="275"/>
    </row>
    <row r="99" spans="1:11" ht="23.45" customHeight="1">
      <c r="A99" s="244">
        <v>98</v>
      </c>
      <c r="B99" s="577"/>
      <c r="C99" s="248" t="s">
        <v>774</v>
      </c>
      <c r="D99" s="248" t="s">
        <v>781</v>
      </c>
      <c r="E99" s="257" t="s">
        <v>582</v>
      </c>
      <c r="F99" s="257">
        <v>1</v>
      </c>
      <c r="G99" s="283"/>
      <c r="H99" s="344">
        <v>30000</v>
      </c>
      <c r="I99" s="344">
        <v>30000</v>
      </c>
      <c r="J99" s="334">
        <f t="shared" si="4"/>
        <v>0</v>
      </c>
      <c r="K99" s="275"/>
    </row>
    <row r="100" spans="1:11" ht="23.45" customHeight="1">
      <c r="A100" s="244">
        <v>99</v>
      </c>
      <c r="B100" s="577"/>
      <c r="C100" s="248" t="s">
        <v>774</v>
      </c>
      <c r="D100" s="248" t="s">
        <v>768</v>
      </c>
      <c r="E100" s="257" t="s">
        <v>582</v>
      </c>
      <c r="F100" s="257">
        <v>1</v>
      </c>
      <c r="G100" s="283"/>
      <c r="H100" s="344">
        <v>30000</v>
      </c>
      <c r="I100" s="344">
        <v>31000</v>
      </c>
      <c r="J100" s="334">
        <f t="shared" si="4"/>
        <v>1000</v>
      </c>
      <c r="K100" s="275"/>
    </row>
    <row r="101" spans="1:11" ht="23.45" customHeight="1">
      <c r="A101" s="244">
        <v>100</v>
      </c>
      <c r="B101" s="577"/>
      <c r="C101" s="248" t="s">
        <v>774</v>
      </c>
      <c r="D101" s="248" t="s">
        <v>701</v>
      </c>
      <c r="E101" s="257" t="s">
        <v>582</v>
      </c>
      <c r="F101" s="257">
        <v>1</v>
      </c>
      <c r="G101" s="283"/>
      <c r="H101" s="344">
        <v>30000</v>
      </c>
      <c r="I101" s="344">
        <v>30000</v>
      </c>
      <c r="J101" s="334">
        <f t="shared" si="4"/>
        <v>0</v>
      </c>
      <c r="K101" s="275"/>
    </row>
    <row r="102" spans="1:11" ht="23.45" customHeight="1">
      <c r="A102" s="244">
        <v>101</v>
      </c>
      <c r="B102" s="577"/>
      <c r="C102" s="248" t="s">
        <v>774</v>
      </c>
      <c r="D102" s="248" t="s">
        <v>720</v>
      </c>
      <c r="E102" s="257" t="s">
        <v>583</v>
      </c>
      <c r="F102" s="257">
        <v>2</v>
      </c>
      <c r="G102" s="283"/>
      <c r="H102" s="344">
        <v>47000</v>
      </c>
      <c r="I102" s="344">
        <v>52000</v>
      </c>
      <c r="J102" s="334">
        <f t="shared" si="4"/>
        <v>5000</v>
      </c>
      <c r="K102" s="275"/>
    </row>
    <row r="103" spans="1:11" ht="23.45" customHeight="1">
      <c r="A103" s="244">
        <v>102</v>
      </c>
      <c r="B103" s="577"/>
      <c r="C103" s="248" t="s">
        <v>774</v>
      </c>
      <c r="D103" s="248" t="s">
        <v>698</v>
      </c>
      <c r="E103" s="257" t="s">
        <v>583</v>
      </c>
      <c r="F103" s="257">
        <v>2</v>
      </c>
      <c r="G103" s="283"/>
      <c r="H103" s="344">
        <v>47000</v>
      </c>
      <c r="I103" s="344">
        <v>52000</v>
      </c>
      <c r="J103" s="334">
        <f t="shared" si="4"/>
        <v>5000</v>
      </c>
      <c r="K103" s="275"/>
    </row>
    <row r="104" spans="1:11" ht="23.45" customHeight="1">
      <c r="A104" s="244">
        <v>103</v>
      </c>
      <c r="B104" s="577"/>
      <c r="C104" s="248" t="s">
        <v>783</v>
      </c>
      <c r="D104" s="248" t="s">
        <v>710</v>
      </c>
      <c r="E104" s="257" t="s">
        <v>583</v>
      </c>
      <c r="F104" s="257">
        <v>2</v>
      </c>
      <c r="G104" s="283"/>
      <c r="H104" s="344">
        <v>47000</v>
      </c>
      <c r="I104" s="344">
        <v>52000</v>
      </c>
      <c r="J104" s="334">
        <f t="shared" si="4"/>
        <v>5000</v>
      </c>
      <c r="K104" s="275"/>
    </row>
    <row r="105" spans="1:11" ht="23.45" customHeight="1">
      <c r="A105" s="244">
        <v>104</v>
      </c>
      <c r="B105" s="577"/>
      <c r="C105" s="248" t="s">
        <v>783</v>
      </c>
      <c r="D105" s="248" t="s">
        <v>696</v>
      </c>
      <c r="E105" s="257" t="s">
        <v>583</v>
      </c>
      <c r="F105" s="257">
        <v>2</v>
      </c>
      <c r="G105" s="283"/>
      <c r="H105" s="344">
        <v>47000</v>
      </c>
      <c r="I105" s="344">
        <v>52000</v>
      </c>
      <c r="J105" s="334">
        <f t="shared" si="4"/>
        <v>5000</v>
      </c>
      <c r="K105" s="275"/>
    </row>
    <row r="106" spans="1:11" ht="23.45" customHeight="1">
      <c r="A106" s="244">
        <v>105</v>
      </c>
      <c r="B106" s="577"/>
      <c r="C106" s="248" t="s">
        <v>780</v>
      </c>
      <c r="D106" s="248" t="s">
        <v>701</v>
      </c>
      <c r="E106" s="257" t="s">
        <v>583</v>
      </c>
      <c r="F106" s="257">
        <v>2</v>
      </c>
      <c r="G106" s="283"/>
      <c r="H106" s="344">
        <v>47000</v>
      </c>
      <c r="I106" s="344">
        <v>52000</v>
      </c>
      <c r="J106" s="334">
        <f t="shared" si="4"/>
        <v>5000</v>
      </c>
      <c r="K106" s="275"/>
    </row>
    <row r="107" spans="1:11" ht="23.45" customHeight="1">
      <c r="A107" s="244">
        <v>106</v>
      </c>
      <c r="B107" s="577"/>
      <c r="C107" s="248" t="s">
        <v>782</v>
      </c>
      <c r="D107" s="248" t="s">
        <v>696</v>
      </c>
      <c r="E107" s="257" t="s">
        <v>582</v>
      </c>
      <c r="F107" s="257">
        <v>1</v>
      </c>
      <c r="G107" s="283"/>
      <c r="H107" s="344">
        <v>30000</v>
      </c>
      <c r="I107" s="344">
        <v>32000</v>
      </c>
      <c r="J107" s="334">
        <f t="shared" si="4"/>
        <v>2000</v>
      </c>
      <c r="K107" s="275"/>
    </row>
    <row r="108" spans="1:11" ht="23.45" customHeight="1">
      <c r="A108" s="244">
        <v>107</v>
      </c>
      <c r="B108" s="577"/>
      <c r="C108" s="248" t="s">
        <v>782</v>
      </c>
      <c r="D108" s="248" t="s">
        <v>698</v>
      </c>
      <c r="E108" s="257" t="s">
        <v>583</v>
      </c>
      <c r="F108" s="257">
        <v>2</v>
      </c>
      <c r="G108" s="283"/>
      <c r="H108" s="344">
        <v>47000</v>
      </c>
      <c r="I108" s="344">
        <v>52000</v>
      </c>
      <c r="J108" s="334">
        <f t="shared" si="4"/>
        <v>5000</v>
      </c>
      <c r="K108" s="275"/>
    </row>
    <row r="109" spans="1:11" ht="23.45" customHeight="1">
      <c r="A109" s="244">
        <v>108</v>
      </c>
      <c r="B109" s="577"/>
      <c r="C109" s="248" t="s">
        <v>782</v>
      </c>
      <c r="D109" s="248" t="s">
        <v>720</v>
      </c>
      <c r="E109" s="257" t="s">
        <v>583</v>
      </c>
      <c r="F109" s="257">
        <v>3</v>
      </c>
      <c r="G109" s="283"/>
      <c r="H109" s="344">
        <v>47000</v>
      </c>
      <c r="I109" s="344">
        <v>51900</v>
      </c>
      <c r="J109" s="334">
        <f t="shared" ref="J109:J140" si="5">I109-H109</f>
        <v>4900</v>
      </c>
      <c r="K109" s="275"/>
    </row>
    <row r="110" spans="1:11" ht="23.45" customHeight="1">
      <c r="A110" s="244">
        <v>109</v>
      </c>
      <c r="B110" s="577"/>
      <c r="C110" s="248" t="s">
        <v>778</v>
      </c>
      <c r="D110" s="248" t="s">
        <v>701</v>
      </c>
      <c r="E110" s="257" t="s">
        <v>589</v>
      </c>
      <c r="F110" s="257">
        <v>1</v>
      </c>
      <c r="G110" s="283"/>
      <c r="H110" s="344">
        <v>35000</v>
      </c>
      <c r="I110" s="344">
        <v>40000</v>
      </c>
      <c r="J110" s="334">
        <f t="shared" si="5"/>
        <v>5000</v>
      </c>
      <c r="K110" s="275"/>
    </row>
    <row r="111" spans="1:11" ht="23.45" customHeight="1">
      <c r="A111" s="244">
        <v>110</v>
      </c>
      <c r="B111" s="577"/>
      <c r="C111" s="248" t="s">
        <v>778</v>
      </c>
      <c r="D111" s="248" t="s">
        <v>719</v>
      </c>
      <c r="E111" s="257" t="s">
        <v>583</v>
      </c>
      <c r="F111" s="257">
        <v>2</v>
      </c>
      <c r="G111" s="283"/>
      <c r="H111" s="344">
        <v>47000</v>
      </c>
      <c r="I111" s="344">
        <v>52000</v>
      </c>
      <c r="J111" s="334">
        <f t="shared" si="5"/>
        <v>5000</v>
      </c>
      <c r="K111" s="275"/>
    </row>
    <row r="112" spans="1:11" ht="23.45" customHeight="1">
      <c r="A112" s="244">
        <v>111</v>
      </c>
      <c r="B112" s="577"/>
      <c r="C112" s="248" t="s">
        <v>778</v>
      </c>
      <c r="D112" s="248" t="s">
        <v>779</v>
      </c>
      <c r="E112" s="257" t="s">
        <v>583</v>
      </c>
      <c r="F112" s="257">
        <v>2</v>
      </c>
      <c r="G112" s="283"/>
      <c r="H112" s="344">
        <v>47000</v>
      </c>
      <c r="I112" s="344">
        <v>52000</v>
      </c>
      <c r="J112" s="334">
        <f t="shared" si="5"/>
        <v>5000</v>
      </c>
      <c r="K112" s="275"/>
    </row>
    <row r="113" spans="1:11" ht="23.45" customHeight="1">
      <c r="A113" s="244">
        <v>112</v>
      </c>
      <c r="B113" s="577"/>
      <c r="C113" s="248" t="s">
        <v>778</v>
      </c>
      <c r="D113" s="248" t="s">
        <v>781</v>
      </c>
      <c r="E113" s="257" t="s">
        <v>589</v>
      </c>
      <c r="F113" s="257" t="s">
        <v>121</v>
      </c>
      <c r="G113" s="283"/>
      <c r="H113" s="344">
        <v>50000</v>
      </c>
      <c r="I113" s="344">
        <v>45000</v>
      </c>
      <c r="J113" s="334">
        <f t="shared" si="5"/>
        <v>-5000</v>
      </c>
      <c r="K113" s="275" t="s">
        <v>688</v>
      </c>
    </row>
    <row r="114" spans="1:11" ht="23.45" customHeight="1">
      <c r="A114" s="244">
        <v>113</v>
      </c>
      <c r="B114" s="577"/>
      <c r="C114" s="248" t="s">
        <v>778</v>
      </c>
      <c r="D114" s="248" t="s">
        <v>710</v>
      </c>
      <c r="E114" s="257" t="s">
        <v>583</v>
      </c>
      <c r="F114" s="257">
        <v>3</v>
      </c>
      <c r="G114" s="283"/>
      <c r="H114" s="344">
        <v>47000</v>
      </c>
      <c r="I114" s="344">
        <v>51900</v>
      </c>
      <c r="J114" s="334">
        <f t="shared" si="5"/>
        <v>4900</v>
      </c>
      <c r="K114" s="275"/>
    </row>
    <row r="115" spans="1:11" ht="23.45" customHeight="1">
      <c r="A115" s="244">
        <v>114</v>
      </c>
      <c r="B115" s="577"/>
      <c r="C115" s="248" t="s">
        <v>778</v>
      </c>
      <c r="D115" s="248" t="s">
        <v>720</v>
      </c>
      <c r="E115" s="257" t="s">
        <v>583</v>
      </c>
      <c r="F115" s="257">
        <v>3</v>
      </c>
      <c r="G115" s="283"/>
      <c r="H115" s="344">
        <v>47000</v>
      </c>
      <c r="I115" s="344">
        <v>51900</v>
      </c>
      <c r="J115" s="334">
        <f t="shared" si="5"/>
        <v>4900</v>
      </c>
      <c r="K115" s="275"/>
    </row>
    <row r="116" spans="1:11" ht="23.45" customHeight="1">
      <c r="A116" s="244">
        <v>115</v>
      </c>
      <c r="B116" s="577"/>
      <c r="C116" s="248" t="s">
        <v>777</v>
      </c>
      <c r="D116" s="248" t="s">
        <v>722</v>
      </c>
      <c r="E116" s="257" t="s">
        <v>582</v>
      </c>
      <c r="F116" s="257" t="s">
        <v>121</v>
      </c>
      <c r="G116" s="283"/>
      <c r="H116" s="344">
        <v>37000</v>
      </c>
      <c r="I116" s="344">
        <v>37000</v>
      </c>
      <c r="J116" s="334">
        <f t="shared" si="5"/>
        <v>0</v>
      </c>
      <c r="K116" s="275" t="s">
        <v>849</v>
      </c>
    </row>
    <row r="117" spans="1:11" ht="23.45" customHeight="1">
      <c r="A117" s="244">
        <v>116</v>
      </c>
      <c r="B117" s="577"/>
      <c r="C117" s="248" t="s">
        <v>777</v>
      </c>
      <c r="D117" s="248" t="s">
        <v>701</v>
      </c>
      <c r="E117" s="257" t="s">
        <v>582</v>
      </c>
      <c r="F117" s="257">
        <v>1</v>
      </c>
      <c r="G117" s="283"/>
      <c r="H117" s="344">
        <v>37000</v>
      </c>
      <c r="I117" s="344">
        <v>38000</v>
      </c>
      <c r="J117" s="334">
        <f t="shared" si="5"/>
        <v>1000</v>
      </c>
      <c r="K117" s="275"/>
    </row>
    <row r="118" spans="1:11" ht="23.45" customHeight="1">
      <c r="A118" s="244">
        <v>117</v>
      </c>
      <c r="B118" s="577"/>
      <c r="C118" s="248" t="s">
        <v>777</v>
      </c>
      <c r="D118" s="248" t="s">
        <v>693</v>
      </c>
      <c r="E118" s="257" t="s">
        <v>582</v>
      </c>
      <c r="F118" s="257" t="s">
        <v>121</v>
      </c>
      <c r="G118" s="283"/>
      <c r="H118" s="344">
        <v>37000</v>
      </c>
      <c r="I118" s="344">
        <v>37000</v>
      </c>
      <c r="J118" s="334">
        <f t="shared" si="5"/>
        <v>0</v>
      </c>
      <c r="K118" s="275" t="s">
        <v>848</v>
      </c>
    </row>
    <row r="119" spans="1:11" ht="23.45" customHeight="1">
      <c r="A119" s="244">
        <v>118</v>
      </c>
      <c r="B119" s="577"/>
      <c r="C119" s="248" t="s">
        <v>777</v>
      </c>
      <c r="D119" s="248" t="s">
        <v>696</v>
      </c>
      <c r="E119" s="257" t="s">
        <v>582</v>
      </c>
      <c r="F119" s="257">
        <v>1</v>
      </c>
      <c r="G119" s="283"/>
      <c r="H119" s="344">
        <v>37000</v>
      </c>
      <c r="I119" s="344">
        <v>38000</v>
      </c>
      <c r="J119" s="334">
        <f t="shared" si="5"/>
        <v>1000</v>
      </c>
      <c r="K119" s="275"/>
    </row>
    <row r="120" spans="1:11" ht="23.45" customHeight="1">
      <c r="A120" s="244">
        <v>119</v>
      </c>
      <c r="B120" s="577"/>
      <c r="C120" s="248" t="s">
        <v>777</v>
      </c>
      <c r="D120" s="248" t="s">
        <v>710</v>
      </c>
      <c r="E120" s="257" t="s">
        <v>583</v>
      </c>
      <c r="F120" s="257">
        <v>2</v>
      </c>
      <c r="G120" s="283"/>
      <c r="H120" s="344">
        <v>47000</v>
      </c>
      <c r="I120" s="344">
        <v>52000</v>
      </c>
      <c r="J120" s="334">
        <f t="shared" si="5"/>
        <v>5000</v>
      </c>
      <c r="K120" s="293"/>
    </row>
    <row r="121" spans="1:11" ht="23.45" customHeight="1">
      <c r="A121" s="244">
        <v>120</v>
      </c>
      <c r="B121" s="577"/>
      <c r="C121" s="248" t="s">
        <v>777</v>
      </c>
      <c r="D121" s="248" t="s">
        <v>698</v>
      </c>
      <c r="E121" s="257" t="s">
        <v>583</v>
      </c>
      <c r="F121" s="257">
        <v>2</v>
      </c>
      <c r="G121" s="283"/>
      <c r="H121" s="344">
        <v>47000</v>
      </c>
      <c r="I121" s="344">
        <v>52000</v>
      </c>
      <c r="J121" s="334">
        <f t="shared" si="5"/>
        <v>5000</v>
      </c>
      <c r="K121" s="275"/>
    </row>
    <row r="122" spans="1:11" ht="23.45" customHeight="1">
      <c r="A122" s="244">
        <v>121</v>
      </c>
      <c r="B122" s="577"/>
      <c r="C122" s="248" t="s">
        <v>772</v>
      </c>
      <c r="D122" s="248" t="s">
        <v>768</v>
      </c>
      <c r="E122" s="257" t="s">
        <v>582</v>
      </c>
      <c r="F122" s="257">
        <v>1</v>
      </c>
      <c r="G122" s="283"/>
      <c r="H122" s="344">
        <v>30000</v>
      </c>
      <c r="I122" s="344">
        <v>32000</v>
      </c>
      <c r="J122" s="334">
        <f t="shared" si="5"/>
        <v>2000</v>
      </c>
      <c r="K122" s="275"/>
    </row>
    <row r="123" spans="1:11" ht="23.45" customHeight="1">
      <c r="A123" s="244">
        <v>122</v>
      </c>
      <c r="B123" s="577"/>
      <c r="C123" s="248" t="s">
        <v>772</v>
      </c>
      <c r="D123" s="248" t="s">
        <v>710</v>
      </c>
      <c r="E123" s="257" t="s">
        <v>582</v>
      </c>
      <c r="F123" s="257" t="s">
        <v>121</v>
      </c>
      <c r="G123" s="283"/>
      <c r="H123" s="344">
        <v>37000</v>
      </c>
      <c r="I123" s="344">
        <v>38000</v>
      </c>
      <c r="J123" s="334">
        <f t="shared" si="5"/>
        <v>1000</v>
      </c>
      <c r="K123" s="275" t="s">
        <v>850</v>
      </c>
    </row>
    <row r="124" spans="1:11" ht="23.45" customHeight="1">
      <c r="A124" s="244">
        <v>123</v>
      </c>
      <c r="B124" s="577"/>
      <c r="C124" s="248" t="s">
        <v>772</v>
      </c>
      <c r="D124" s="248" t="s">
        <v>722</v>
      </c>
      <c r="E124" s="257" t="s">
        <v>582</v>
      </c>
      <c r="F124" s="257">
        <v>1</v>
      </c>
      <c r="G124" s="283"/>
      <c r="H124" s="344">
        <v>30000</v>
      </c>
      <c r="I124" s="344">
        <v>32000</v>
      </c>
      <c r="J124" s="334">
        <f t="shared" si="5"/>
        <v>2000</v>
      </c>
      <c r="K124" s="275"/>
    </row>
    <row r="125" spans="1:11" ht="23.45" customHeight="1">
      <c r="A125" s="244">
        <v>124</v>
      </c>
      <c r="B125" s="577"/>
      <c r="C125" s="248" t="s">
        <v>772</v>
      </c>
      <c r="D125" s="248" t="s">
        <v>719</v>
      </c>
      <c r="E125" s="257" t="s">
        <v>582</v>
      </c>
      <c r="F125" s="257">
        <v>1</v>
      </c>
      <c r="G125" s="283"/>
      <c r="H125" s="344">
        <v>30000</v>
      </c>
      <c r="I125" s="344">
        <v>35000</v>
      </c>
      <c r="J125" s="334">
        <f t="shared" si="5"/>
        <v>5000</v>
      </c>
      <c r="K125" s="275"/>
    </row>
    <row r="126" spans="1:11" ht="23.45" customHeight="1">
      <c r="A126" s="244">
        <v>125</v>
      </c>
      <c r="B126" s="577"/>
      <c r="C126" s="248" t="s">
        <v>772</v>
      </c>
      <c r="D126" s="248" t="s">
        <v>716</v>
      </c>
      <c r="E126" s="257" t="s">
        <v>582</v>
      </c>
      <c r="F126" s="257">
        <v>1</v>
      </c>
      <c r="G126" s="283"/>
      <c r="H126" s="344">
        <v>30000</v>
      </c>
      <c r="I126" s="344">
        <v>32000</v>
      </c>
      <c r="J126" s="334">
        <f t="shared" si="5"/>
        <v>2000</v>
      </c>
      <c r="K126" s="275"/>
    </row>
    <row r="127" spans="1:11" ht="23.45" customHeight="1">
      <c r="A127" s="244">
        <v>126</v>
      </c>
      <c r="B127" s="577"/>
      <c r="C127" s="248" t="s">
        <v>772</v>
      </c>
      <c r="D127" s="248" t="s">
        <v>698</v>
      </c>
      <c r="E127" s="257" t="s">
        <v>583</v>
      </c>
      <c r="F127" s="257">
        <v>2</v>
      </c>
      <c r="G127" s="283"/>
      <c r="H127" s="344">
        <v>47000</v>
      </c>
      <c r="I127" s="344">
        <v>52000</v>
      </c>
      <c r="J127" s="334">
        <f t="shared" si="5"/>
        <v>5000</v>
      </c>
      <c r="K127" s="275"/>
    </row>
    <row r="128" spans="1:11" ht="23.45" customHeight="1">
      <c r="A128" s="244">
        <v>127</v>
      </c>
      <c r="B128" s="577"/>
      <c r="C128" s="248" t="s">
        <v>772</v>
      </c>
      <c r="D128" s="248" t="s">
        <v>720</v>
      </c>
      <c r="E128" s="257" t="s">
        <v>583</v>
      </c>
      <c r="F128" s="257">
        <v>2</v>
      </c>
      <c r="G128" s="283"/>
      <c r="H128" s="344">
        <v>47000</v>
      </c>
      <c r="I128" s="344">
        <v>52000</v>
      </c>
      <c r="J128" s="334">
        <f t="shared" si="5"/>
        <v>5000</v>
      </c>
      <c r="K128" s="275"/>
    </row>
    <row r="129" spans="1:11" ht="23.45" customHeight="1">
      <c r="A129" s="244">
        <v>128</v>
      </c>
      <c r="B129" s="577"/>
      <c r="C129" s="248" t="s">
        <v>776</v>
      </c>
      <c r="D129" s="248" t="s">
        <v>722</v>
      </c>
      <c r="E129" s="257" t="s">
        <v>574</v>
      </c>
      <c r="F129" s="257">
        <v>2</v>
      </c>
      <c r="G129" s="283"/>
      <c r="H129" s="344">
        <v>53000</v>
      </c>
      <c r="I129" s="344">
        <v>58000</v>
      </c>
      <c r="J129" s="334">
        <f t="shared" si="5"/>
        <v>5000</v>
      </c>
      <c r="K129" s="295"/>
    </row>
    <row r="130" spans="1:11" ht="23.45" customHeight="1">
      <c r="A130" s="244">
        <v>129</v>
      </c>
      <c r="B130" s="577"/>
      <c r="C130" s="248" t="s">
        <v>776</v>
      </c>
      <c r="D130" s="248" t="s">
        <v>698</v>
      </c>
      <c r="E130" s="257" t="s">
        <v>582</v>
      </c>
      <c r="F130" s="257" t="s">
        <v>121</v>
      </c>
      <c r="G130" s="283"/>
      <c r="H130" s="344">
        <v>40000</v>
      </c>
      <c r="I130" s="344">
        <v>42000</v>
      </c>
      <c r="J130" s="334">
        <f t="shared" si="5"/>
        <v>2000</v>
      </c>
      <c r="K130" s="275" t="s">
        <v>851</v>
      </c>
    </row>
    <row r="131" spans="1:11" ht="23.45" customHeight="1">
      <c r="A131" s="244">
        <v>130</v>
      </c>
      <c r="B131" s="577"/>
      <c r="C131" s="248" t="s">
        <v>776</v>
      </c>
      <c r="D131" s="248" t="s">
        <v>768</v>
      </c>
      <c r="E131" s="257" t="s">
        <v>574</v>
      </c>
      <c r="F131" s="257">
        <v>2</v>
      </c>
      <c r="G131" s="283"/>
      <c r="H131" s="344">
        <v>51000</v>
      </c>
      <c r="I131" s="344">
        <v>58000</v>
      </c>
      <c r="J131" s="334">
        <f t="shared" si="5"/>
        <v>7000</v>
      </c>
      <c r="K131" s="295"/>
    </row>
    <row r="132" spans="1:11" ht="23.45" customHeight="1">
      <c r="A132" s="244">
        <v>131</v>
      </c>
      <c r="B132" s="577"/>
      <c r="C132" s="248" t="s">
        <v>776</v>
      </c>
      <c r="D132" s="248" t="s">
        <v>719</v>
      </c>
      <c r="E132" s="257" t="s">
        <v>574</v>
      </c>
      <c r="F132" s="257">
        <v>2</v>
      </c>
      <c r="G132" s="283"/>
      <c r="H132" s="344">
        <v>53000</v>
      </c>
      <c r="I132" s="344">
        <v>58000</v>
      </c>
      <c r="J132" s="334">
        <f t="shared" si="5"/>
        <v>5000</v>
      </c>
      <c r="K132" s="293"/>
    </row>
    <row r="133" spans="1:11" ht="23.45" customHeight="1">
      <c r="A133" s="244">
        <v>132</v>
      </c>
      <c r="B133" s="577"/>
      <c r="C133" s="248" t="s">
        <v>771</v>
      </c>
      <c r="D133" s="248" t="s">
        <v>698</v>
      </c>
      <c r="E133" s="257" t="s">
        <v>582</v>
      </c>
      <c r="F133" s="257">
        <v>1</v>
      </c>
      <c r="G133" s="283"/>
      <c r="H133" s="344">
        <v>30000</v>
      </c>
      <c r="I133" s="344">
        <v>33000</v>
      </c>
      <c r="J133" s="334">
        <f t="shared" si="5"/>
        <v>3000</v>
      </c>
      <c r="K133" s="275"/>
    </row>
    <row r="134" spans="1:11" ht="23.45" customHeight="1">
      <c r="A134" s="244">
        <v>133</v>
      </c>
      <c r="B134" s="577"/>
      <c r="C134" s="248" t="s">
        <v>769</v>
      </c>
      <c r="D134" s="248" t="s">
        <v>698</v>
      </c>
      <c r="E134" s="257" t="s">
        <v>589</v>
      </c>
      <c r="F134" s="257" t="s">
        <v>121</v>
      </c>
      <c r="G134" s="283"/>
      <c r="H134" s="344">
        <v>42000</v>
      </c>
      <c r="I134" s="344">
        <v>42000</v>
      </c>
      <c r="J134" s="334">
        <f t="shared" si="5"/>
        <v>0</v>
      </c>
      <c r="K134" s="275" t="s">
        <v>684</v>
      </c>
    </row>
    <row r="135" spans="1:11" ht="23.45" customHeight="1">
      <c r="A135" s="244">
        <v>134</v>
      </c>
      <c r="B135" s="577"/>
      <c r="C135" s="248" t="s">
        <v>769</v>
      </c>
      <c r="D135" s="248" t="s">
        <v>720</v>
      </c>
      <c r="E135" s="257" t="s">
        <v>581</v>
      </c>
      <c r="F135" s="257">
        <v>2</v>
      </c>
      <c r="G135" s="283"/>
      <c r="H135" s="344">
        <v>42000</v>
      </c>
      <c r="I135" s="344">
        <v>47000</v>
      </c>
      <c r="J135" s="334">
        <f t="shared" si="5"/>
        <v>5000</v>
      </c>
      <c r="K135" s="275"/>
    </row>
    <row r="136" spans="1:11" ht="23.45" customHeight="1">
      <c r="A136" s="244">
        <v>135</v>
      </c>
      <c r="B136" s="577"/>
      <c r="C136" s="248" t="s">
        <v>769</v>
      </c>
      <c r="D136" s="248" t="s">
        <v>701</v>
      </c>
      <c r="E136" s="257" t="s">
        <v>582</v>
      </c>
      <c r="F136" s="257">
        <v>1</v>
      </c>
      <c r="G136" s="283"/>
      <c r="H136" s="344">
        <v>30000</v>
      </c>
      <c r="I136" s="344">
        <v>32000</v>
      </c>
      <c r="J136" s="334">
        <f t="shared" si="5"/>
        <v>2000</v>
      </c>
      <c r="K136" s="275"/>
    </row>
    <row r="137" spans="1:11" ht="23.45" customHeight="1">
      <c r="A137" s="244">
        <v>136</v>
      </c>
      <c r="B137" s="577"/>
      <c r="C137" s="248" t="s">
        <v>769</v>
      </c>
      <c r="D137" s="248" t="s">
        <v>696</v>
      </c>
      <c r="E137" s="257" t="s">
        <v>589</v>
      </c>
      <c r="F137" s="257" t="s">
        <v>121</v>
      </c>
      <c r="G137" s="283"/>
      <c r="H137" s="344">
        <v>42000</v>
      </c>
      <c r="I137" s="344">
        <v>42000</v>
      </c>
      <c r="J137" s="334">
        <f t="shared" si="5"/>
        <v>0</v>
      </c>
      <c r="K137" s="275" t="s">
        <v>683</v>
      </c>
    </row>
    <row r="138" spans="1:11" ht="23.45" customHeight="1">
      <c r="A138" s="244">
        <v>137</v>
      </c>
      <c r="B138" s="577"/>
      <c r="C138" s="248" t="s">
        <v>767</v>
      </c>
      <c r="D138" s="248" t="s">
        <v>693</v>
      </c>
      <c r="E138" s="257" t="s">
        <v>582</v>
      </c>
      <c r="F138" s="257">
        <v>2</v>
      </c>
      <c r="G138" s="283"/>
      <c r="H138" s="344">
        <v>30000</v>
      </c>
      <c r="I138" s="344">
        <v>35000</v>
      </c>
      <c r="J138" s="334">
        <f t="shared" si="5"/>
        <v>5000</v>
      </c>
      <c r="K138" s="275"/>
    </row>
    <row r="139" spans="1:11" ht="23.45" customHeight="1">
      <c r="A139" s="244">
        <v>138</v>
      </c>
      <c r="B139" s="577"/>
      <c r="C139" s="248" t="s">
        <v>852</v>
      </c>
      <c r="D139" s="248" t="s">
        <v>768</v>
      </c>
      <c r="E139" s="257" t="s">
        <v>582</v>
      </c>
      <c r="F139" s="257">
        <v>1</v>
      </c>
      <c r="G139" s="283"/>
      <c r="H139" s="344">
        <v>37000</v>
      </c>
      <c r="I139" s="344">
        <v>38000</v>
      </c>
      <c r="J139" s="334">
        <f t="shared" si="5"/>
        <v>1000</v>
      </c>
      <c r="K139" s="275"/>
    </row>
    <row r="140" spans="1:11" ht="23.45" customHeight="1">
      <c r="A140" s="244">
        <v>139</v>
      </c>
      <c r="B140" s="577"/>
      <c r="C140" s="248" t="s">
        <v>767</v>
      </c>
      <c r="D140" s="248" t="s">
        <v>722</v>
      </c>
      <c r="E140" s="257" t="s">
        <v>584</v>
      </c>
      <c r="F140" s="257">
        <v>3</v>
      </c>
      <c r="G140" s="283"/>
      <c r="H140" s="344">
        <v>47000</v>
      </c>
      <c r="I140" s="344">
        <v>51900</v>
      </c>
      <c r="J140" s="334">
        <f t="shared" si="5"/>
        <v>4900</v>
      </c>
      <c r="K140" s="275"/>
    </row>
    <row r="141" spans="1:11" ht="23.45" customHeight="1">
      <c r="A141" s="244">
        <v>140</v>
      </c>
      <c r="B141" s="577"/>
      <c r="C141" s="248" t="s">
        <v>767</v>
      </c>
      <c r="D141" s="248" t="s">
        <v>701</v>
      </c>
      <c r="E141" s="257" t="s">
        <v>582</v>
      </c>
      <c r="F141" s="257">
        <v>1</v>
      </c>
      <c r="G141" s="283"/>
      <c r="H141" s="344">
        <v>37000</v>
      </c>
      <c r="I141" s="344">
        <v>38000</v>
      </c>
      <c r="J141" s="334">
        <f t="shared" ref="J141:J142" si="6">I141-H141</f>
        <v>1000</v>
      </c>
      <c r="K141" s="275"/>
    </row>
    <row r="142" spans="1:11" ht="23.45" customHeight="1" thickBot="1">
      <c r="A142" s="249">
        <v>141</v>
      </c>
      <c r="B142" s="578"/>
      <c r="C142" s="266" t="s">
        <v>767</v>
      </c>
      <c r="D142" s="266" t="s">
        <v>770</v>
      </c>
      <c r="E142" s="263" t="s">
        <v>582</v>
      </c>
      <c r="F142" s="263">
        <v>1</v>
      </c>
      <c r="G142" s="286"/>
      <c r="H142" s="345">
        <v>37000</v>
      </c>
      <c r="I142" s="345">
        <v>30000</v>
      </c>
      <c r="J142" s="336">
        <f t="shared" si="6"/>
        <v>-7000</v>
      </c>
      <c r="K142" s="296" t="s">
        <v>633</v>
      </c>
    </row>
    <row r="143" spans="1:11" ht="24" customHeight="1" thickTop="1">
      <c r="A143" s="248">
        <v>142</v>
      </c>
      <c r="B143" s="568" t="s">
        <v>653</v>
      </c>
      <c r="C143" s="252" t="s">
        <v>791</v>
      </c>
      <c r="D143" s="252"/>
      <c r="E143" s="262" t="s">
        <v>641</v>
      </c>
      <c r="F143" s="319">
        <v>1</v>
      </c>
      <c r="G143" s="321" t="s">
        <v>856</v>
      </c>
      <c r="H143" s="348">
        <v>30000</v>
      </c>
      <c r="I143" s="348">
        <v>35000</v>
      </c>
      <c r="J143" s="347">
        <f t="shared" ref="J143:J190" si="7">I143-H143</f>
        <v>5000</v>
      </c>
      <c r="K143" s="297"/>
    </row>
    <row r="144" spans="1:11" ht="24" customHeight="1">
      <c r="A144" s="248">
        <v>143</v>
      </c>
      <c r="B144" s="573"/>
      <c r="C144" s="248" t="s">
        <v>855</v>
      </c>
      <c r="D144" s="248" t="s">
        <v>720</v>
      </c>
      <c r="E144" s="257" t="s">
        <v>586</v>
      </c>
      <c r="F144" s="257">
        <v>2</v>
      </c>
      <c r="G144" s="321" t="s">
        <v>856</v>
      </c>
      <c r="H144" s="344">
        <v>47000</v>
      </c>
      <c r="I144" s="344">
        <v>50000</v>
      </c>
      <c r="J144" s="334">
        <f>I144-H144</f>
        <v>3000</v>
      </c>
      <c r="K144" s="275"/>
    </row>
    <row r="145" spans="1:11" ht="24" customHeight="1" thickBot="1">
      <c r="A145" s="244">
        <v>144</v>
      </c>
      <c r="B145" s="570"/>
      <c r="C145" s="266" t="s">
        <v>792</v>
      </c>
      <c r="D145" s="266" t="s">
        <v>696</v>
      </c>
      <c r="E145" s="257" t="s">
        <v>574</v>
      </c>
      <c r="F145" s="257">
        <v>1</v>
      </c>
      <c r="G145" s="287" t="s">
        <v>856</v>
      </c>
      <c r="H145" s="344">
        <v>51300</v>
      </c>
      <c r="I145" s="344">
        <v>53000</v>
      </c>
      <c r="J145" s="334">
        <f t="shared" si="7"/>
        <v>1700</v>
      </c>
      <c r="K145" s="275"/>
    </row>
    <row r="146" spans="1:11" ht="24" customHeight="1" thickTop="1">
      <c r="A146" s="244">
        <v>145</v>
      </c>
      <c r="B146" s="574" t="s">
        <v>659</v>
      </c>
      <c r="C146" s="248" t="s">
        <v>793</v>
      </c>
      <c r="D146" s="248" t="s">
        <v>710</v>
      </c>
      <c r="E146" s="260" t="s">
        <v>598</v>
      </c>
      <c r="F146" s="260">
        <v>1</v>
      </c>
      <c r="G146" s="287" t="s">
        <v>679</v>
      </c>
      <c r="H146" s="349">
        <v>55825</v>
      </c>
      <c r="I146" s="349">
        <v>60000</v>
      </c>
      <c r="J146" s="334">
        <f t="shared" ref="J146:J169" si="8">I146-H146</f>
        <v>4175</v>
      </c>
      <c r="K146" s="275"/>
    </row>
    <row r="147" spans="1:11" ht="24" customHeight="1">
      <c r="A147" s="244">
        <v>146</v>
      </c>
      <c r="B147" s="569"/>
      <c r="C147" s="248" t="s">
        <v>796</v>
      </c>
      <c r="D147" s="248" t="s">
        <v>720</v>
      </c>
      <c r="E147" s="260" t="s">
        <v>574</v>
      </c>
      <c r="F147" s="260">
        <v>1</v>
      </c>
      <c r="G147" s="287" t="s">
        <v>679</v>
      </c>
      <c r="H147" s="349">
        <v>55000</v>
      </c>
      <c r="I147" s="349">
        <v>60000</v>
      </c>
      <c r="J147" s="334">
        <f t="shared" si="8"/>
        <v>5000</v>
      </c>
      <c r="K147" s="275" t="s">
        <v>673</v>
      </c>
    </row>
    <row r="148" spans="1:11" ht="24" customHeight="1">
      <c r="A148" s="244">
        <v>147</v>
      </c>
      <c r="B148" s="569"/>
      <c r="C148" s="248" t="s">
        <v>799</v>
      </c>
      <c r="D148" s="248" t="s">
        <v>696</v>
      </c>
      <c r="E148" s="260" t="s">
        <v>598</v>
      </c>
      <c r="F148" s="260">
        <v>1</v>
      </c>
      <c r="G148" s="287" t="s">
        <v>679</v>
      </c>
      <c r="H148" s="349">
        <v>56120</v>
      </c>
      <c r="I148" s="349">
        <v>59000</v>
      </c>
      <c r="J148" s="334">
        <f t="shared" si="8"/>
        <v>2880</v>
      </c>
      <c r="K148" s="277" t="s">
        <v>643</v>
      </c>
    </row>
    <row r="149" spans="1:11" ht="24" customHeight="1">
      <c r="A149" s="244">
        <v>148</v>
      </c>
      <c r="B149" s="569"/>
      <c r="C149" s="248" t="s">
        <v>332</v>
      </c>
      <c r="D149" s="248"/>
      <c r="E149" s="260" t="s">
        <v>598</v>
      </c>
      <c r="F149" s="260">
        <v>1</v>
      </c>
      <c r="G149" s="287" t="s">
        <v>679</v>
      </c>
      <c r="H149" s="349">
        <v>61200</v>
      </c>
      <c r="I149" s="349">
        <v>66200</v>
      </c>
      <c r="J149" s="334">
        <f t="shared" si="8"/>
        <v>5000</v>
      </c>
      <c r="K149" s="275"/>
    </row>
    <row r="150" spans="1:11" ht="24" customHeight="1">
      <c r="A150" s="244">
        <v>149</v>
      </c>
      <c r="B150" s="569"/>
      <c r="C150" s="248">
        <v>25</v>
      </c>
      <c r="D150" s="248" t="s">
        <v>700</v>
      </c>
      <c r="E150" s="257" t="s">
        <v>597</v>
      </c>
      <c r="F150" s="257">
        <v>2</v>
      </c>
      <c r="G150" s="287" t="s">
        <v>679</v>
      </c>
      <c r="H150" s="344">
        <v>51000</v>
      </c>
      <c r="I150" s="344">
        <v>56000</v>
      </c>
      <c r="J150" s="334">
        <f t="shared" si="8"/>
        <v>5000</v>
      </c>
      <c r="K150" s="275"/>
    </row>
    <row r="151" spans="1:11" ht="24" customHeight="1">
      <c r="A151" s="244">
        <v>150</v>
      </c>
      <c r="B151" s="569"/>
      <c r="C151" s="248" t="s">
        <v>802</v>
      </c>
      <c r="D151" s="248" t="s">
        <v>710</v>
      </c>
      <c r="E151" s="257" t="s">
        <v>25</v>
      </c>
      <c r="F151" s="257">
        <v>2</v>
      </c>
      <c r="G151" s="283" t="s">
        <v>679</v>
      </c>
      <c r="H151" s="344">
        <v>53795</v>
      </c>
      <c r="I151" s="344">
        <v>60000</v>
      </c>
      <c r="J151" s="334">
        <f t="shared" si="8"/>
        <v>6205</v>
      </c>
      <c r="K151" s="275"/>
    </row>
    <row r="152" spans="1:11" ht="24" customHeight="1">
      <c r="A152" s="244">
        <v>151</v>
      </c>
      <c r="B152" s="569"/>
      <c r="C152" s="244" t="s">
        <v>802</v>
      </c>
      <c r="D152" s="248" t="s">
        <v>696</v>
      </c>
      <c r="E152" s="257" t="s">
        <v>25</v>
      </c>
      <c r="F152" s="257">
        <v>2</v>
      </c>
      <c r="G152" s="283" t="s">
        <v>679</v>
      </c>
      <c r="H152" s="344">
        <v>58261</v>
      </c>
      <c r="I152" s="344">
        <v>60000</v>
      </c>
      <c r="J152" s="334">
        <f t="shared" si="8"/>
        <v>1739</v>
      </c>
      <c r="K152" s="275" t="s">
        <v>642</v>
      </c>
    </row>
    <row r="153" spans="1:11" ht="24" customHeight="1">
      <c r="A153" s="244">
        <v>152</v>
      </c>
      <c r="B153" s="569"/>
      <c r="C153" s="248" t="s">
        <v>797</v>
      </c>
      <c r="D153" s="248" t="s">
        <v>698</v>
      </c>
      <c r="E153" s="257" t="s">
        <v>589</v>
      </c>
      <c r="F153" s="257">
        <v>0</v>
      </c>
      <c r="G153" s="287" t="s">
        <v>857</v>
      </c>
      <c r="H153" s="344">
        <v>30000</v>
      </c>
      <c r="I153" s="344">
        <v>35000</v>
      </c>
      <c r="J153" s="334">
        <f t="shared" si="8"/>
        <v>5000</v>
      </c>
      <c r="K153" s="275" t="s">
        <v>673</v>
      </c>
    </row>
    <row r="154" spans="1:11" ht="24" customHeight="1">
      <c r="A154" s="244">
        <v>153</v>
      </c>
      <c r="B154" s="569"/>
      <c r="C154" s="248" t="s">
        <v>794</v>
      </c>
      <c r="D154" s="248" t="s">
        <v>795</v>
      </c>
      <c r="E154" s="260" t="s">
        <v>25</v>
      </c>
      <c r="F154" s="260">
        <v>4</v>
      </c>
      <c r="G154" s="287"/>
      <c r="H154" s="349">
        <v>59340</v>
      </c>
      <c r="I154" s="349">
        <v>66000</v>
      </c>
      <c r="J154" s="334">
        <f t="shared" si="8"/>
        <v>6660</v>
      </c>
      <c r="K154" s="275"/>
    </row>
    <row r="155" spans="1:11" ht="24" customHeight="1">
      <c r="A155" s="244">
        <v>154</v>
      </c>
      <c r="B155" s="569"/>
      <c r="C155" s="248" t="s">
        <v>798</v>
      </c>
      <c r="D155" s="248" t="s">
        <v>710</v>
      </c>
      <c r="E155" s="260" t="s">
        <v>584</v>
      </c>
      <c r="F155" s="260">
        <v>2</v>
      </c>
      <c r="G155" s="287"/>
      <c r="H155" s="349">
        <v>49830</v>
      </c>
      <c r="I155" s="349">
        <v>52000</v>
      </c>
      <c r="J155" s="334">
        <f t="shared" si="8"/>
        <v>2170</v>
      </c>
      <c r="K155" s="275" t="s">
        <v>644</v>
      </c>
    </row>
    <row r="156" spans="1:11" ht="24" customHeight="1">
      <c r="A156" s="244">
        <v>155</v>
      </c>
      <c r="B156" s="569"/>
      <c r="C156" s="248" t="s">
        <v>800</v>
      </c>
      <c r="D156" s="248" t="s">
        <v>720</v>
      </c>
      <c r="E156" s="260" t="s">
        <v>574</v>
      </c>
      <c r="F156" s="260">
        <v>3</v>
      </c>
      <c r="G156" s="287"/>
      <c r="H156" s="349">
        <v>60840</v>
      </c>
      <c r="I156" s="349">
        <v>66000</v>
      </c>
      <c r="J156" s="334">
        <f t="shared" si="8"/>
        <v>5160</v>
      </c>
      <c r="K156" s="275"/>
    </row>
    <row r="157" spans="1:11" ht="24" customHeight="1">
      <c r="A157" s="244">
        <v>156</v>
      </c>
      <c r="B157" s="569"/>
      <c r="C157" s="248" t="s">
        <v>801</v>
      </c>
      <c r="D157" s="248" t="s">
        <v>701</v>
      </c>
      <c r="E157" s="257" t="s">
        <v>574</v>
      </c>
      <c r="F157" s="257">
        <v>3</v>
      </c>
      <c r="G157" s="283"/>
      <c r="H157" s="344">
        <v>61200</v>
      </c>
      <c r="I157" s="344">
        <v>66300</v>
      </c>
      <c r="J157" s="334">
        <f t="shared" si="8"/>
        <v>5100</v>
      </c>
      <c r="K157" s="275"/>
    </row>
    <row r="158" spans="1:11" ht="24" customHeight="1">
      <c r="A158" s="244">
        <v>157</v>
      </c>
      <c r="B158" s="569"/>
      <c r="C158" s="248" t="s">
        <v>802</v>
      </c>
      <c r="D158" s="248" t="s">
        <v>720</v>
      </c>
      <c r="E158" s="257" t="s">
        <v>25</v>
      </c>
      <c r="F158" s="257">
        <v>3</v>
      </c>
      <c r="G158" s="283"/>
      <c r="H158" s="344">
        <v>53795</v>
      </c>
      <c r="I158" s="344">
        <v>60000</v>
      </c>
      <c r="J158" s="334">
        <f t="shared" si="8"/>
        <v>6205</v>
      </c>
      <c r="K158" s="275"/>
    </row>
    <row r="159" spans="1:11" ht="24" customHeight="1" thickBot="1">
      <c r="A159" s="249">
        <v>158</v>
      </c>
      <c r="B159" s="570"/>
      <c r="C159" s="266" t="s">
        <v>803</v>
      </c>
      <c r="D159" s="266" t="s">
        <v>701</v>
      </c>
      <c r="E159" s="263" t="s">
        <v>584</v>
      </c>
      <c r="F159" s="263">
        <v>2</v>
      </c>
      <c r="G159" s="286"/>
      <c r="H159" s="345">
        <v>48800</v>
      </c>
      <c r="I159" s="345">
        <v>54000</v>
      </c>
      <c r="J159" s="336">
        <f t="shared" si="8"/>
        <v>5200</v>
      </c>
      <c r="K159" s="296"/>
    </row>
    <row r="160" spans="1:11" ht="24" customHeight="1" thickTop="1">
      <c r="A160" s="252">
        <v>159</v>
      </c>
      <c r="B160" s="568" t="s">
        <v>658</v>
      </c>
      <c r="C160" s="252" t="s">
        <v>834</v>
      </c>
      <c r="D160" s="252" t="s">
        <v>842</v>
      </c>
      <c r="E160" s="256" t="s">
        <v>584</v>
      </c>
      <c r="F160" s="256">
        <v>1</v>
      </c>
      <c r="G160" s="282" t="s">
        <v>856</v>
      </c>
      <c r="H160" s="342">
        <v>42000</v>
      </c>
      <c r="I160" s="342">
        <v>50000</v>
      </c>
      <c r="J160" s="338">
        <f t="shared" si="8"/>
        <v>8000</v>
      </c>
      <c r="K160" s="294"/>
    </row>
    <row r="161" spans="1:11" ht="24" customHeight="1">
      <c r="A161" s="244">
        <v>160</v>
      </c>
      <c r="B161" s="569"/>
      <c r="C161" s="248" t="s">
        <v>187</v>
      </c>
      <c r="D161" s="248"/>
      <c r="E161" s="257" t="s">
        <v>595</v>
      </c>
      <c r="F161" s="257">
        <v>3</v>
      </c>
      <c r="G161" s="283" t="s">
        <v>859</v>
      </c>
      <c r="H161" s="344">
        <v>70000</v>
      </c>
      <c r="I161" s="344">
        <v>72000</v>
      </c>
      <c r="J161" s="334">
        <f t="shared" si="8"/>
        <v>2000</v>
      </c>
      <c r="K161" s="275"/>
    </row>
    <row r="162" spans="1:11" ht="24" customHeight="1">
      <c r="A162" s="244">
        <v>161</v>
      </c>
      <c r="B162" s="569"/>
      <c r="C162" s="248" t="s">
        <v>567</v>
      </c>
      <c r="D162" s="248"/>
      <c r="E162" s="257" t="s">
        <v>594</v>
      </c>
      <c r="F162" s="257">
        <v>3</v>
      </c>
      <c r="G162" s="283" t="s">
        <v>858</v>
      </c>
      <c r="H162" s="344">
        <v>75000</v>
      </c>
      <c r="I162" s="344">
        <v>75000</v>
      </c>
      <c r="J162" s="334">
        <f t="shared" si="8"/>
        <v>0</v>
      </c>
      <c r="K162" s="275" t="s">
        <v>660</v>
      </c>
    </row>
    <row r="163" spans="1:11" ht="24" customHeight="1">
      <c r="A163" s="244">
        <v>162</v>
      </c>
      <c r="B163" s="569"/>
      <c r="C163" s="248" t="s">
        <v>834</v>
      </c>
      <c r="D163" s="248" t="s">
        <v>841</v>
      </c>
      <c r="E163" s="257" t="s">
        <v>574</v>
      </c>
      <c r="F163" s="257">
        <v>2</v>
      </c>
      <c r="G163" s="283"/>
      <c r="H163" s="344">
        <v>50000</v>
      </c>
      <c r="I163" s="344">
        <v>50000</v>
      </c>
      <c r="J163" s="334">
        <f t="shared" si="8"/>
        <v>0</v>
      </c>
      <c r="K163" s="275"/>
    </row>
    <row r="164" spans="1:11" ht="24" customHeight="1">
      <c r="A164" s="244">
        <v>163</v>
      </c>
      <c r="B164" s="569"/>
      <c r="C164" s="248" t="s">
        <v>834</v>
      </c>
      <c r="D164" s="248" t="s">
        <v>840</v>
      </c>
      <c r="E164" s="257" t="s">
        <v>584</v>
      </c>
      <c r="F164" s="257">
        <v>2</v>
      </c>
      <c r="G164" s="283"/>
      <c r="H164" s="344">
        <v>42000</v>
      </c>
      <c r="I164" s="344">
        <v>50000</v>
      </c>
      <c r="J164" s="334">
        <f t="shared" si="8"/>
        <v>8000</v>
      </c>
      <c r="K164" s="275"/>
    </row>
    <row r="165" spans="1:11" ht="24" customHeight="1">
      <c r="A165" s="244">
        <v>164</v>
      </c>
      <c r="B165" s="569"/>
      <c r="C165" s="248" t="s">
        <v>834</v>
      </c>
      <c r="D165" s="248" t="s">
        <v>839</v>
      </c>
      <c r="E165" s="257" t="s">
        <v>584</v>
      </c>
      <c r="F165" s="257">
        <v>2</v>
      </c>
      <c r="G165" s="283"/>
      <c r="H165" s="344">
        <v>42000</v>
      </c>
      <c r="I165" s="344">
        <v>50000</v>
      </c>
      <c r="J165" s="334">
        <f t="shared" si="8"/>
        <v>8000</v>
      </c>
      <c r="K165" s="275"/>
    </row>
    <row r="166" spans="1:11" ht="24" customHeight="1">
      <c r="A166" s="244">
        <v>165</v>
      </c>
      <c r="B166" s="569"/>
      <c r="C166" s="248" t="s">
        <v>834</v>
      </c>
      <c r="D166" s="248" t="s">
        <v>838</v>
      </c>
      <c r="E166" s="257" t="s">
        <v>584</v>
      </c>
      <c r="F166" s="257">
        <v>2</v>
      </c>
      <c r="G166" s="283"/>
      <c r="H166" s="344">
        <v>42000</v>
      </c>
      <c r="I166" s="344">
        <v>50000</v>
      </c>
      <c r="J166" s="334">
        <f t="shared" si="8"/>
        <v>8000</v>
      </c>
      <c r="K166" s="275"/>
    </row>
    <row r="167" spans="1:11" ht="24" customHeight="1">
      <c r="A167" s="244">
        <v>166</v>
      </c>
      <c r="B167" s="569"/>
      <c r="C167" s="244" t="s">
        <v>834</v>
      </c>
      <c r="D167" s="248" t="s">
        <v>837</v>
      </c>
      <c r="E167" s="257" t="s">
        <v>584</v>
      </c>
      <c r="F167" s="257">
        <v>2</v>
      </c>
      <c r="G167" s="283"/>
      <c r="H167" s="344">
        <v>42000</v>
      </c>
      <c r="I167" s="344">
        <v>50000</v>
      </c>
      <c r="J167" s="334">
        <f t="shared" si="8"/>
        <v>8000</v>
      </c>
      <c r="K167" s="275"/>
    </row>
    <row r="168" spans="1:11" ht="24" customHeight="1">
      <c r="A168" s="244">
        <v>167</v>
      </c>
      <c r="B168" s="569"/>
      <c r="C168" s="248" t="s">
        <v>834</v>
      </c>
      <c r="D168" s="248" t="s">
        <v>836</v>
      </c>
      <c r="E168" s="257" t="s">
        <v>574</v>
      </c>
      <c r="F168" s="257">
        <v>2</v>
      </c>
      <c r="G168" s="283"/>
      <c r="H168" s="344">
        <v>47000</v>
      </c>
      <c r="I168" s="344">
        <v>50000</v>
      </c>
      <c r="J168" s="334">
        <f t="shared" si="8"/>
        <v>3000</v>
      </c>
      <c r="K168" s="275"/>
    </row>
    <row r="169" spans="1:11" ht="24" customHeight="1" thickBot="1">
      <c r="A169" s="249">
        <v>168</v>
      </c>
      <c r="B169" s="570"/>
      <c r="C169" s="266" t="s">
        <v>834</v>
      </c>
      <c r="D169" s="266" t="s">
        <v>835</v>
      </c>
      <c r="E169" s="263" t="s">
        <v>584</v>
      </c>
      <c r="F169" s="263" t="s">
        <v>121</v>
      </c>
      <c r="G169" s="286"/>
      <c r="H169" s="345">
        <v>45000</v>
      </c>
      <c r="I169" s="345">
        <v>45000</v>
      </c>
      <c r="J169" s="336">
        <f t="shared" si="8"/>
        <v>0</v>
      </c>
      <c r="K169" s="296"/>
    </row>
    <row r="170" spans="1:11" ht="24" customHeight="1" thickTop="1">
      <c r="A170" s="252">
        <v>169</v>
      </c>
      <c r="B170" s="568" t="s">
        <v>19</v>
      </c>
      <c r="C170" s="252" t="s">
        <v>804</v>
      </c>
      <c r="D170" s="252" t="s">
        <v>701</v>
      </c>
      <c r="E170" s="256" t="s">
        <v>582</v>
      </c>
      <c r="F170" s="256">
        <v>1</v>
      </c>
      <c r="G170" s="282"/>
      <c r="H170" s="342">
        <v>25000</v>
      </c>
      <c r="I170" s="342">
        <v>28000</v>
      </c>
      <c r="J170" s="338">
        <f t="shared" si="7"/>
        <v>3000</v>
      </c>
      <c r="K170" s="294"/>
    </row>
    <row r="171" spans="1:11" ht="24" customHeight="1">
      <c r="A171" s="244">
        <v>170</v>
      </c>
      <c r="B171" s="569"/>
      <c r="C171" s="248" t="s">
        <v>805</v>
      </c>
      <c r="D171" s="248" t="s">
        <v>696</v>
      </c>
      <c r="E171" s="257" t="s">
        <v>584</v>
      </c>
      <c r="F171" s="257">
        <v>2</v>
      </c>
      <c r="G171" s="283"/>
      <c r="H171" s="344">
        <v>35000</v>
      </c>
      <c r="I171" s="344">
        <v>40000</v>
      </c>
      <c r="J171" s="334">
        <f t="shared" si="7"/>
        <v>5000</v>
      </c>
      <c r="K171" s="275"/>
    </row>
    <row r="172" spans="1:11" ht="24" customHeight="1">
      <c r="A172" s="244">
        <v>171</v>
      </c>
      <c r="B172" s="569"/>
      <c r="C172" s="248" t="s">
        <v>806</v>
      </c>
      <c r="D172" s="248" t="s">
        <v>720</v>
      </c>
      <c r="E172" s="257" t="s">
        <v>584</v>
      </c>
      <c r="F172" s="257">
        <v>2</v>
      </c>
      <c r="G172" s="283"/>
      <c r="H172" s="344">
        <v>35000</v>
      </c>
      <c r="I172" s="344">
        <v>40000</v>
      </c>
      <c r="J172" s="334">
        <f t="shared" si="7"/>
        <v>5000</v>
      </c>
      <c r="K172" s="275"/>
    </row>
    <row r="173" spans="1:11" ht="24" customHeight="1">
      <c r="A173" s="244">
        <v>172</v>
      </c>
      <c r="B173" s="569"/>
      <c r="C173" s="248" t="s">
        <v>806</v>
      </c>
      <c r="D173" s="248" t="s">
        <v>698</v>
      </c>
      <c r="E173" s="257" t="s">
        <v>584</v>
      </c>
      <c r="F173" s="257">
        <v>2</v>
      </c>
      <c r="G173" s="283"/>
      <c r="H173" s="344">
        <v>35000</v>
      </c>
      <c r="I173" s="344">
        <v>40000</v>
      </c>
      <c r="J173" s="334">
        <f t="shared" si="7"/>
        <v>5000</v>
      </c>
      <c r="K173" s="295"/>
    </row>
    <row r="174" spans="1:11" ht="24" customHeight="1">
      <c r="A174" s="244">
        <v>173</v>
      </c>
      <c r="B174" s="569"/>
      <c r="C174" s="248" t="s">
        <v>806</v>
      </c>
      <c r="D174" s="248" t="s">
        <v>710</v>
      </c>
      <c r="E174" s="257" t="s">
        <v>584</v>
      </c>
      <c r="F174" s="257">
        <v>2</v>
      </c>
      <c r="G174" s="283"/>
      <c r="H174" s="344">
        <v>35000</v>
      </c>
      <c r="I174" s="344">
        <v>40000</v>
      </c>
      <c r="J174" s="334">
        <f t="shared" si="7"/>
        <v>5000</v>
      </c>
      <c r="K174" s="275"/>
    </row>
    <row r="175" spans="1:11" ht="24" customHeight="1">
      <c r="A175" s="244">
        <v>174</v>
      </c>
      <c r="B175" s="569"/>
      <c r="C175" s="248" t="s">
        <v>806</v>
      </c>
      <c r="D175" s="248" t="s">
        <v>696</v>
      </c>
      <c r="E175" s="257" t="s">
        <v>584</v>
      </c>
      <c r="F175" s="257">
        <v>2</v>
      </c>
      <c r="G175" s="283"/>
      <c r="H175" s="344">
        <v>35000</v>
      </c>
      <c r="I175" s="344">
        <v>40000</v>
      </c>
      <c r="J175" s="334">
        <f t="shared" si="7"/>
        <v>5000</v>
      </c>
      <c r="K175" s="275"/>
    </row>
    <row r="176" spans="1:11" ht="24" customHeight="1">
      <c r="A176" s="244">
        <v>175</v>
      </c>
      <c r="B176" s="569"/>
      <c r="C176" s="248" t="s">
        <v>806</v>
      </c>
      <c r="D176" s="248" t="s">
        <v>693</v>
      </c>
      <c r="E176" s="257" t="s">
        <v>584</v>
      </c>
      <c r="F176" s="257">
        <v>2</v>
      </c>
      <c r="G176" s="283"/>
      <c r="H176" s="344">
        <v>35000</v>
      </c>
      <c r="I176" s="344">
        <v>40000</v>
      </c>
      <c r="J176" s="334">
        <f t="shared" si="7"/>
        <v>5000</v>
      </c>
      <c r="K176" s="275"/>
    </row>
    <row r="177" spans="1:11" ht="24" customHeight="1">
      <c r="A177" s="244">
        <v>176</v>
      </c>
      <c r="B177" s="569"/>
      <c r="C177" s="248" t="s">
        <v>806</v>
      </c>
      <c r="D177" s="248" t="s">
        <v>701</v>
      </c>
      <c r="E177" s="257" t="s">
        <v>584</v>
      </c>
      <c r="F177" s="257">
        <v>2</v>
      </c>
      <c r="G177" s="283"/>
      <c r="H177" s="344">
        <v>35000</v>
      </c>
      <c r="I177" s="344">
        <v>40000</v>
      </c>
      <c r="J177" s="334">
        <f t="shared" si="7"/>
        <v>5000</v>
      </c>
      <c r="K177" s="275"/>
    </row>
    <row r="178" spans="1:11" ht="24" customHeight="1">
      <c r="A178" s="244">
        <v>177</v>
      </c>
      <c r="B178" s="569"/>
      <c r="C178" s="248" t="s">
        <v>807</v>
      </c>
      <c r="D178" s="248" t="s">
        <v>696</v>
      </c>
      <c r="E178" s="257" t="s">
        <v>574</v>
      </c>
      <c r="F178" s="257">
        <v>2</v>
      </c>
      <c r="G178" s="283"/>
      <c r="H178" s="344">
        <v>61180</v>
      </c>
      <c r="I178" s="344">
        <v>66000</v>
      </c>
      <c r="J178" s="334">
        <f t="shared" si="7"/>
        <v>4820</v>
      </c>
      <c r="K178" s="275"/>
    </row>
    <row r="179" spans="1:11" ht="24" customHeight="1">
      <c r="A179" s="244">
        <v>178</v>
      </c>
      <c r="B179" s="569"/>
      <c r="C179" s="248" t="s">
        <v>808</v>
      </c>
      <c r="D179" s="248" t="s">
        <v>696</v>
      </c>
      <c r="E179" s="257" t="s">
        <v>584</v>
      </c>
      <c r="F179" s="257">
        <v>2</v>
      </c>
      <c r="G179" s="283"/>
      <c r="H179" s="344">
        <v>54900</v>
      </c>
      <c r="I179" s="344">
        <v>60000</v>
      </c>
      <c r="J179" s="334">
        <f t="shared" si="7"/>
        <v>5100</v>
      </c>
      <c r="K179" s="275"/>
    </row>
    <row r="180" spans="1:11" ht="24" customHeight="1">
      <c r="A180" s="244">
        <v>179</v>
      </c>
      <c r="B180" s="569"/>
      <c r="C180" s="248" t="s">
        <v>809</v>
      </c>
      <c r="D180" s="248" t="s">
        <v>696</v>
      </c>
      <c r="E180" s="257" t="s">
        <v>574</v>
      </c>
      <c r="F180" s="257">
        <v>2</v>
      </c>
      <c r="G180" s="283"/>
      <c r="H180" s="344">
        <v>56000</v>
      </c>
      <c r="I180" s="344">
        <v>62000</v>
      </c>
      <c r="J180" s="334">
        <f t="shared" si="7"/>
        <v>6000</v>
      </c>
      <c r="K180" s="275"/>
    </row>
    <row r="181" spans="1:11" ht="24" customHeight="1">
      <c r="A181" s="244">
        <v>180</v>
      </c>
      <c r="B181" s="569"/>
      <c r="C181" s="248" t="s">
        <v>810</v>
      </c>
      <c r="D181" s="248" t="s">
        <v>720</v>
      </c>
      <c r="E181" s="257" t="s">
        <v>584</v>
      </c>
      <c r="F181" s="257">
        <v>2</v>
      </c>
      <c r="G181" s="283"/>
      <c r="H181" s="344">
        <v>50780</v>
      </c>
      <c r="I181" s="344">
        <v>56000</v>
      </c>
      <c r="J181" s="334">
        <f t="shared" si="7"/>
        <v>5220</v>
      </c>
      <c r="K181" s="275"/>
    </row>
    <row r="182" spans="1:11" ht="24" customHeight="1" thickBot="1">
      <c r="A182" s="249">
        <v>181</v>
      </c>
      <c r="B182" s="570"/>
      <c r="C182" s="266" t="s">
        <v>811</v>
      </c>
      <c r="D182" s="266" t="s">
        <v>693</v>
      </c>
      <c r="E182" s="263" t="s">
        <v>25</v>
      </c>
      <c r="F182" s="263">
        <v>3</v>
      </c>
      <c r="G182" s="286"/>
      <c r="H182" s="345">
        <v>50000</v>
      </c>
      <c r="I182" s="345">
        <v>55200</v>
      </c>
      <c r="J182" s="336">
        <f t="shared" si="7"/>
        <v>5200</v>
      </c>
      <c r="K182" s="296"/>
    </row>
    <row r="183" spans="1:11" ht="24" customHeight="1" thickTop="1" thickBot="1">
      <c r="A183" s="265">
        <v>182</v>
      </c>
      <c r="B183" s="265" t="s">
        <v>655</v>
      </c>
      <c r="C183" s="265" t="s">
        <v>812</v>
      </c>
      <c r="D183" s="265" t="s">
        <v>765</v>
      </c>
      <c r="E183" s="267" t="s">
        <v>25</v>
      </c>
      <c r="F183" s="267">
        <v>2</v>
      </c>
      <c r="G183" s="288" t="s">
        <v>679</v>
      </c>
      <c r="H183" s="350">
        <v>71000</v>
      </c>
      <c r="I183" s="350">
        <v>76200</v>
      </c>
      <c r="J183" s="351">
        <f t="shared" si="7"/>
        <v>5200</v>
      </c>
      <c r="K183" s="299"/>
    </row>
    <row r="184" spans="1:11" ht="24" customHeight="1" thickTop="1">
      <c r="A184" s="252">
        <v>183</v>
      </c>
      <c r="B184" s="568" t="s">
        <v>656</v>
      </c>
      <c r="C184" s="252" t="s">
        <v>816</v>
      </c>
      <c r="D184" s="252" t="s">
        <v>795</v>
      </c>
      <c r="E184" s="256" t="s">
        <v>574</v>
      </c>
      <c r="F184" s="256">
        <v>1</v>
      </c>
      <c r="G184" s="282" t="s">
        <v>856</v>
      </c>
      <c r="H184" s="342">
        <v>50000</v>
      </c>
      <c r="I184" s="342">
        <v>55000</v>
      </c>
      <c r="J184" s="338">
        <f>I184-H184</f>
        <v>5000</v>
      </c>
      <c r="K184" s="294"/>
    </row>
    <row r="185" spans="1:11" ht="24" customHeight="1">
      <c r="A185" s="244">
        <v>184</v>
      </c>
      <c r="B185" s="569"/>
      <c r="C185" s="248" t="s">
        <v>813</v>
      </c>
      <c r="D185" s="248" t="s">
        <v>725</v>
      </c>
      <c r="E185" s="257" t="s">
        <v>584</v>
      </c>
      <c r="F185" s="257">
        <v>2</v>
      </c>
      <c r="G185" s="283"/>
      <c r="H185" s="344">
        <v>52000</v>
      </c>
      <c r="I185" s="344">
        <v>57000</v>
      </c>
      <c r="J185" s="334">
        <f>I185-H185</f>
        <v>5000</v>
      </c>
      <c r="K185" s="275"/>
    </row>
    <row r="186" spans="1:11" ht="24" customHeight="1">
      <c r="A186" s="244">
        <v>185</v>
      </c>
      <c r="B186" s="569"/>
      <c r="C186" s="248" t="s">
        <v>814</v>
      </c>
      <c r="D186" s="248" t="s">
        <v>722</v>
      </c>
      <c r="E186" s="257"/>
      <c r="F186" s="257">
        <v>0</v>
      </c>
      <c r="G186" s="283"/>
      <c r="H186" s="344"/>
      <c r="I186" s="344"/>
      <c r="J186" s="334">
        <f>I186-H186</f>
        <v>0</v>
      </c>
      <c r="K186" s="275" t="s">
        <v>634</v>
      </c>
    </row>
    <row r="187" spans="1:11" ht="24" customHeight="1">
      <c r="A187" s="244">
        <v>186</v>
      </c>
      <c r="B187" s="569"/>
      <c r="C187" s="248" t="s">
        <v>815</v>
      </c>
      <c r="D187" s="248" t="s">
        <v>693</v>
      </c>
      <c r="E187" s="257" t="s">
        <v>574</v>
      </c>
      <c r="F187" s="257">
        <v>2</v>
      </c>
      <c r="G187" s="283"/>
      <c r="H187" s="344">
        <v>57000</v>
      </c>
      <c r="I187" s="344">
        <v>60000</v>
      </c>
      <c r="J187" s="334">
        <f>I187-H187</f>
        <v>3000</v>
      </c>
      <c r="K187" s="275"/>
    </row>
    <row r="188" spans="1:11" ht="24" customHeight="1" thickBot="1">
      <c r="A188" s="249">
        <v>187</v>
      </c>
      <c r="B188" s="570"/>
      <c r="C188" s="266" t="s">
        <v>843</v>
      </c>
      <c r="D188" s="266">
        <v>307</v>
      </c>
      <c r="E188" s="263" t="s">
        <v>582</v>
      </c>
      <c r="F188" s="263">
        <v>1</v>
      </c>
      <c r="G188" s="286"/>
      <c r="H188" s="345">
        <v>29000</v>
      </c>
      <c r="I188" s="345">
        <v>32000</v>
      </c>
      <c r="J188" s="336">
        <f>I188-H188</f>
        <v>3000</v>
      </c>
      <c r="K188" s="296" t="s">
        <v>646</v>
      </c>
    </row>
    <row r="189" spans="1:11" ht="24" customHeight="1" thickTop="1">
      <c r="A189" s="248">
        <v>188</v>
      </c>
      <c r="B189" s="574" t="s">
        <v>657</v>
      </c>
      <c r="C189" s="248" t="s">
        <v>817</v>
      </c>
      <c r="D189" s="248" t="s">
        <v>693</v>
      </c>
      <c r="E189" s="261" t="s">
        <v>25</v>
      </c>
      <c r="F189" s="261">
        <v>1</v>
      </c>
      <c r="G189" s="285" t="s">
        <v>857</v>
      </c>
      <c r="H189" s="348">
        <v>62000</v>
      </c>
      <c r="I189" s="348">
        <v>70000</v>
      </c>
      <c r="J189" s="347">
        <f t="shared" si="7"/>
        <v>8000</v>
      </c>
      <c r="K189" s="300"/>
    </row>
    <row r="190" spans="1:11" ht="24" customHeight="1" thickBot="1">
      <c r="A190" s="264">
        <v>189</v>
      </c>
      <c r="B190" s="575"/>
      <c r="C190" s="265" t="s">
        <v>818</v>
      </c>
      <c r="D190" s="265" t="s">
        <v>701</v>
      </c>
      <c r="E190" s="268" t="s">
        <v>584</v>
      </c>
      <c r="F190" s="268">
        <v>2</v>
      </c>
      <c r="G190" s="289"/>
      <c r="H190" s="352">
        <v>47000</v>
      </c>
      <c r="I190" s="352">
        <v>52000</v>
      </c>
      <c r="J190" s="353">
        <f t="shared" si="7"/>
        <v>5000</v>
      </c>
      <c r="K190" s="301" t="s">
        <v>640</v>
      </c>
    </row>
    <row r="191" spans="1:11" ht="24" customHeight="1" thickTop="1">
      <c r="A191" s="252">
        <v>190</v>
      </c>
      <c r="B191" s="568" t="s">
        <v>565</v>
      </c>
      <c r="C191" s="252" t="s">
        <v>821</v>
      </c>
      <c r="D191" s="252" t="s">
        <v>720</v>
      </c>
      <c r="E191" s="328" t="s">
        <v>574</v>
      </c>
      <c r="F191" s="328">
        <v>1</v>
      </c>
      <c r="G191" s="329" t="s">
        <v>856</v>
      </c>
      <c r="H191" s="354">
        <v>54842</v>
      </c>
      <c r="I191" s="354">
        <v>59840</v>
      </c>
      <c r="J191" s="338">
        <f t="shared" ref="J191:J202" si="9">I191-H191</f>
        <v>4998</v>
      </c>
      <c r="K191" s="302" t="s">
        <v>639</v>
      </c>
    </row>
    <row r="192" spans="1:11" ht="24" customHeight="1">
      <c r="A192" s="244">
        <v>191</v>
      </c>
      <c r="B192" s="569"/>
      <c r="C192" s="248" t="s">
        <v>820</v>
      </c>
      <c r="D192" s="248" t="s">
        <v>693</v>
      </c>
      <c r="E192" s="257" t="s">
        <v>25</v>
      </c>
      <c r="F192" s="257">
        <v>1</v>
      </c>
      <c r="G192" s="283" t="s">
        <v>857</v>
      </c>
      <c r="H192" s="344">
        <v>54030</v>
      </c>
      <c r="I192" s="344">
        <v>60000</v>
      </c>
      <c r="J192" s="334">
        <f t="shared" si="9"/>
        <v>5970</v>
      </c>
      <c r="K192" s="295"/>
    </row>
    <row r="193" spans="1:11" ht="24" customHeight="1">
      <c r="A193" s="244">
        <v>192</v>
      </c>
      <c r="B193" s="569"/>
      <c r="C193" s="248" t="s">
        <v>395</v>
      </c>
      <c r="D193" s="248">
        <v>201</v>
      </c>
      <c r="E193" s="257" t="s">
        <v>584</v>
      </c>
      <c r="F193" s="257" t="s">
        <v>121</v>
      </c>
      <c r="G193" s="283"/>
      <c r="H193" s="344">
        <v>44000</v>
      </c>
      <c r="I193" s="344">
        <v>44000</v>
      </c>
      <c r="J193" s="334">
        <f t="shared" si="9"/>
        <v>0</v>
      </c>
      <c r="K193" s="295" t="s">
        <v>631</v>
      </c>
    </row>
    <row r="194" spans="1:11" ht="24" customHeight="1">
      <c r="A194" s="244">
        <v>193</v>
      </c>
      <c r="B194" s="569"/>
      <c r="C194" s="248" t="s">
        <v>819</v>
      </c>
      <c r="D194" s="248" t="s">
        <v>701</v>
      </c>
      <c r="E194" s="257" t="s">
        <v>582</v>
      </c>
      <c r="F194" s="257" t="s">
        <v>121</v>
      </c>
      <c r="G194" s="283"/>
      <c r="H194" s="344">
        <v>39000</v>
      </c>
      <c r="I194" s="344">
        <v>39000</v>
      </c>
      <c r="J194" s="334">
        <f t="shared" si="9"/>
        <v>0</v>
      </c>
      <c r="K194" s="275" t="s">
        <v>631</v>
      </c>
    </row>
    <row r="195" spans="1:11" ht="24" customHeight="1">
      <c r="A195" s="244">
        <v>194</v>
      </c>
      <c r="B195" s="569"/>
      <c r="C195" s="248" t="s">
        <v>844</v>
      </c>
      <c r="D195" s="248" t="s">
        <v>845</v>
      </c>
      <c r="E195" s="257" t="s">
        <v>585</v>
      </c>
      <c r="F195" s="257">
        <v>1</v>
      </c>
      <c r="G195" s="283"/>
      <c r="H195" s="344">
        <v>42900</v>
      </c>
      <c r="I195" s="344">
        <v>42900</v>
      </c>
      <c r="J195" s="334">
        <f t="shared" si="9"/>
        <v>0</v>
      </c>
      <c r="K195" s="295" t="s">
        <v>631</v>
      </c>
    </row>
    <row r="196" spans="1:11" ht="24" customHeight="1">
      <c r="A196" s="244">
        <v>195</v>
      </c>
      <c r="B196" s="569"/>
      <c r="C196" s="248" t="s">
        <v>822</v>
      </c>
      <c r="D196" s="248" t="s">
        <v>696</v>
      </c>
      <c r="E196" s="257" t="s">
        <v>581</v>
      </c>
      <c r="F196" s="257" t="s">
        <v>121</v>
      </c>
      <c r="G196" s="283"/>
      <c r="H196" s="344">
        <v>48730</v>
      </c>
      <c r="I196" s="344">
        <v>53400</v>
      </c>
      <c r="J196" s="334">
        <f t="shared" si="9"/>
        <v>4670</v>
      </c>
      <c r="K196" s="295"/>
    </row>
    <row r="197" spans="1:11" ht="24" customHeight="1">
      <c r="A197" s="244">
        <v>196</v>
      </c>
      <c r="B197" s="569"/>
      <c r="C197" s="248" t="s">
        <v>823</v>
      </c>
      <c r="D197" s="248" t="s">
        <v>795</v>
      </c>
      <c r="E197" s="257" t="s">
        <v>584</v>
      </c>
      <c r="F197" s="257" t="s">
        <v>121</v>
      </c>
      <c r="G197" s="283"/>
      <c r="H197" s="344">
        <v>35000</v>
      </c>
      <c r="I197" s="344">
        <v>35000</v>
      </c>
      <c r="J197" s="334">
        <f t="shared" si="9"/>
        <v>0</v>
      </c>
      <c r="K197" s="295" t="s">
        <v>631</v>
      </c>
    </row>
    <row r="198" spans="1:11" ht="24" customHeight="1">
      <c r="A198" s="244">
        <v>197</v>
      </c>
      <c r="B198" s="569"/>
      <c r="C198" s="248" t="s">
        <v>824</v>
      </c>
      <c r="D198" s="248" t="s">
        <v>696</v>
      </c>
      <c r="E198" s="257" t="s">
        <v>584</v>
      </c>
      <c r="F198" s="257">
        <v>1</v>
      </c>
      <c r="G198" s="283"/>
      <c r="H198" s="344">
        <v>52605</v>
      </c>
      <c r="I198" s="344">
        <v>57000</v>
      </c>
      <c r="J198" s="334">
        <f t="shared" si="9"/>
        <v>4395</v>
      </c>
      <c r="K198" s="295" t="s">
        <v>638</v>
      </c>
    </row>
    <row r="199" spans="1:11" ht="24" customHeight="1">
      <c r="A199" s="244">
        <v>198</v>
      </c>
      <c r="B199" s="569"/>
      <c r="C199" s="248" t="s">
        <v>825</v>
      </c>
      <c r="D199" s="248" t="s">
        <v>716</v>
      </c>
      <c r="E199" s="257" t="s">
        <v>25</v>
      </c>
      <c r="F199" s="257">
        <v>2</v>
      </c>
      <c r="G199" s="283"/>
      <c r="H199" s="344">
        <v>54000</v>
      </c>
      <c r="I199" s="344">
        <v>59100</v>
      </c>
      <c r="J199" s="334">
        <f t="shared" si="9"/>
        <v>5100</v>
      </c>
      <c r="K199" s="295"/>
    </row>
    <row r="200" spans="1:11" ht="24" customHeight="1">
      <c r="A200" s="244">
        <v>199</v>
      </c>
      <c r="B200" s="569"/>
      <c r="C200" s="248" t="s">
        <v>826</v>
      </c>
      <c r="D200" s="248" t="s">
        <v>696</v>
      </c>
      <c r="E200" s="257" t="s">
        <v>574</v>
      </c>
      <c r="F200" s="257">
        <v>3</v>
      </c>
      <c r="G200" s="283"/>
      <c r="H200" s="344">
        <v>60230</v>
      </c>
      <c r="I200" s="344">
        <v>66000</v>
      </c>
      <c r="J200" s="334">
        <f t="shared" si="9"/>
        <v>5770</v>
      </c>
      <c r="K200" s="295"/>
    </row>
    <row r="201" spans="1:11" ht="24" customHeight="1">
      <c r="A201" s="244">
        <v>200</v>
      </c>
      <c r="B201" s="569"/>
      <c r="C201" s="248" t="s">
        <v>827</v>
      </c>
      <c r="D201" s="248" t="s">
        <v>701</v>
      </c>
      <c r="E201" s="257" t="s">
        <v>584</v>
      </c>
      <c r="F201" s="257" t="s">
        <v>121</v>
      </c>
      <c r="G201" s="283"/>
      <c r="H201" s="344">
        <v>55000</v>
      </c>
      <c r="I201" s="344">
        <v>55000</v>
      </c>
      <c r="J201" s="334">
        <f t="shared" si="9"/>
        <v>0</v>
      </c>
      <c r="K201" s="295" t="s">
        <v>631</v>
      </c>
    </row>
    <row r="202" spans="1:11" ht="24" customHeight="1" thickBot="1">
      <c r="A202" s="249">
        <v>201</v>
      </c>
      <c r="B202" s="570"/>
      <c r="C202" s="266" t="s">
        <v>827</v>
      </c>
      <c r="D202" s="266" t="s">
        <v>708</v>
      </c>
      <c r="E202" s="263" t="s">
        <v>25</v>
      </c>
      <c r="F202" s="263">
        <v>3</v>
      </c>
      <c r="G202" s="286"/>
      <c r="H202" s="345">
        <v>56000</v>
      </c>
      <c r="I202" s="345">
        <v>61200</v>
      </c>
      <c r="J202" s="336">
        <f t="shared" si="9"/>
        <v>5200</v>
      </c>
      <c r="K202" s="303"/>
    </row>
    <row r="203" spans="1:11" ht="24" customHeight="1" thickTop="1">
      <c r="A203" s="252">
        <v>202</v>
      </c>
      <c r="B203" s="568" t="s">
        <v>549</v>
      </c>
      <c r="C203" s="252" t="s">
        <v>828</v>
      </c>
      <c r="D203" s="252" t="s">
        <v>716</v>
      </c>
      <c r="E203" s="256" t="s">
        <v>582</v>
      </c>
      <c r="F203" s="256"/>
      <c r="G203" s="282"/>
      <c r="H203" s="342">
        <v>25000</v>
      </c>
      <c r="I203" s="342">
        <v>30000</v>
      </c>
      <c r="J203" s="338">
        <f t="shared" ref="J203:J204" si="10">I203-H203</f>
        <v>5000</v>
      </c>
      <c r="K203" s="302"/>
    </row>
    <row r="204" spans="1:11" ht="24" customHeight="1">
      <c r="A204" s="247">
        <v>203</v>
      </c>
      <c r="B204" s="571"/>
      <c r="C204" s="270" t="s">
        <v>828</v>
      </c>
      <c r="D204" s="270" t="s">
        <v>696</v>
      </c>
      <c r="E204" s="271" t="s">
        <v>582</v>
      </c>
      <c r="F204" s="271"/>
      <c r="G204" s="290"/>
      <c r="H204" s="355">
        <v>28000</v>
      </c>
      <c r="I204" s="355">
        <v>33000</v>
      </c>
      <c r="J204" s="356">
        <f t="shared" si="10"/>
        <v>5000</v>
      </c>
      <c r="K204" s="304" t="s">
        <v>647</v>
      </c>
    </row>
    <row r="205" spans="1:11" ht="24" customHeight="1">
      <c r="A205" s="20"/>
      <c r="B205" s="272"/>
      <c r="C205" s="20" t="s">
        <v>829</v>
      </c>
      <c r="D205" s="20" t="s">
        <v>829</v>
      </c>
      <c r="E205" s="273"/>
      <c r="F205" s="273"/>
      <c r="G205" s="291"/>
      <c r="H205" s="274">
        <f>SUM(H2:H204)</f>
        <v>9361663</v>
      </c>
      <c r="I205" s="274">
        <f>SUM(I2:I204)</f>
        <v>10107107</v>
      </c>
      <c r="J205" s="269">
        <f>SUM(J2:J204)</f>
        <v>745444</v>
      </c>
      <c r="K205" s="305"/>
    </row>
    <row r="206" spans="1:11" ht="24.95" customHeight="1">
      <c r="A206" s="158"/>
      <c r="B206" s="158"/>
      <c r="C206" s="158" t="s">
        <v>829</v>
      </c>
      <c r="D206" s="158"/>
      <c r="E206" s="572" t="s">
        <v>666</v>
      </c>
      <c r="F206" s="572"/>
      <c r="G206" s="572"/>
      <c r="H206" s="572"/>
      <c r="I206" s="240">
        <v>9558616</v>
      </c>
      <c r="J206" s="238">
        <f>I206-H205</f>
        <v>196953</v>
      </c>
    </row>
    <row r="207" spans="1:11">
      <c r="A207" s="158"/>
      <c r="B207" s="158"/>
      <c r="C207" s="158"/>
      <c r="D207" s="158"/>
      <c r="E207" s="237"/>
      <c r="F207" s="237"/>
      <c r="G207" s="292"/>
      <c r="H207" s="240"/>
      <c r="I207" s="240"/>
      <c r="J207" s="238"/>
    </row>
    <row r="208" spans="1:11">
      <c r="A208" s="158"/>
      <c r="B208" s="158"/>
      <c r="C208" s="158"/>
      <c r="D208" s="158"/>
      <c r="E208" s="237"/>
      <c r="F208" s="237"/>
      <c r="G208" s="292"/>
      <c r="H208" s="240"/>
      <c r="I208" s="240"/>
      <c r="J208" s="238"/>
    </row>
    <row r="209" spans="1:10">
      <c r="A209" s="158"/>
      <c r="B209" s="158"/>
      <c r="C209" s="158"/>
      <c r="D209" s="158"/>
      <c r="E209" s="237"/>
      <c r="F209" s="237"/>
      <c r="G209" s="292"/>
      <c r="H209" s="240"/>
      <c r="I209" s="240"/>
      <c r="J209" s="238"/>
    </row>
    <row r="210" spans="1:10">
      <c r="A210" s="158"/>
      <c r="B210" s="158"/>
      <c r="C210" s="158"/>
      <c r="D210" s="158"/>
      <c r="E210" s="237"/>
      <c r="F210" s="237"/>
      <c r="G210" s="292"/>
      <c r="H210" s="240"/>
      <c r="I210" s="240"/>
      <c r="J210" s="238"/>
    </row>
    <row r="211" spans="1:10">
      <c r="A211" s="158"/>
      <c r="B211" s="158"/>
      <c r="C211" s="158"/>
      <c r="D211" s="158"/>
      <c r="E211" s="237"/>
      <c r="F211" s="237"/>
      <c r="G211" s="292"/>
      <c r="H211" s="240"/>
      <c r="I211" s="240"/>
      <c r="J211" s="238"/>
    </row>
    <row r="212" spans="1:10">
      <c r="A212" s="158"/>
      <c r="B212" s="158"/>
      <c r="C212" s="158"/>
      <c r="D212" s="158"/>
      <c r="E212" s="237"/>
      <c r="F212" s="237"/>
      <c r="G212" s="292"/>
      <c r="H212" s="240"/>
      <c r="I212" s="240"/>
      <c r="J212" s="238"/>
    </row>
    <row r="213" spans="1:10">
      <c r="A213" s="158"/>
      <c r="B213" s="158"/>
      <c r="C213" s="158"/>
      <c r="D213" s="158"/>
      <c r="E213" s="237"/>
      <c r="F213" s="237"/>
      <c r="G213" s="292"/>
      <c r="H213" s="240"/>
      <c r="I213" s="240"/>
      <c r="J213" s="238"/>
    </row>
    <row r="214" spans="1:10">
      <c r="A214" s="158"/>
      <c r="B214" s="158"/>
      <c r="C214" s="158"/>
      <c r="D214" s="158"/>
      <c r="E214" s="237"/>
      <c r="F214" s="237"/>
      <c r="G214" s="292"/>
      <c r="H214" s="240"/>
      <c r="I214" s="240"/>
      <c r="J214" s="238"/>
    </row>
    <row r="215" spans="1:10">
      <c r="A215" s="158"/>
      <c r="B215" s="158"/>
      <c r="C215" s="158"/>
      <c r="D215" s="158"/>
      <c r="E215" s="237"/>
      <c r="F215" s="237"/>
      <c r="G215" s="292"/>
      <c r="H215" s="240"/>
      <c r="I215" s="240"/>
      <c r="J215" s="238"/>
    </row>
    <row r="216" spans="1:10">
      <c r="A216" s="158"/>
      <c r="B216" s="158"/>
      <c r="C216" s="158"/>
      <c r="D216" s="158"/>
      <c r="E216" s="237"/>
      <c r="F216" s="237"/>
      <c r="G216" s="292"/>
      <c r="H216" s="240"/>
      <c r="I216" s="240"/>
      <c r="J216" s="238"/>
    </row>
    <row r="217" spans="1:10">
      <c r="A217" s="158"/>
      <c r="B217" s="158"/>
      <c r="C217" s="158"/>
      <c r="D217" s="158"/>
      <c r="E217" s="237"/>
      <c r="F217" s="237"/>
      <c r="G217" s="292"/>
      <c r="H217" s="240"/>
      <c r="I217" s="240"/>
      <c r="J217" s="238"/>
    </row>
    <row r="218" spans="1:10">
      <c r="A218" s="158"/>
      <c r="B218" s="158"/>
      <c r="C218" s="158"/>
      <c r="D218" s="158"/>
      <c r="E218" s="237"/>
      <c r="F218" s="237"/>
      <c r="G218" s="292"/>
      <c r="H218" s="240"/>
      <c r="I218" s="240"/>
      <c r="J218" s="238"/>
    </row>
    <row r="219" spans="1:10">
      <c r="A219" s="158"/>
      <c r="B219" s="158"/>
      <c r="C219" s="158"/>
      <c r="D219" s="158"/>
      <c r="E219" s="237"/>
      <c r="F219" s="237"/>
      <c r="G219" s="292"/>
      <c r="H219" s="240"/>
      <c r="I219" s="240"/>
      <c r="J219" s="238"/>
    </row>
    <row r="220" spans="1:10">
      <c r="A220" s="158"/>
      <c r="B220" s="158"/>
      <c r="C220" s="158"/>
      <c r="D220" s="158"/>
      <c r="E220" s="237"/>
      <c r="F220" s="237"/>
      <c r="G220" s="292"/>
      <c r="H220" s="240"/>
      <c r="I220" s="240"/>
      <c r="J220" s="238"/>
    </row>
    <row r="221" spans="1:10">
      <c r="A221" s="158"/>
      <c r="B221" s="158"/>
      <c r="C221" s="158"/>
      <c r="D221" s="158"/>
      <c r="E221" s="237"/>
      <c r="F221" s="237"/>
      <c r="G221" s="292"/>
      <c r="H221" s="240"/>
      <c r="I221" s="240"/>
      <c r="J221" s="238"/>
    </row>
    <row r="222" spans="1:10">
      <c r="A222" s="158"/>
      <c r="B222" s="158"/>
      <c r="C222" s="158"/>
      <c r="D222" s="158"/>
      <c r="E222" s="237"/>
      <c r="F222" s="237"/>
      <c r="G222" s="292"/>
      <c r="H222" s="240"/>
      <c r="I222" s="240"/>
      <c r="J222" s="238"/>
    </row>
    <row r="223" spans="1:10">
      <c r="A223" s="158"/>
      <c r="B223" s="158"/>
      <c r="C223" s="158"/>
      <c r="D223" s="158"/>
      <c r="E223" s="237"/>
      <c r="F223" s="237"/>
      <c r="G223" s="292"/>
      <c r="H223" s="240"/>
      <c r="I223" s="240"/>
      <c r="J223" s="238"/>
    </row>
    <row r="224" spans="1:10">
      <c r="A224" s="158"/>
      <c r="B224" s="158"/>
      <c r="C224" s="158"/>
      <c r="D224" s="158"/>
      <c r="E224" s="237"/>
      <c r="F224" s="237"/>
      <c r="G224" s="292"/>
      <c r="H224" s="240"/>
      <c r="I224" s="240"/>
      <c r="J224" s="238"/>
    </row>
    <row r="225" spans="1:10">
      <c r="A225" s="158"/>
      <c r="B225" s="158"/>
      <c r="C225" s="158"/>
      <c r="D225" s="158"/>
      <c r="E225" s="237"/>
      <c r="F225" s="237"/>
      <c r="G225" s="292"/>
      <c r="H225" s="240"/>
      <c r="I225" s="240"/>
      <c r="J225" s="238"/>
    </row>
    <row r="226" spans="1:10">
      <c r="A226" s="158"/>
      <c r="B226" s="158"/>
      <c r="C226" s="158"/>
      <c r="D226" s="158"/>
      <c r="E226" s="237"/>
      <c r="F226" s="237"/>
      <c r="G226" s="292"/>
      <c r="H226" s="240"/>
      <c r="I226" s="240"/>
      <c r="J226" s="238"/>
    </row>
    <row r="227" spans="1:10">
      <c r="A227" s="158"/>
      <c r="B227" s="158"/>
      <c r="C227" s="158"/>
      <c r="D227" s="158"/>
      <c r="E227" s="237"/>
      <c r="F227" s="237"/>
      <c r="G227" s="292"/>
      <c r="H227" s="240"/>
      <c r="I227" s="240"/>
      <c r="J227" s="238"/>
    </row>
    <row r="228" spans="1:10">
      <c r="A228" s="158"/>
      <c r="B228" s="158"/>
      <c r="C228" s="158"/>
      <c r="D228" s="158"/>
      <c r="E228" s="237"/>
      <c r="F228" s="237"/>
      <c r="G228" s="292"/>
      <c r="H228" s="240"/>
      <c r="I228" s="240"/>
      <c r="J228" s="238"/>
    </row>
    <row r="229" spans="1:10">
      <c r="A229" s="158"/>
      <c r="B229" s="158"/>
      <c r="C229" s="158"/>
      <c r="D229" s="158"/>
      <c r="E229" s="237"/>
      <c r="F229" s="237"/>
      <c r="G229" s="292"/>
      <c r="H229" s="240"/>
      <c r="I229" s="240"/>
      <c r="J229" s="238"/>
    </row>
    <row r="230" spans="1:10">
      <c r="A230" s="158"/>
      <c r="B230" s="158"/>
      <c r="C230" s="158"/>
      <c r="D230" s="158"/>
      <c r="E230" s="237"/>
      <c r="F230" s="237"/>
      <c r="G230" s="292"/>
      <c r="H230" s="240"/>
      <c r="I230" s="240"/>
      <c r="J230" s="238"/>
    </row>
    <row r="231" spans="1:10">
      <c r="A231" s="158"/>
      <c r="B231" s="158"/>
      <c r="C231" s="158"/>
      <c r="D231" s="158"/>
      <c r="E231" s="237"/>
      <c r="F231" s="237"/>
      <c r="G231" s="292"/>
      <c r="H231" s="240"/>
      <c r="I231" s="240"/>
      <c r="J231" s="238"/>
    </row>
    <row r="232" spans="1:10">
      <c r="A232" s="158"/>
      <c r="B232" s="158"/>
      <c r="C232" s="158"/>
      <c r="D232" s="158"/>
      <c r="E232" s="237"/>
      <c r="F232" s="237"/>
      <c r="G232" s="292"/>
      <c r="H232" s="240"/>
      <c r="I232" s="240"/>
      <c r="J232" s="238"/>
    </row>
    <row r="233" spans="1:10">
      <c r="A233" s="158"/>
      <c r="B233" s="158"/>
      <c r="C233" s="158"/>
      <c r="D233" s="158"/>
      <c r="E233" s="237"/>
      <c r="F233" s="237"/>
      <c r="G233" s="292"/>
      <c r="H233" s="240"/>
      <c r="I233" s="240"/>
      <c r="J233" s="238"/>
    </row>
    <row r="234" spans="1:10">
      <c r="A234" s="158"/>
      <c r="B234" s="158"/>
      <c r="C234" s="158"/>
      <c r="D234" s="158"/>
      <c r="E234" s="237"/>
      <c r="F234" s="237"/>
      <c r="G234" s="292"/>
      <c r="H234" s="240"/>
      <c r="I234" s="240"/>
      <c r="J234" s="238"/>
    </row>
    <row r="235" spans="1:10">
      <c r="A235" s="158"/>
      <c r="B235" s="158"/>
      <c r="C235" s="158"/>
      <c r="D235" s="158"/>
      <c r="E235" s="237"/>
      <c r="F235" s="237"/>
      <c r="G235" s="292"/>
      <c r="H235" s="240"/>
      <c r="I235" s="240"/>
      <c r="J235" s="238"/>
    </row>
    <row r="236" spans="1:10">
      <c r="A236" s="158"/>
      <c r="B236" s="158"/>
      <c r="C236" s="158"/>
      <c r="D236" s="158"/>
      <c r="E236" s="237"/>
      <c r="F236" s="237"/>
      <c r="G236" s="292"/>
      <c r="H236" s="240"/>
      <c r="I236" s="240"/>
      <c r="J236" s="238"/>
    </row>
    <row r="237" spans="1:10">
      <c r="A237" s="158"/>
      <c r="B237" s="158"/>
      <c r="C237" s="158"/>
      <c r="D237" s="158"/>
      <c r="E237" s="237"/>
      <c r="F237" s="237"/>
      <c r="G237" s="292"/>
      <c r="H237" s="240"/>
      <c r="I237" s="240"/>
      <c r="J237" s="238"/>
    </row>
    <row r="238" spans="1:10">
      <c r="A238" s="158"/>
      <c r="B238" s="158"/>
      <c r="C238" s="158"/>
      <c r="D238" s="158"/>
      <c r="E238" s="237"/>
      <c r="F238" s="237"/>
      <c r="G238" s="292"/>
      <c r="H238" s="240"/>
      <c r="I238" s="240"/>
      <c r="J238" s="238"/>
    </row>
    <row r="239" spans="1:10">
      <c r="A239" s="158"/>
      <c r="B239" s="158"/>
      <c r="C239" s="158"/>
      <c r="D239" s="158"/>
      <c r="E239" s="237"/>
      <c r="F239" s="237"/>
      <c r="G239" s="292"/>
      <c r="H239" s="240"/>
      <c r="I239" s="240"/>
      <c r="J239" s="238"/>
    </row>
    <row r="240" spans="1:10">
      <c r="A240" s="158"/>
      <c r="B240" s="158"/>
      <c r="C240" s="158"/>
      <c r="D240" s="158"/>
      <c r="E240" s="237"/>
      <c r="F240" s="237"/>
      <c r="G240" s="292"/>
      <c r="H240" s="240"/>
      <c r="I240" s="240"/>
      <c r="J240" s="238"/>
    </row>
    <row r="241" spans="1:10">
      <c r="A241" s="158"/>
      <c r="B241" s="158"/>
      <c r="C241" s="158"/>
      <c r="D241" s="158"/>
      <c r="E241" s="237"/>
      <c r="F241" s="237"/>
      <c r="G241" s="292"/>
      <c r="H241" s="240"/>
      <c r="I241" s="240"/>
      <c r="J241" s="238"/>
    </row>
    <row r="242" spans="1:10">
      <c r="A242" s="158"/>
      <c r="B242" s="158"/>
      <c r="C242" s="158"/>
      <c r="D242" s="158"/>
      <c r="E242" s="237"/>
      <c r="F242" s="237"/>
      <c r="G242" s="292"/>
      <c r="H242" s="240"/>
      <c r="I242" s="240"/>
      <c r="J242" s="238"/>
    </row>
    <row r="243" spans="1:10">
      <c r="A243" s="158"/>
      <c r="B243" s="158"/>
      <c r="C243" s="158"/>
      <c r="D243" s="158"/>
      <c r="E243" s="237"/>
      <c r="F243" s="237"/>
      <c r="G243" s="292"/>
      <c r="H243" s="240"/>
      <c r="I243" s="240"/>
      <c r="J243" s="238"/>
    </row>
    <row r="244" spans="1:10">
      <c r="A244" s="158"/>
      <c r="B244" s="158"/>
      <c r="C244" s="158"/>
      <c r="D244" s="158"/>
      <c r="E244" s="237"/>
      <c r="F244" s="237"/>
      <c r="G244" s="292"/>
      <c r="H244" s="240"/>
      <c r="I244" s="240"/>
      <c r="J244" s="238"/>
    </row>
    <row r="245" spans="1:10">
      <c r="A245" s="158"/>
      <c r="B245" s="158"/>
      <c r="C245" s="158"/>
      <c r="D245" s="158"/>
      <c r="E245" s="237"/>
      <c r="F245" s="237"/>
      <c r="G245" s="292"/>
      <c r="H245" s="240"/>
      <c r="I245" s="240"/>
      <c r="J245" s="238"/>
    </row>
    <row r="246" spans="1:10">
      <c r="A246" s="158"/>
      <c r="B246" s="158"/>
      <c r="C246" s="158"/>
      <c r="D246" s="158"/>
      <c r="E246" s="237"/>
      <c r="F246" s="237"/>
      <c r="G246" s="292"/>
      <c r="H246" s="240"/>
      <c r="I246" s="240"/>
      <c r="J246" s="238"/>
    </row>
    <row r="247" spans="1:10">
      <c r="A247" s="158"/>
      <c r="B247" s="158"/>
      <c r="C247" s="158"/>
      <c r="D247" s="158"/>
      <c r="E247" s="237"/>
      <c r="F247" s="237"/>
      <c r="G247" s="292"/>
      <c r="H247" s="240"/>
      <c r="I247" s="240"/>
      <c r="J247" s="238"/>
    </row>
    <row r="248" spans="1:10">
      <c r="A248" s="158"/>
      <c r="B248" s="158"/>
      <c r="C248" s="158"/>
      <c r="D248" s="158"/>
      <c r="E248" s="237"/>
      <c r="F248" s="237"/>
      <c r="G248" s="292"/>
      <c r="H248" s="240"/>
      <c r="I248" s="240"/>
      <c r="J248" s="238"/>
    </row>
    <row r="249" spans="1:10">
      <c r="A249" s="158"/>
      <c r="B249" s="158"/>
      <c r="C249" s="158"/>
      <c r="D249" s="158"/>
      <c r="E249" s="237"/>
      <c r="F249" s="237"/>
      <c r="G249" s="292"/>
      <c r="H249" s="240"/>
      <c r="I249" s="240"/>
      <c r="J249" s="238"/>
    </row>
    <row r="250" spans="1:10">
      <c r="A250" s="158"/>
      <c r="B250" s="158"/>
      <c r="C250" s="158"/>
      <c r="D250" s="158"/>
      <c r="E250" s="237"/>
      <c r="F250" s="237"/>
      <c r="G250" s="292"/>
      <c r="H250" s="240"/>
      <c r="I250" s="240"/>
      <c r="J250" s="238"/>
    </row>
    <row r="251" spans="1:10">
      <c r="A251" s="158"/>
      <c r="B251" s="158"/>
      <c r="C251" s="158"/>
      <c r="D251" s="158"/>
      <c r="E251" s="237"/>
      <c r="F251" s="237"/>
      <c r="G251" s="292"/>
      <c r="H251" s="240"/>
      <c r="I251" s="240"/>
      <c r="J251" s="238"/>
    </row>
    <row r="252" spans="1:10">
      <c r="A252" s="158"/>
      <c r="B252" s="158"/>
      <c r="C252" s="158"/>
      <c r="D252" s="158"/>
      <c r="E252" s="237"/>
      <c r="F252" s="237"/>
      <c r="G252" s="292"/>
      <c r="H252" s="240"/>
      <c r="I252" s="240"/>
      <c r="J252" s="238"/>
    </row>
    <row r="253" spans="1:10">
      <c r="A253" s="158"/>
      <c r="B253" s="158"/>
      <c r="C253" s="158"/>
      <c r="D253" s="158"/>
      <c r="E253" s="237"/>
      <c r="F253" s="237"/>
      <c r="G253" s="292"/>
      <c r="H253" s="240"/>
      <c r="I253" s="240"/>
      <c r="J253" s="238"/>
    </row>
    <row r="254" spans="1:10">
      <c r="A254" s="158"/>
      <c r="B254" s="158"/>
      <c r="C254" s="158"/>
      <c r="D254" s="158"/>
      <c r="E254" s="237"/>
      <c r="F254" s="237"/>
      <c r="G254" s="292"/>
      <c r="H254" s="240"/>
      <c r="I254" s="240"/>
      <c r="J254" s="238"/>
    </row>
    <row r="255" spans="1:10">
      <c r="A255" s="158"/>
      <c r="B255" s="158"/>
      <c r="C255" s="158"/>
      <c r="D255" s="158"/>
      <c r="E255" s="237"/>
      <c r="F255" s="237"/>
      <c r="G255" s="292"/>
      <c r="H255" s="240"/>
      <c r="I255" s="240"/>
      <c r="J255" s="238"/>
    </row>
    <row r="256" spans="1:10">
      <c r="A256" s="158"/>
      <c r="B256" s="158"/>
      <c r="C256" s="158"/>
      <c r="D256" s="158"/>
      <c r="E256" s="237"/>
      <c r="F256" s="237"/>
      <c r="G256" s="292"/>
      <c r="H256" s="240"/>
      <c r="I256" s="240"/>
      <c r="J256" s="238"/>
    </row>
    <row r="257" spans="1:10">
      <c r="A257" s="158"/>
      <c r="B257" s="158"/>
      <c r="C257" s="158"/>
      <c r="D257" s="158"/>
      <c r="E257" s="237"/>
      <c r="F257" s="237"/>
      <c r="G257" s="292"/>
      <c r="H257" s="240"/>
      <c r="I257" s="240"/>
      <c r="J257" s="238"/>
    </row>
    <row r="258" spans="1:10">
      <c r="A258" s="158"/>
      <c r="B258" s="158"/>
      <c r="C258" s="158"/>
      <c r="D258" s="158"/>
      <c r="E258" s="237"/>
      <c r="F258" s="237"/>
      <c r="G258" s="292"/>
      <c r="H258" s="240"/>
      <c r="I258" s="240"/>
      <c r="J258" s="238"/>
    </row>
    <row r="259" spans="1:10">
      <c r="A259" s="158"/>
      <c r="B259" s="158"/>
      <c r="C259" s="158"/>
      <c r="D259" s="158"/>
      <c r="E259" s="237"/>
      <c r="F259" s="237"/>
      <c r="G259" s="292"/>
      <c r="H259" s="240"/>
      <c r="I259" s="240"/>
      <c r="J259" s="238"/>
    </row>
    <row r="260" spans="1:10">
      <c r="A260" s="158"/>
      <c r="B260" s="158"/>
      <c r="C260" s="158"/>
      <c r="D260" s="158"/>
      <c r="E260" s="237"/>
      <c r="F260" s="237"/>
      <c r="G260" s="292"/>
      <c r="H260" s="240"/>
      <c r="I260" s="240"/>
      <c r="J260" s="238"/>
    </row>
    <row r="261" spans="1:10">
      <c r="A261" s="158"/>
      <c r="B261" s="158"/>
      <c r="C261" s="158"/>
      <c r="D261" s="158"/>
      <c r="E261" s="237"/>
      <c r="F261" s="237"/>
      <c r="G261" s="292"/>
      <c r="H261" s="240"/>
      <c r="I261" s="240"/>
      <c r="J261" s="238"/>
    </row>
    <row r="262" spans="1:10">
      <c r="A262" s="158"/>
      <c r="B262" s="158"/>
      <c r="C262" s="158"/>
      <c r="D262" s="158"/>
      <c r="E262" s="237"/>
      <c r="F262" s="237"/>
      <c r="G262" s="292"/>
      <c r="H262" s="240"/>
      <c r="I262" s="240"/>
      <c r="J262" s="238"/>
    </row>
    <row r="263" spans="1:10">
      <c r="A263" s="158"/>
      <c r="B263" s="158"/>
      <c r="C263" s="158"/>
      <c r="D263" s="158"/>
      <c r="E263" s="237"/>
      <c r="F263" s="237"/>
      <c r="G263" s="292"/>
      <c r="H263" s="240"/>
      <c r="I263" s="240"/>
      <c r="J263" s="238"/>
    </row>
    <row r="264" spans="1:10">
      <c r="A264" s="158"/>
      <c r="B264" s="158"/>
      <c r="C264" s="158"/>
      <c r="D264" s="158"/>
      <c r="E264" s="237"/>
      <c r="F264" s="237"/>
      <c r="G264" s="292"/>
      <c r="H264" s="240"/>
      <c r="I264" s="240"/>
      <c r="J264" s="238"/>
    </row>
    <row r="265" spans="1:10">
      <c r="A265" s="158"/>
      <c r="B265" s="158"/>
      <c r="C265" s="158"/>
      <c r="D265" s="158"/>
      <c r="E265" s="237"/>
      <c r="F265" s="237"/>
      <c r="G265" s="292"/>
      <c r="H265" s="240"/>
      <c r="I265" s="240"/>
      <c r="J265" s="238"/>
    </row>
    <row r="266" spans="1:10">
      <c r="A266" s="158"/>
      <c r="B266" s="158"/>
      <c r="C266" s="158"/>
      <c r="D266" s="158"/>
      <c r="E266" s="237"/>
      <c r="F266" s="237"/>
      <c r="G266" s="292"/>
      <c r="H266" s="240"/>
      <c r="I266" s="240"/>
      <c r="J266" s="238"/>
    </row>
    <row r="267" spans="1:10">
      <c r="A267" s="158"/>
      <c r="B267" s="158"/>
      <c r="C267" s="158"/>
      <c r="D267" s="158"/>
      <c r="E267" s="237"/>
      <c r="F267" s="237"/>
      <c r="G267" s="292"/>
      <c r="H267" s="240"/>
      <c r="I267" s="240"/>
      <c r="J267" s="238"/>
    </row>
    <row r="268" spans="1:10">
      <c r="A268" s="158"/>
      <c r="B268" s="158"/>
      <c r="C268" s="158"/>
      <c r="D268" s="158"/>
      <c r="E268" s="237"/>
      <c r="F268" s="237"/>
      <c r="G268" s="292"/>
      <c r="H268" s="240"/>
      <c r="I268" s="240"/>
      <c r="J268" s="238"/>
    </row>
    <row r="269" spans="1:10">
      <c r="A269" s="158"/>
      <c r="B269" s="158"/>
      <c r="C269" s="158"/>
      <c r="D269" s="158"/>
      <c r="E269" s="237"/>
      <c r="F269" s="237"/>
      <c r="G269" s="292"/>
      <c r="H269" s="240"/>
      <c r="I269" s="240"/>
      <c r="J269" s="238"/>
    </row>
    <row r="270" spans="1:10">
      <c r="A270" s="158"/>
      <c r="B270" s="158"/>
      <c r="C270" s="158"/>
      <c r="D270" s="158"/>
      <c r="E270" s="237"/>
      <c r="F270" s="237"/>
      <c r="G270" s="292"/>
      <c r="H270" s="240"/>
      <c r="I270" s="240"/>
      <c r="J270" s="238"/>
    </row>
    <row r="271" spans="1:10">
      <c r="A271" s="158"/>
      <c r="B271" s="158"/>
      <c r="C271" s="158"/>
      <c r="D271" s="158"/>
      <c r="E271" s="237"/>
      <c r="F271" s="237"/>
      <c r="G271" s="292"/>
      <c r="H271" s="240"/>
      <c r="I271" s="240"/>
      <c r="J271" s="238"/>
    </row>
    <row r="272" spans="1:10">
      <c r="A272" s="158"/>
      <c r="B272" s="158"/>
      <c r="C272" s="158"/>
      <c r="D272" s="158"/>
      <c r="E272" s="237"/>
      <c r="F272" s="237"/>
      <c r="G272" s="292"/>
      <c r="H272" s="240"/>
      <c r="I272" s="240"/>
      <c r="J272" s="238"/>
    </row>
    <row r="273" spans="1:10">
      <c r="A273" s="158"/>
      <c r="B273" s="158"/>
      <c r="C273" s="158"/>
      <c r="D273" s="158"/>
      <c r="E273" s="237"/>
      <c r="F273" s="237"/>
      <c r="G273" s="292"/>
      <c r="H273" s="240"/>
      <c r="I273" s="240"/>
      <c r="J273" s="238"/>
    </row>
    <row r="274" spans="1:10">
      <c r="A274" s="158"/>
      <c r="B274" s="158"/>
      <c r="C274" s="158"/>
      <c r="D274" s="158"/>
      <c r="E274" s="237"/>
      <c r="F274" s="237"/>
      <c r="G274" s="292"/>
      <c r="H274" s="240"/>
      <c r="I274" s="240"/>
      <c r="J274" s="238"/>
    </row>
    <row r="275" spans="1:10">
      <c r="A275" s="158"/>
      <c r="B275" s="158"/>
      <c r="C275" s="158"/>
      <c r="D275" s="158"/>
      <c r="E275" s="237"/>
      <c r="F275" s="237"/>
      <c r="G275" s="292"/>
      <c r="H275" s="240"/>
      <c r="I275" s="240"/>
      <c r="J275" s="238"/>
    </row>
    <row r="276" spans="1:10">
      <c r="A276" s="158"/>
      <c r="B276" s="158"/>
      <c r="C276" s="158"/>
      <c r="D276" s="158"/>
      <c r="E276" s="237"/>
      <c r="F276" s="237"/>
      <c r="G276" s="292"/>
      <c r="H276" s="240"/>
      <c r="I276" s="240"/>
      <c r="J276" s="238"/>
    </row>
    <row r="277" spans="1:10">
      <c r="A277" s="158"/>
      <c r="B277" s="158"/>
      <c r="C277" s="158"/>
      <c r="D277" s="158"/>
      <c r="E277" s="237"/>
      <c r="F277" s="237"/>
      <c r="G277" s="292"/>
      <c r="H277" s="240"/>
      <c r="I277" s="240"/>
      <c r="J277" s="238"/>
    </row>
    <row r="278" spans="1:10">
      <c r="A278" s="158"/>
      <c r="B278" s="158"/>
      <c r="C278" s="158"/>
      <c r="D278" s="158"/>
      <c r="E278" s="237"/>
      <c r="F278" s="237"/>
      <c r="G278" s="292"/>
      <c r="H278" s="240"/>
      <c r="I278" s="240"/>
      <c r="J278" s="238"/>
    </row>
    <row r="279" spans="1:10">
      <c r="A279" s="158"/>
      <c r="B279" s="158"/>
      <c r="C279" s="158"/>
      <c r="D279" s="158"/>
      <c r="E279" s="237"/>
      <c r="F279" s="237"/>
      <c r="G279" s="292"/>
      <c r="H279" s="240"/>
      <c r="I279" s="240"/>
      <c r="J279" s="238"/>
    </row>
    <row r="280" spans="1:10">
      <c r="A280" s="158"/>
      <c r="B280" s="158"/>
      <c r="C280" s="158"/>
      <c r="D280" s="158"/>
      <c r="E280" s="237"/>
      <c r="F280" s="237"/>
      <c r="G280" s="292"/>
      <c r="H280" s="240"/>
      <c r="I280" s="240"/>
      <c r="J280" s="238"/>
    </row>
    <row r="281" spans="1:10">
      <c r="A281" s="158"/>
      <c r="B281" s="158"/>
      <c r="C281" s="158"/>
      <c r="D281" s="158"/>
      <c r="E281" s="237"/>
      <c r="F281" s="237"/>
      <c r="G281" s="292"/>
      <c r="H281" s="240"/>
      <c r="I281" s="240"/>
      <c r="J281" s="238"/>
    </row>
    <row r="282" spans="1:10">
      <c r="A282" s="158"/>
      <c r="B282" s="158"/>
      <c r="C282" s="158"/>
      <c r="D282" s="158"/>
      <c r="E282" s="237"/>
      <c r="F282" s="237"/>
      <c r="G282" s="292"/>
      <c r="H282" s="240"/>
      <c r="I282" s="240"/>
      <c r="J282" s="238"/>
    </row>
    <row r="283" spans="1:10">
      <c r="A283" s="158"/>
      <c r="B283" s="158"/>
      <c r="C283" s="158"/>
      <c r="D283" s="158"/>
      <c r="E283" s="237"/>
      <c r="F283" s="237"/>
      <c r="G283" s="292"/>
      <c r="H283" s="240"/>
      <c r="I283" s="240"/>
      <c r="J283" s="238"/>
    </row>
    <row r="284" spans="1:10">
      <c r="A284" s="158"/>
      <c r="B284" s="158"/>
      <c r="C284" s="158"/>
      <c r="D284" s="158"/>
      <c r="E284" s="237"/>
      <c r="F284" s="237"/>
      <c r="G284" s="292"/>
      <c r="H284" s="240"/>
      <c r="I284" s="240"/>
      <c r="J284" s="238"/>
    </row>
    <row r="285" spans="1:10">
      <c r="A285" s="158"/>
      <c r="B285" s="158"/>
      <c r="C285" s="158"/>
      <c r="D285" s="158"/>
      <c r="E285" s="237"/>
      <c r="F285" s="237"/>
      <c r="G285" s="292"/>
      <c r="H285" s="240"/>
      <c r="I285" s="240"/>
      <c r="J285" s="238"/>
    </row>
    <row r="286" spans="1:10">
      <c r="A286" s="158"/>
      <c r="B286" s="158"/>
      <c r="C286" s="158"/>
      <c r="D286" s="158"/>
      <c r="E286" s="237"/>
      <c r="F286" s="237"/>
      <c r="G286" s="292"/>
      <c r="H286" s="240"/>
      <c r="I286" s="240"/>
      <c r="J286" s="238"/>
    </row>
    <row r="287" spans="1:10">
      <c r="A287" s="158"/>
      <c r="B287" s="158"/>
      <c r="C287" s="158"/>
      <c r="D287" s="158"/>
      <c r="E287" s="237"/>
      <c r="F287" s="237"/>
      <c r="G287" s="292"/>
      <c r="H287" s="240"/>
      <c r="I287" s="240"/>
      <c r="J287" s="238"/>
    </row>
    <row r="288" spans="1:10">
      <c r="A288" s="158"/>
      <c r="B288" s="158"/>
      <c r="C288" s="158"/>
      <c r="D288" s="158"/>
      <c r="E288" s="237"/>
      <c r="F288" s="237"/>
      <c r="G288" s="292"/>
      <c r="H288" s="240"/>
      <c r="I288" s="240"/>
      <c r="J288" s="238"/>
    </row>
    <row r="289" spans="1:10">
      <c r="A289" s="158"/>
      <c r="B289" s="158"/>
      <c r="C289" s="158"/>
      <c r="D289" s="158"/>
      <c r="E289" s="237"/>
      <c r="F289" s="237"/>
      <c r="G289" s="292"/>
      <c r="H289" s="240"/>
      <c r="I289" s="240"/>
      <c r="J289" s="238"/>
    </row>
    <row r="290" spans="1:10">
      <c r="A290" s="158"/>
      <c r="B290" s="158"/>
      <c r="C290" s="158"/>
      <c r="D290" s="158"/>
      <c r="E290" s="237"/>
      <c r="F290" s="237"/>
      <c r="G290" s="292"/>
      <c r="H290" s="240"/>
      <c r="I290" s="240"/>
      <c r="J290" s="238"/>
    </row>
    <row r="291" spans="1:10">
      <c r="A291" s="158"/>
      <c r="B291" s="158"/>
      <c r="C291" s="158"/>
      <c r="D291" s="158"/>
      <c r="E291" s="237"/>
      <c r="F291" s="237"/>
      <c r="G291" s="292"/>
      <c r="H291" s="240"/>
      <c r="I291" s="240"/>
      <c r="J291" s="238"/>
    </row>
    <row r="292" spans="1:10">
      <c r="A292" s="158"/>
      <c r="B292" s="158"/>
      <c r="C292" s="158"/>
      <c r="D292" s="158"/>
      <c r="E292" s="237"/>
      <c r="F292" s="237"/>
      <c r="G292" s="292"/>
      <c r="H292" s="240"/>
      <c r="I292" s="240"/>
      <c r="J292" s="238"/>
    </row>
    <row r="293" spans="1:10">
      <c r="A293" s="158"/>
      <c r="B293" s="158"/>
      <c r="C293" s="158"/>
      <c r="D293" s="158"/>
      <c r="E293" s="237"/>
      <c r="F293" s="237"/>
      <c r="G293" s="292"/>
      <c r="H293" s="240"/>
      <c r="I293" s="240"/>
      <c r="J293" s="238"/>
    </row>
    <row r="294" spans="1:10">
      <c r="A294" s="158"/>
      <c r="B294" s="158"/>
      <c r="C294" s="158"/>
      <c r="D294" s="158"/>
      <c r="E294" s="237"/>
      <c r="F294" s="237"/>
      <c r="G294" s="292"/>
      <c r="H294" s="240"/>
      <c r="I294" s="240"/>
      <c r="J294" s="238"/>
    </row>
    <row r="295" spans="1:10">
      <c r="A295" s="158"/>
      <c r="B295" s="158"/>
      <c r="C295" s="158"/>
      <c r="D295" s="158"/>
      <c r="E295" s="237"/>
      <c r="F295" s="237"/>
      <c r="G295" s="292"/>
      <c r="H295" s="240"/>
      <c r="I295" s="240"/>
      <c r="J295" s="238"/>
    </row>
    <row r="296" spans="1:10">
      <c r="A296" s="158"/>
      <c r="B296" s="158"/>
      <c r="C296" s="158"/>
      <c r="D296" s="158"/>
      <c r="E296" s="237"/>
      <c r="F296" s="237"/>
      <c r="G296" s="292"/>
      <c r="H296" s="240"/>
      <c r="I296" s="240"/>
      <c r="J296" s="238"/>
    </row>
    <row r="297" spans="1:10">
      <c r="A297" s="158"/>
      <c r="B297" s="158"/>
      <c r="C297" s="158"/>
      <c r="D297" s="158"/>
      <c r="E297" s="237"/>
      <c r="F297" s="237"/>
      <c r="G297" s="292"/>
      <c r="H297" s="240"/>
      <c r="I297" s="240"/>
      <c r="J297" s="238"/>
    </row>
    <row r="298" spans="1:10">
      <c r="A298" s="158"/>
      <c r="B298" s="158"/>
      <c r="C298" s="158"/>
      <c r="D298" s="158"/>
      <c r="E298" s="237"/>
      <c r="F298" s="237"/>
      <c r="G298" s="292"/>
      <c r="H298" s="240"/>
      <c r="I298" s="240"/>
      <c r="J298" s="238"/>
    </row>
    <row r="299" spans="1:10">
      <c r="A299" s="158"/>
      <c r="B299" s="158"/>
      <c r="C299" s="158"/>
      <c r="D299" s="158"/>
      <c r="E299" s="237"/>
      <c r="F299" s="237"/>
      <c r="G299" s="292"/>
      <c r="H299" s="240"/>
      <c r="I299" s="240"/>
      <c r="J299" s="238"/>
    </row>
    <row r="300" spans="1:10">
      <c r="A300" s="158"/>
      <c r="B300" s="158"/>
      <c r="C300" s="158"/>
      <c r="D300" s="158"/>
      <c r="E300" s="237"/>
      <c r="F300" s="237"/>
      <c r="G300" s="292"/>
      <c r="H300" s="240"/>
      <c r="I300" s="240"/>
      <c r="J300" s="238"/>
    </row>
    <row r="301" spans="1:10">
      <c r="A301" s="158"/>
      <c r="B301" s="158"/>
      <c r="C301" s="158"/>
      <c r="D301" s="158"/>
      <c r="E301" s="237"/>
      <c r="F301" s="237"/>
      <c r="G301" s="292"/>
      <c r="H301" s="240"/>
      <c r="I301" s="240"/>
      <c r="J301" s="238"/>
    </row>
    <row r="302" spans="1:10">
      <c r="A302" s="158"/>
      <c r="B302" s="158"/>
      <c r="C302" s="158"/>
      <c r="D302" s="158"/>
      <c r="E302" s="237"/>
      <c r="F302" s="237"/>
      <c r="G302" s="292"/>
      <c r="H302" s="240"/>
      <c r="I302" s="240"/>
      <c r="J302" s="238"/>
    </row>
    <row r="303" spans="1:10">
      <c r="A303" s="158"/>
      <c r="B303" s="158"/>
      <c r="C303" s="158"/>
      <c r="D303" s="158"/>
      <c r="E303" s="237"/>
      <c r="F303" s="237"/>
      <c r="G303" s="292"/>
      <c r="H303" s="240"/>
      <c r="I303" s="240"/>
      <c r="J303" s="238"/>
    </row>
    <row r="304" spans="1:10">
      <c r="A304" s="158"/>
      <c r="B304" s="158"/>
      <c r="C304" s="158"/>
      <c r="D304" s="158"/>
      <c r="E304" s="237"/>
      <c r="F304" s="237"/>
      <c r="G304" s="292"/>
      <c r="H304" s="240"/>
      <c r="I304" s="240"/>
      <c r="J304" s="238"/>
    </row>
    <row r="305" spans="1:10">
      <c r="A305" s="158"/>
      <c r="B305" s="158"/>
      <c r="C305" s="158"/>
      <c r="D305" s="158"/>
      <c r="E305" s="237"/>
      <c r="F305" s="237"/>
      <c r="G305" s="292"/>
      <c r="H305" s="240"/>
      <c r="I305" s="240"/>
      <c r="J305" s="238"/>
    </row>
    <row r="306" spans="1:10">
      <c r="A306" s="158"/>
      <c r="B306" s="158"/>
      <c r="C306" s="158"/>
      <c r="D306" s="158"/>
      <c r="E306" s="237"/>
      <c r="F306" s="237"/>
      <c r="G306" s="292"/>
      <c r="H306" s="240"/>
      <c r="I306" s="240"/>
      <c r="J306" s="238"/>
    </row>
    <row r="307" spans="1:10">
      <c r="A307" s="158"/>
      <c r="B307" s="158"/>
      <c r="C307" s="158"/>
      <c r="D307" s="158"/>
      <c r="E307" s="237"/>
      <c r="F307" s="237"/>
      <c r="G307" s="292"/>
      <c r="H307" s="240"/>
      <c r="I307" s="240"/>
      <c r="J307" s="238"/>
    </row>
    <row r="308" spans="1:10">
      <c r="A308" s="158"/>
      <c r="B308" s="158"/>
      <c r="C308" s="158"/>
      <c r="D308" s="158"/>
      <c r="E308" s="237"/>
      <c r="F308" s="237"/>
      <c r="G308" s="292"/>
      <c r="H308" s="240"/>
      <c r="I308" s="240"/>
      <c r="J308" s="238"/>
    </row>
    <row r="309" spans="1:10">
      <c r="A309" s="158"/>
      <c r="B309" s="158"/>
      <c r="C309" s="158"/>
      <c r="D309" s="158"/>
      <c r="E309" s="237"/>
      <c r="F309" s="237"/>
      <c r="G309" s="292"/>
      <c r="H309" s="240"/>
      <c r="I309" s="240"/>
      <c r="J309" s="238"/>
    </row>
    <row r="310" spans="1:10">
      <c r="A310" s="158"/>
      <c r="B310" s="158"/>
      <c r="C310" s="158"/>
      <c r="D310" s="158"/>
      <c r="E310" s="237"/>
      <c r="F310" s="237"/>
      <c r="G310" s="292"/>
      <c r="H310" s="240"/>
      <c r="I310" s="240"/>
      <c r="J310" s="238"/>
    </row>
    <row r="311" spans="1:10">
      <c r="A311" s="158"/>
      <c r="B311" s="158"/>
      <c r="C311" s="158"/>
      <c r="D311" s="158"/>
      <c r="E311" s="237"/>
      <c r="F311" s="237"/>
      <c r="G311" s="292"/>
      <c r="H311" s="240"/>
      <c r="I311" s="240"/>
      <c r="J311" s="238"/>
    </row>
    <row r="312" spans="1:10">
      <c r="A312" s="158"/>
      <c r="B312" s="158"/>
      <c r="C312" s="158"/>
      <c r="D312" s="158"/>
      <c r="E312" s="237"/>
      <c r="F312" s="237"/>
      <c r="G312" s="292"/>
      <c r="H312" s="240"/>
      <c r="I312" s="240"/>
      <c r="J312" s="238"/>
    </row>
    <row r="313" spans="1:10">
      <c r="A313" s="158"/>
      <c r="B313" s="158"/>
      <c r="C313" s="158"/>
      <c r="D313" s="158"/>
      <c r="E313" s="237"/>
      <c r="F313" s="237"/>
      <c r="G313" s="292"/>
      <c r="H313" s="240"/>
      <c r="I313" s="240"/>
      <c r="J313" s="238"/>
    </row>
    <row r="314" spans="1:10">
      <c r="A314" s="158"/>
      <c r="B314" s="158"/>
      <c r="C314" s="158"/>
      <c r="D314" s="158"/>
      <c r="E314" s="237"/>
      <c r="F314" s="237"/>
      <c r="G314" s="292"/>
      <c r="H314" s="240"/>
      <c r="I314" s="240"/>
      <c r="J314" s="238"/>
    </row>
    <row r="315" spans="1:10">
      <c r="A315" s="158"/>
      <c r="B315" s="158"/>
      <c r="C315" s="158"/>
      <c r="D315" s="158"/>
      <c r="E315" s="237"/>
      <c r="F315" s="237"/>
      <c r="G315" s="292"/>
      <c r="H315" s="240"/>
      <c r="I315" s="240"/>
      <c r="J315" s="238"/>
    </row>
    <row r="316" spans="1:10">
      <c r="A316" s="158"/>
      <c r="B316" s="158"/>
      <c r="C316" s="158"/>
      <c r="D316" s="158"/>
      <c r="E316" s="237"/>
      <c r="F316" s="237"/>
      <c r="G316" s="292"/>
      <c r="H316" s="240"/>
      <c r="I316" s="240"/>
      <c r="J316" s="238"/>
    </row>
    <row r="317" spans="1:10">
      <c r="A317" s="158"/>
      <c r="B317" s="158"/>
      <c r="C317" s="158"/>
      <c r="D317" s="158"/>
      <c r="E317" s="237"/>
      <c r="F317" s="237"/>
      <c r="G317" s="292"/>
      <c r="H317" s="240"/>
      <c r="I317" s="240"/>
      <c r="J317" s="238"/>
    </row>
    <row r="318" spans="1:10">
      <c r="H318" s="357"/>
      <c r="I318" s="357"/>
      <c r="J318" s="358"/>
    </row>
    <row r="319" spans="1:10">
      <c r="H319" s="357"/>
      <c r="I319" s="357"/>
      <c r="J319" s="358"/>
    </row>
    <row r="320" spans="1:10">
      <c r="H320" s="357"/>
      <c r="I320" s="357"/>
      <c r="J320" s="358"/>
    </row>
    <row r="321" spans="8:10">
      <c r="H321" s="357"/>
      <c r="I321" s="357"/>
      <c r="J321" s="358"/>
    </row>
    <row r="322" spans="8:10">
      <c r="H322" s="357"/>
      <c r="I322" s="357"/>
      <c r="J322" s="358"/>
    </row>
    <row r="323" spans="8:10">
      <c r="H323" s="357"/>
      <c r="I323" s="357"/>
      <c r="J323" s="358"/>
    </row>
    <row r="324" spans="8:10">
      <c r="H324" s="357"/>
      <c r="I324" s="357"/>
      <c r="J324" s="358"/>
    </row>
    <row r="325" spans="8:10">
      <c r="H325" s="357"/>
      <c r="I325" s="357"/>
      <c r="J325" s="358"/>
    </row>
    <row r="326" spans="8:10">
      <c r="H326" s="357"/>
      <c r="I326" s="357"/>
      <c r="J326" s="358"/>
    </row>
    <row r="327" spans="8:10">
      <c r="H327" s="357"/>
      <c r="I327" s="357"/>
      <c r="J327" s="358"/>
    </row>
    <row r="328" spans="8:10">
      <c r="H328" s="357"/>
      <c r="I328" s="357"/>
      <c r="J328" s="358"/>
    </row>
    <row r="329" spans="8:10">
      <c r="H329" s="357"/>
      <c r="I329" s="357"/>
      <c r="J329" s="358"/>
    </row>
    <row r="330" spans="8:10">
      <c r="H330" s="357"/>
      <c r="I330" s="357"/>
      <c r="J330" s="358"/>
    </row>
    <row r="331" spans="8:10">
      <c r="H331" s="357"/>
      <c r="I331" s="357"/>
      <c r="J331" s="358"/>
    </row>
    <row r="332" spans="8:10">
      <c r="H332" s="357"/>
      <c r="I332" s="357"/>
      <c r="J332" s="358"/>
    </row>
    <row r="333" spans="8:10">
      <c r="H333" s="357"/>
      <c r="I333" s="357"/>
      <c r="J333" s="358"/>
    </row>
    <row r="334" spans="8:10">
      <c r="H334" s="357"/>
      <c r="I334" s="357"/>
      <c r="J334" s="358"/>
    </row>
    <row r="335" spans="8:10">
      <c r="H335" s="357"/>
      <c r="I335" s="357"/>
      <c r="J335" s="358"/>
    </row>
    <row r="336" spans="8:10">
      <c r="H336" s="357"/>
      <c r="I336" s="357"/>
      <c r="J336" s="358"/>
    </row>
    <row r="337" spans="8:10">
      <c r="H337" s="357"/>
      <c r="I337" s="357"/>
      <c r="J337" s="358"/>
    </row>
    <row r="338" spans="8:10">
      <c r="H338" s="357"/>
      <c r="I338" s="357"/>
      <c r="J338" s="358"/>
    </row>
    <row r="339" spans="8:10">
      <c r="H339" s="357"/>
      <c r="I339" s="357"/>
      <c r="J339" s="358"/>
    </row>
    <row r="340" spans="8:10">
      <c r="H340" s="357"/>
      <c r="I340" s="357"/>
      <c r="J340" s="358"/>
    </row>
    <row r="341" spans="8:10">
      <c r="H341" s="357"/>
      <c r="I341" s="357"/>
      <c r="J341" s="358"/>
    </row>
    <row r="342" spans="8:10">
      <c r="H342" s="357"/>
      <c r="I342" s="357"/>
      <c r="J342" s="358"/>
    </row>
    <row r="343" spans="8:10">
      <c r="H343" s="357"/>
      <c r="I343" s="357"/>
      <c r="J343" s="358"/>
    </row>
    <row r="344" spans="8:10">
      <c r="H344" s="357"/>
      <c r="I344" s="357"/>
      <c r="J344" s="358"/>
    </row>
    <row r="345" spans="8:10">
      <c r="H345" s="357"/>
      <c r="I345" s="357"/>
      <c r="J345" s="358"/>
    </row>
    <row r="346" spans="8:10">
      <c r="H346" s="357"/>
      <c r="I346" s="357"/>
      <c r="J346" s="358"/>
    </row>
    <row r="347" spans="8:10">
      <c r="H347" s="357"/>
      <c r="I347" s="357"/>
      <c r="J347" s="358"/>
    </row>
    <row r="348" spans="8:10">
      <c r="H348" s="357"/>
      <c r="I348" s="357"/>
      <c r="J348" s="358"/>
    </row>
    <row r="349" spans="8:10">
      <c r="H349" s="357"/>
      <c r="I349" s="357"/>
      <c r="J349" s="358"/>
    </row>
    <row r="350" spans="8:10">
      <c r="H350" s="357"/>
      <c r="I350" s="357"/>
      <c r="J350" s="358"/>
    </row>
    <row r="351" spans="8:10">
      <c r="H351" s="357"/>
      <c r="I351" s="357"/>
      <c r="J351" s="358"/>
    </row>
    <row r="352" spans="8:10">
      <c r="H352" s="357"/>
      <c r="I352" s="357"/>
      <c r="J352" s="358"/>
    </row>
    <row r="353" spans="8:10">
      <c r="H353" s="357"/>
      <c r="I353" s="357"/>
      <c r="J353" s="358"/>
    </row>
    <row r="354" spans="8:10">
      <c r="H354" s="357"/>
      <c r="I354" s="357"/>
      <c r="J354" s="358"/>
    </row>
    <row r="355" spans="8:10">
      <c r="H355" s="357"/>
      <c r="I355" s="357"/>
      <c r="J355" s="358"/>
    </row>
    <row r="356" spans="8:10">
      <c r="H356" s="357"/>
      <c r="I356" s="357"/>
      <c r="J356" s="358"/>
    </row>
    <row r="357" spans="8:10">
      <c r="H357" s="357"/>
      <c r="I357" s="357"/>
      <c r="J357" s="358"/>
    </row>
    <row r="358" spans="8:10">
      <c r="H358" s="357"/>
      <c r="I358" s="357"/>
      <c r="J358" s="358"/>
    </row>
    <row r="359" spans="8:10">
      <c r="H359" s="357"/>
      <c r="I359" s="357"/>
      <c r="J359" s="358"/>
    </row>
    <row r="360" spans="8:10">
      <c r="H360" s="357"/>
      <c r="I360" s="357"/>
      <c r="J360" s="358"/>
    </row>
    <row r="361" spans="8:10">
      <c r="H361" s="357"/>
      <c r="I361" s="357"/>
      <c r="J361" s="358"/>
    </row>
    <row r="362" spans="8:10">
      <c r="H362" s="357"/>
      <c r="I362" s="357"/>
      <c r="J362" s="358"/>
    </row>
    <row r="363" spans="8:10">
      <c r="H363" s="357"/>
      <c r="I363" s="357"/>
      <c r="J363" s="358"/>
    </row>
    <row r="364" spans="8:10">
      <c r="H364" s="357"/>
      <c r="I364" s="357"/>
      <c r="J364" s="358"/>
    </row>
    <row r="365" spans="8:10">
      <c r="H365" s="357"/>
      <c r="I365" s="357"/>
      <c r="J365" s="358"/>
    </row>
    <row r="366" spans="8:10">
      <c r="H366" s="357"/>
      <c r="I366" s="357"/>
      <c r="J366" s="358"/>
    </row>
    <row r="367" spans="8:10">
      <c r="H367" s="357"/>
      <c r="I367" s="357"/>
      <c r="J367" s="358"/>
    </row>
    <row r="368" spans="8:10">
      <c r="H368" s="357"/>
      <c r="I368" s="357"/>
      <c r="J368" s="358"/>
    </row>
    <row r="369" spans="8:10">
      <c r="H369" s="357"/>
      <c r="I369" s="357"/>
      <c r="J369" s="358"/>
    </row>
    <row r="370" spans="8:10">
      <c r="H370" s="357"/>
      <c r="I370" s="357"/>
      <c r="J370" s="358"/>
    </row>
    <row r="371" spans="8:10">
      <c r="H371" s="357"/>
      <c r="I371" s="357"/>
      <c r="J371" s="358"/>
    </row>
    <row r="372" spans="8:10">
      <c r="H372" s="357"/>
      <c r="I372" s="357"/>
      <c r="J372" s="358"/>
    </row>
    <row r="373" spans="8:10">
      <c r="H373" s="357"/>
      <c r="I373" s="357"/>
      <c r="J373" s="358"/>
    </row>
    <row r="374" spans="8:10">
      <c r="H374" s="357"/>
      <c r="I374" s="357"/>
      <c r="J374" s="358"/>
    </row>
    <row r="375" spans="8:10">
      <c r="H375" s="357"/>
      <c r="I375" s="357"/>
      <c r="J375" s="358"/>
    </row>
    <row r="376" spans="8:10">
      <c r="H376" s="357"/>
      <c r="I376" s="357"/>
      <c r="J376" s="358"/>
    </row>
    <row r="377" spans="8:10">
      <c r="H377" s="357"/>
      <c r="I377" s="357"/>
      <c r="J377" s="358"/>
    </row>
    <row r="378" spans="8:10">
      <c r="H378" s="357"/>
      <c r="I378" s="357"/>
      <c r="J378" s="358"/>
    </row>
    <row r="379" spans="8:10">
      <c r="H379" s="357"/>
      <c r="I379" s="357"/>
      <c r="J379" s="358"/>
    </row>
    <row r="380" spans="8:10">
      <c r="H380" s="357"/>
      <c r="I380" s="357"/>
      <c r="J380" s="358"/>
    </row>
    <row r="381" spans="8:10">
      <c r="H381" s="357"/>
      <c r="I381" s="357"/>
      <c r="J381" s="358"/>
    </row>
    <row r="382" spans="8:10">
      <c r="H382" s="357"/>
      <c r="I382" s="357"/>
      <c r="J382" s="358"/>
    </row>
    <row r="383" spans="8:10">
      <c r="H383" s="357"/>
      <c r="I383" s="357"/>
      <c r="J383" s="358"/>
    </row>
    <row r="384" spans="8:10">
      <c r="H384" s="357"/>
      <c r="I384" s="357"/>
      <c r="J384" s="358"/>
    </row>
    <row r="385" spans="8:10">
      <c r="H385" s="357"/>
      <c r="I385" s="357"/>
      <c r="J385" s="358"/>
    </row>
    <row r="386" spans="8:10">
      <c r="H386" s="357"/>
      <c r="I386" s="357"/>
      <c r="J386" s="358"/>
    </row>
    <row r="387" spans="8:10">
      <c r="H387" s="357"/>
      <c r="I387" s="357"/>
      <c r="J387" s="358"/>
    </row>
    <row r="388" spans="8:10">
      <c r="H388" s="357"/>
      <c r="I388" s="357"/>
      <c r="J388" s="358"/>
    </row>
    <row r="389" spans="8:10">
      <c r="H389" s="357"/>
      <c r="I389" s="357"/>
      <c r="J389" s="358"/>
    </row>
    <row r="390" spans="8:10">
      <c r="H390" s="357"/>
      <c r="I390" s="357"/>
      <c r="J390" s="358"/>
    </row>
    <row r="391" spans="8:10">
      <c r="H391" s="357"/>
      <c r="I391" s="357"/>
      <c r="J391" s="358"/>
    </row>
    <row r="392" spans="8:10">
      <c r="H392" s="357"/>
      <c r="I392" s="357"/>
      <c r="J392" s="358"/>
    </row>
    <row r="393" spans="8:10">
      <c r="H393" s="357"/>
      <c r="I393" s="357"/>
      <c r="J393" s="358"/>
    </row>
    <row r="394" spans="8:10">
      <c r="H394" s="357"/>
      <c r="I394" s="357"/>
      <c r="J394" s="358"/>
    </row>
    <row r="395" spans="8:10">
      <c r="H395" s="357"/>
      <c r="I395" s="357"/>
      <c r="J395" s="358"/>
    </row>
    <row r="396" spans="8:10">
      <c r="H396" s="357"/>
      <c r="I396" s="357"/>
      <c r="J396" s="358"/>
    </row>
    <row r="397" spans="8:10">
      <c r="H397" s="357"/>
      <c r="I397" s="357"/>
      <c r="J397" s="358"/>
    </row>
    <row r="398" spans="8:10">
      <c r="H398" s="357"/>
      <c r="I398" s="357"/>
      <c r="J398" s="358"/>
    </row>
    <row r="399" spans="8:10">
      <c r="H399" s="357"/>
      <c r="I399" s="357"/>
      <c r="J399" s="358"/>
    </row>
    <row r="400" spans="8:10">
      <c r="H400" s="357"/>
      <c r="I400" s="357"/>
      <c r="J400" s="358"/>
    </row>
    <row r="401" spans="8:10">
      <c r="H401" s="357"/>
      <c r="I401" s="357"/>
      <c r="J401" s="358"/>
    </row>
    <row r="402" spans="8:10">
      <c r="H402" s="357"/>
      <c r="I402" s="357"/>
      <c r="J402" s="358"/>
    </row>
    <row r="403" spans="8:10">
      <c r="H403" s="357"/>
      <c r="I403" s="357"/>
      <c r="J403" s="358"/>
    </row>
    <row r="404" spans="8:10">
      <c r="H404" s="357"/>
      <c r="I404" s="357"/>
      <c r="J404" s="358"/>
    </row>
    <row r="405" spans="8:10">
      <c r="H405" s="357"/>
      <c r="I405" s="357"/>
      <c r="J405" s="358"/>
    </row>
    <row r="406" spans="8:10">
      <c r="H406" s="357"/>
      <c r="I406" s="357"/>
      <c r="J406" s="358"/>
    </row>
    <row r="407" spans="8:10">
      <c r="H407" s="357"/>
      <c r="I407" s="357"/>
      <c r="J407" s="358"/>
    </row>
    <row r="408" spans="8:10">
      <c r="H408" s="357"/>
      <c r="I408" s="357"/>
      <c r="J408" s="358"/>
    </row>
    <row r="409" spans="8:10">
      <c r="H409" s="357"/>
      <c r="I409" s="357"/>
      <c r="J409" s="358"/>
    </row>
    <row r="410" spans="8:10">
      <c r="H410" s="357"/>
      <c r="I410" s="357"/>
      <c r="J410" s="358"/>
    </row>
    <row r="411" spans="8:10">
      <c r="H411" s="357"/>
      <c r="I411" s="357"/>
      <c r="J411" s="358"/>
    </row>
    <row r="412" spans="8:10">
      <c r="H412" s="357"/>
      <c r="I412" s="357"/>
      <c r="J412" s="358"/>
    </row>
    <row r="413" spans="8:10">
      <c r="H413" s="357"/>
      <c r="I413" s="357"/>
      <c r="J413" s="358"/>
    </row>
    <row r="414" spans="8:10">
      <c r="H414" s="357"/>
      <c r="I414" s="357"/>
      <c r="J414" s="358"/>
    </row>
    <row r="415" spans="8:10">
      <c r="H415" s="357"/>
      <c r="I415" s="357"/>
      <c r="J415" s="358"/>
    </row>
    <row r="416" spans="8:10">
      <c r="H416" s="357"/>
      <c r="I416" s="357"/>
      <c r="J416" s="358"/>
    </row>
    <row r="417" spans="8:10">
      <c r="H417" s="357"/>
      <c r="I417" s="357"/>
      <c r="J417" s="358"/>
    </row>
    <row r="418" spans="8:10">
      <c r="H418" s="357"/>
      <c r="I418" s="357"/>
      <c r="J418" s="358"/>
    </row>
    <row r="419" spans="8:10">
      <c r="H419" s="357"/>
      <c r="I419" s="357"/>
      <c r="J419" s="358"/>
    </row>
    <row r="420" spans="8:10">
      <c r="H420" s="357"/>
      <c r="I420" s="357"/>
      <c r="J420" s="358"/>
    </row>
    <row r="421" spans="8:10">
      <c r="H421" s="357"/>
      <c r="I421" s="357"/>
      <c r="J421" s="358"/>
    </row>
    <row r="422" spans="8:10">
      <c r="H422" s="357"/>
      <c r="I422" s="357"/>
      <c r="J422" s="358"/>
    </row>
    <row r="423" spans="8:10">
      <c r="H423" s="357"/>
      <c r="I423" s="357"/>
      <c r="J423" s="358"/>
    </row>
    <row r="424" spans="8:10">
      <c r="H424" s="357"/>
      <c r="I424" s="357"/>
      <c r="J424" s="358"/>
    </row>
    <row r="425" spans="8:10">
      <c r="H425" s="357"/>
      <c r="I425" s="357"/>
      <c r="J425" s="358"/>
    </row>
    <row r="426" spans="8:10">
      <c r="H426" s="357"/>
      <c r="I426" s="357"/>
      <c r="J426" s="358"/>
    </row>
    <row r="427" spans="8:10">
      <c r="H427" s="357"/>
      <c r="I427" s="357"/>
      <c r="J427" s="358"/>
    </row>
    <row r="428" spans="8:10">
      <c r="H428" s="357"/>
      <c r="I428" s="357"/>
      <c r="J428" s="358"/>
    </row>
    <row r="429" spans="8:10">
      <c r="H429" s="357"/>
      <c r="I429" s="357"/>
      <c r="J429" s="358"/>
    </row>
    <row r="430" spans="8:10">
      <c r="H430" s="357"/>
      <c r="I430" s="357"/>
      <c r="J430" s="358"/>
    </row>
    <row r="431" spans="8:10">
      <c r="H431" s="357"/>
      <c r="I431" s="357"/>
      <c r="J431" s="358"/>
    </row>
    <row r="432" spans="8:10">
      <c r="H432" s="357"/>
      <c r="I432" s="357"/>
      <c r="J432" s="358"/>
    </row>
    <row r="433" spans="8:10">
      <c r="H433" s="357"/>
      <c r="I433" s="357"/>
      <c r="J433" s="358"/>
    </row>
    <row r="434" spans="8:10">
      <c r="H434" s="357"/>
      <c r="I434" s="357"/>
      <c r="J434" s="358"/>
    </row>
    <row r="435" spans="8:10">
      <c r="H435" s="357"/>
      <c r="I435" s="357"/>
      <c r="J435" s="358"/>
    </row>
    <row r="436" spans="8:10">
      <c r="H436" s="357"/>
      <c r="I436" s="357"/>
      <c r="J436" s="358"/>
    </row>
    <row r="437" spans="8:10">
      <c r="H437" s="357"/>
      <c r="I437" s="357"/>
      <c r="J437" s="358"/>
    </row>
    <row r="438" spans="8:10">
      <c r="H438" s="357"/>
      <c r="I438" s="357"/>
      <c r="J438" s="358"/>
    </row>
    <row r="439" spans="8:10">
      <c r="H439" s="357"/>
      <c r="I439" s="357"/>
      <c r="J439" s="358"/>
    </row>
    <row r="440" spans="8:10">
      <c r="H440" s="357"/>
      <c r="I440" s="357"/>
      <c r="J440" s="358"/>
    </row>
    <row r="441" spans="8:10">
      <c r="H441" s="357"/>
      <c r="I441" s="357"/>
      <c r="J441" s="358"/>
    </row>
    <row r="442" spans="8:10">
      <c r="H442" s="357"/>
      <c r="I442" s="357"/>
      <c r="J442" s="358"/>
    </row>
    <row r="443" spans="8:10">
      <c r="H443" s="357"/>
      <c r="I443" s="357"/>
      <c r="J443" s="358"/>
    </row>
    <row r="444" spans="8:10">
      <c r="H444" s="357"/>
      <c r="I444" s="357"/>
      <c r="J444" s="358"/>
    </row>
    <row r="445" spans="8:10">
      <c r="H445" s="357"/>
      <c r="I445" s="357"/>
      <c r="J445" s="358"/>
    </row>
    <row r="446" spans="8:10">
      <c r="H446" s="357"/>
      <c r="I446" s="357"/>
      <c r="J446" s="358"/>
    </row>
    <row r="447" spans="8:10">
      <c r="H447" s="357"/>
      <c r="I447" s="357"/>
      <c r="J447" s="358"/>
    </row>
    <row r="448" spans="8:10">
      <c r="H448" s="357"/>
      <c r="I448" s="357"/>
      <c r="J448" s="358"/>
    </row>
    <row r="449" spans="8:10">
      <c r="H449" s="357"/>
      <c r="I449" s="357"/>
      <c r="J449" s="358"/>
    </row>
    <row r="450" spans="8:10">
      <c r="H450" s="357"/>
      <c r="I450" s="357"/>
      <c r="J450" s="358"/>
    </row>
    <row r="451" spans="8:10">
      <c r="H451" s="357"/>
      <c r="I451" s="357"/>
      <c r="J451" s="358"/>
    </row>
    <row r="452" spans="8:10">
      <c r="H452" s="357"/>
      <c r="I452" s="357"/>
      <c r="J452" s="358"/>
    </row>
    <row r="453" spans="8:10">
      <c r="H453" s="357"/>
      <c r="I453" s="357"/>
      <c r="J453" s="358"/>
    </row>
    <row r="454" spans="8:10">
      <c r="H454" s="357"/>
      <c r="I454" s="357"/>
      <c r="J454" s="358"/>
    </row>
    <row r="455" spans="8:10">
      <c r="H455" s="357"/>
      <c r="I455" s="357"/>
      <c r="J455" s="358"/>
    </row>
    <row r="456" spans="8:10">
      <c r="H456" s="357"/>
      <c r="I456" s="357"/>
      <c r="J456" s="358"/>
    </row>
    <row r="457" spans="8:10">
      <c r="H457" s="357"/>
      <c r="I457" s="357"/>
      <c r="J457" s="358"/>
    </row>
    <row r="458" spans="8:10">
      <c r="H458" s="357"/>
      <c r="I458" s="357"/>
      <c r="J458" s="358"/>
    </row>
    <row r="459" spans="8:10">
      <c r="H459" s="357"/>
      <c r="I459" s="357"/>
      <c r="J459" s="358"/>
    </row>
    <row r="460" spans="8:10">
      <c r="H460" s="357"/>
      <c r="I460" s="357"/>
      <c r="J460" s="358"/>
    </row>
    <row r="461" spans="8:10">
      <c r="H461" s="357"/>
      <c r="I461" s="357"/>
      <c r="J461" s="358"/>
    </row>
    <row r="462" spans="8:10">
      <c r="H462" s="357"/>
      <c r="I462" s="357"/>
      <c r="J462" s="358"/>
    </row>
    <row r="463" spans="8:10">
      <c r="H463" s="357"/>
      <c r="I463" s="357"/>
      <c r="J463" s="358"/>
    </row>
    <row r="464" spans="8:10">
      <c r="H464" s="357"/>
      <c r="I464" s="357"/>
      <c r="J464" s="358"/>
    </row>
    <row r="465" spans="8:10">
      <c r="H465" s="357"/>
      <c r="I465" s="357"/>
      <c r="J465" s="358"/>
    </row>
    <row r="466" spans="8:10">
      <c r="H466" s="357"/>
      <c r="I466" s="357"/>
      <c r="J466" s="358"/>
    </row>
    <row r="467" spans="8:10">
      <c r="H467" s="357"/>
      <c r="I467" s="357"/>
      <c r="J467" s="358"/>
    </row>
    <row r="468" spans="8:10">
      <c r="H468" s="357"/>
      <c r="I468" s="357"/>
      <c r="J468" s="358"/>
    </row>
    <row r="469" spans="8:10">
      <c r="H469" s="357"/>
      <c r="I469" s="357"/>
      <c r="J469" s="358"/>
    </row>
    <row r="470" spans="8:10">
      <c r="H470" s="357"/>
      <c r="I470" s="357"/>
      <c r="J470" s="358"/>
    </row>
    <row r="471" spans="8:10">
      <c r="H471" s="357"/>
      <c r="I471" s="357"/>
      <c r="J471" s="358"/>
    </row>
    <row r="472" spans="8:10">
      <c r="H472" s="357"/>
      <c r="I472" s="357"/>
      <c r="J472" s="358"/>
    </row>
    <row r="473" spans="8:10">
      <c r="H473" s="357"/>
      <c r="I473" s="357"/>
      <c r="J473" s="358"/>
    </row>
    <row r="474" spans="8:10">
      <c r="H474" s="357"/>
      <c r="I474" s="357"/>
      <c r="J474" s="358"/>
    </row>
    <row r="475" spans="8:10">
      <c r="H475" s="357"/>
      <c r="I475" s="357"/>
      <c r="J475" s="358"/>
    </row>
    <row r="476" spans="8:10">
      <c r="H476" s="357"/>
      <c r="I476" s="357"/>
      <c r="J476" s="358"/>
    </row>
    <row r="477" spans="8:10">
      <c r="H477" s="357"/>
      <c r="I477" s="357"/>
      <c r="J477" s="358"/>
    </row>
    <row r="478" spans="8:10">
      <c r="H478" s="357"/>
      <c r="I478" s="357"/>
      <c r="J478" s="358"/>
    </row>
    <row r="479" spans="8:10">
      <c r="H479" s="357"/>
      <c r="I479" s="357"/>
      <c r="J479" s="358"/>
    </row>
    <row r="480" spans="8:10">
      <c r="H480" s="357"/>
      <c r="I480" s="357"/>
      <c r="J480" s="358"/>
    </row>
    <row r="481" spans="8:10">
      <c r="H481" s="357"/>
      <c r="I481" s="357"/>
      <c r="J481" s="358"/>
    </row>
    <row r="482" spans="8:10">
      <c r="H482" s="357"/>
      <c r="I482" s="357"/>
      <c r="J482" s="358"/>
    </row>
    <row r="483" spans="8:10">
      <c r="H483" s="357"/>
      <c r="I483" s="357"/>
      <c r="J483" s="358"/>
    </row>
    <row r="484" spans="8:10">
      <c r="H484" s="357"/>
      <c r="I484" s="357"/>
      <c r="J484" s="358"/>
    </row>
    <row r="485" spans="8:10">
      <c r="H485" s="357"/>
      <c r="I485" s="357"/>
      <c r="J485" s="358"/>
    </row>
    <row r="486" spans="8:10">
      <c r="H486" s="357"/>
      <c r="I486" s="357"/>
      <c r="J486" s="358"/>
    </row>
    <row r="487" spans="8:10">
      <c r="H487" s="357"/>
      <c r="I487" s="357"/>
      <c r="J487" s="358"/>
    </row>
    <row r="488" spans="8:10">
      <c r="H488" s="357"/>
      <c r="I488" s="357"/>
      <c r="J488" s="358"/>
    </row>
    <row r="489" spans="8:10">
      <c r="H489" s="357"/>
      <c r="I489" s="357"/>
      <c r="J489" s="358"/>
    </row>
    <row r="490" spans="8:10">
      <c r="H490" s="357"/>
      <c r="I490" s="357"/>
      <c r="J490" s="358"/>
    </row>
    <row r="491" spans="8:10">
      <c r="H491" s="357"/>
      <c r="I491" s="357"/>
      <c r="J491" s="358"/>
    </row>
    <row r="492" spans="8:10">
      <c r="H492" s="357"/>
      <c r="I492" s="357"/>
      <c r="J492" s="358"/>
    </row>
    <row r="493" spans="8:10">
      <c r="H493" s="357"/>
      <c r="I493" s="357"/>
      <c r="J493" s="358"/>
    </row>
    <row r="494" spans="8:10">
      <c r="H494" s="357"/>
      <c r="I494" s="357"/>
      <c r="J494" s="358"/>
    </row>
    <row r="495" spans="8:10">
      <c r="H495" s="357"/>
      <c r="I495" s="357"/>
      <c r="J495" s="358"/>
    </row>
    <row r="496" spans="8:10">
      <c r="H496" s="357"/>
      <c r="I496" s="357"/>
      <c r="J496" s="358"/>
    </row>
    <row r="497" spans="8:10">
      <c r="H497" s="357"/>
      <c r="I497" s="357"/>
      <c r="J497" s="358"/>
    </row>
    <row r="498" spans="8:10">
      <c r="H498" s="357"/>
      <c r="I498" s="357"/>
      <c r="J498" s="358"/>
    </row>
    <row r="499" spans="8:10">
      <c r="H499" s="357"/>
      <c r="I499" s="357"/>
      <c r="J499" s="358"/>
    </row>
    <row r="500" spans="8:10">
      <c r="H500" s="357"/>
      <c r="I500" s="357"/>
      <c r="J500" s="358"/>
    </row>
    <row r="501" spans="8:10">
      <c r="H501" s="357"/>
      <c r="I501" s="357"/>
      <c r="J501" s="358"/>
    </row>
    <row r="502" spans="8:10">
      <c r="H502" s="357"/>
      <c r="I502" s="357"/>
      <c r="J502" s="358"/>
    </row>
    <row r="503" spans="8:10">
      <c r="H503" s="357"/>
      <c r="I503" s="357"/>
      <c r="J503" s="358"/>
    </row>
    <row r="504" spans="8:10">
      <c r="H504" s="357"/>
      <c r="I504" s="357"/>
      <c r="J504" s="358"/>
    </row>
    <row r="505" spans="8:10">
      <c r="H505" s="357"/>
      <c r="I505" s="357"/>
      <c r="J505" s="358"/>
    </row>
    <row r="506" spans="8:10">
      <c r="H506" s="357"/>
      <c r="I506" s="357"/>
      <c r="J506" s="358"/>
    </row>
    <row r="507" spans="8:10">
      <c r="H507" s="357"/>
      <c r="I507" s="357"/>
      <c r="J507" s="358"/>
    </row>
    <row r="508" spans="8:10">
      <c r="H508" s="357"/>
      <c r="I508" s="357"/>
      <c r="J508" s="358"/>
    </row>
    <row r="509" spans="8:10">
      <c r="H509" s="357"/>
      <c r="I509" s="357"/>
      <c r="J509" s="358"/>
    </row>
    <row r="510" spans="8:10">
      <c r="H510" s="357"/>
      <c r="I510" s="357"/>
      <c r="J510" s="358"/>
    </row>
    <row r="511" spans="8:10">
      <c r="H511" s="357"/>
      <c r="I511" s="357"/>
      <c r="J511" s="358"/>
    </row>
    <row r="512" spans="8:10">
      <c r="H512" s="357"/>
      <c r="I512" s="357"/>
      <c r="J512" s="358"/>
    </row>
    <row r="513" spans="8:10">
      <c r="H513" s="357"/>
      <c r="I513" s="357"/>
      <c r="J513" s="358"/>
    </row>
    <row r="514" spans="8:10">
      <c r="H514" s="357"/>
      <c r="I514" s="357"/>
      <c r="J514" s="358"/>
    </row>
    <row r="515" spans="8:10">
      <c r="H515" s="357"/>
      <c r="I515" s="357"/>
      <c r="J515" s="358"/>
    </row>
    <row r="516" spans="8:10">
      <c r="H516" s="357"/>
      <c r="I516" s="357"/>
      <c r="J516" s="358"/>
    </row>
    <row r="517" spans="8:10">
      <c r="H517" s="357"/>
      <c r="I517" s="357"/>
      <c r="J517" s="358"/>
    </row>
    <row r="518" spans="8:10">
      <c r="H518" s="357"/>
      <c r="I518" s="357"/>
      <c r="J518" s="358"/>
    </row>
    <row r="519" spans="8:10">
      <c r="H519" s="357"/>
      <c r="I519" s="357"/>
      <c r="J519" s="358"/>
    </row>
    <row r="520" spans="8:10">
      <c r="H520" s="357"/>
      <c r="I520" s="357"/>
      <c r="J520" s="358"/>
    </row>
    <row r="521" spans="8:10">
      <c r="H521" s="357"/>
      <c r="I521" s="357"/>
      <c r="J521" s="358"/>
    </row>
    <row r="522" spans="8:10">
      <c r="H522" s="357"/>
      <c r="I522" s="357"/>
      <c r="J522" s="358"/>
    </row>
    <row r="523" spans="8:10">
      <c r="H523" s="357"/>
      <c r="I523" s="357"/>
      <c r="J523" s="358"/>
    </row>
    <row r="524" spans="8:10">
      <c r="H524" s="357"/>
      <c r="I524" s="357"/>
      <c r="J524" s="358"/>
    </row>
    <row r="525" spans="8:10">
      <c r="H525" s="357"/>
      <c r="I525" s="357"/>
      <c r="J525" s="358"/>
    </row>
    <row r="526" spans="8:10">
      <c r="H526" s="357"/>
      <c r="I526" s="357"/>
      <c r="J526" s="358"/>
    </row>
    <row r="527" spans="8:10">
      <c r="H527" s="357"/>
      <c r="I527" s="357"/>
      <c r="J527" s="358"/>
    </row>
    <row r="528" spans="8:10">
      <c r="H528" s="357"/>
      <c r="I528" s="357"/>
      <c r="J528" s="358"/>
    </row>
    <row r="529" spans="8:10">
      <c r="H529" s="357"/>
      <c r="I529" s="357"/>
      <c r="J529" s="358"/>
    </row>
    <row r="530" spans="8:10">
      <c r="H530" s="357"/>
      <c r="I530" s="357"/>
      <c r="J530" s="358"/>
    </row>
    <row r="531" spans="8:10">
      <c r="H531" s="357"/>
      <c r="I531" s="357"/>
      <c r="J531" s="358"/>
    </row>
    <row r="532" spans="8:10">
      <c r="H532" s="357"/>
      <c r="I532" s="357"/>
      <c r="J532" s="358"/>
    </row>
    <row r="533" spans="8:10">
      <c r="H533" s="357"/>
      <c r="I533" s="357"/>
      <c r="J533" s="358"/>
    </row>
    <row r="534" spans="8:10">
      <c r="H534" s="357"/>
      <c r="I534" s="357"/>
      <c r="J534" s="358"/>
    </row>
    <row r="535" spans="8:10">
      <c r="H535" s="357"/>
      <c r="I535" s="357"/>
      <c r="J535" s="358"/>
    </row>
    <row r="536" spans="8:10">
      <c r="H536" s="357"/>
      <c r="I536" s="357"/>
      <c r="J536" s="358"/>
    </row>
    <row r="537" spans="8:10">
      <c r="H537" s="357"/>
      <c r="I537" s="357"/>
      <c r="J537" s="358"/>
    </row>
    <row r="538" spans="8:10">
      <c r="H538" s="357"/>
      <c r="I538" s="357"/>
      <c r="J538" s="358"/>
    </row>
    <row r="539" spans="8:10">
      <c r="H539" s="357"/>
      <c r="I539" s="357"/>
      <c r="J539" s="358"/>
    </row>
    <row r="540" spans="8:10">
      <c r="H540" s="357"/>
      <c r="I540" s="357"/>
      <c r="J540" s="358"/>
    </row>
    <row r="541" spans="8:10">
      <c r="H541" s="357"/>
      <c r="I541" s="357"/>
      <c r="J541" s="358"/>
    </row>
    <row r="542" spans="8:10">
      <c r="H542" s="357"/>
      <c r="I542" s="357"/>
      <c r="J542" s="358"/>
    </row>
    <row r="543" spans="8:10">
      <c r="H543" s="357"/>
      <c r="I543" s="357"/>
      <c r="J543" s="358"/>
    </row>
    <row r="544" spans="8:10">
      <c r="H544" s="357"/>
      <c r="I544" s="357"/>
      <c r="J544" s="358"/>
    </row>
    <row r="545" spans="8:10">
      <c r="H545" s="357"/>
      <c r="I545" s="357"/>
      <c r="J545" s="358"/>
    </row>
    <row r="546" spans="8:10">
      <c r="H546" s="357"/>
      <c r="I546" s="357"/>
      <c r="J546" s="358"/>
    </row>
    <row r="547" spans="8:10">
      <c r="H547" s="357"/>
      <c r="I547" s="357"/>
      <c r="J547" s="358"/>
    </row>
    <row r="548" spans="8:10">
      <c r="H548" s="357"/>
      <c r="I548" s="357"/>
      <c r="J548" s="358"/>
    </row>
    <row r="549" spans="8:10">
      <c r="H549" s="357"/>
      <c r="I549" s="357"/>
      <c r="J549" s="358"/>
    </row>
    <row r="550" spans="8:10">
      <c r="H550" s="357"/>
      <c r="I550" s="357"/>
      <c r="J550" s="358"/>
    </row>
  </sheetData>
  <sortState xmlns:xlrd2="http://schemas.microsoft.com/office/spreadsheetml/2017/richdata2" ref="C191:K202">
    <sortCondition ref="G191:G202"/>
  </sortState>
  <mergeCells count="15">
    <mergeCell ref="B75:B142"/>
    <mergeCell ref="B2:B4"/>
    <mergeCell ref="B5:B11"/>
    <mergeCell ref="B13:B18"/>
    <mergeCell ref="B19:B46"/>
    <mergeCell ref="B47:B74"/>
    <mergeCell ref="B191:B202"/>
    <mergeCell ref="B203:B204"/>
    <mergeCell ref="E206:H206"/>
    <mergeCell ref="B143:B145"/>
    <mergeCell ref="B146:B159"/>
    <mergeCell ref="B160:B169"/>
    <mergeCell ref="B170:B182"/>
    <mergeCell ref="B184:B188"/>
    <mergeCell ref="B189:B190"/>
  </mergeCells>
  <phoneticPr fontId="2"/>
  <pageMargins left="0.70866141732283472" right="0.70866141732283472" top="0.74803149606299213" bottom="0.74803149606299213" header="0.31496062992125984" footer="0.31496062992125984"/>
  <pageSetup paperSize="9" scale="45" orientation="portrait" r:id="rId1"/>
  <headerFooter>
    <oddFooter>&amp;P ページ</oddFooter>
  </headerFooter>
  <rowBreaks count="2" manualBreakCount="2">
    <brk id="74" max="16383" man="1"/>
    <brk id="142" max="10"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02311-B6E6-425E-A888-5C056BBFDA9D}">
  <sheetPr codeName="Sheet4"/>
  <dimension ref="A1:G18"/>
  <sheetViews>
    <sheetView zoomScaleNormal="100" workbookViewId="0">
      <selection activeCell="C2" sqref="C2"/>
    </sheetView>
  </sheetViews>
  <sheetFormatPr defaultColWidth="9" defaultRowHeight="18.75"/>
  <cols>
    <col min="1" max="1" width="21.375" bestFit="1" customWidth="1"/>
    <col min="2" max="2" width="8.5" style="13" customWidth="1"/>
    <col min="3" max="3" width="10.625" style="13" bestFit="1" customWidth="1"/>
    <col min="4" max="4" width="11.75" style="13" bestFit="1" customWidth="1"/>
    <col min="5" max="5" width="10.125" style="241" bestFit="1" customWidth="1"/>
    <col min="6" max="6" width="13.875" style="320" customWidth="1"/>
    <col min="7" max="7" width="13.125" style="13" bestFit="1" customWidth="1"/>
  </cols>
  <sheetData>
    <row r="1" spans="1:7">
      <c r="A1" s="361"/>
      <c r="B1" s="362" t="s">
        <v>860</v>
      </c>
      <c r="C1" s="362" t="s">
        <v>649</v>
      </c>
      <c r="D1" s="362" t="s">
        <v>650</v>
      </c>
      <c r="E1" s="363" t="s">
        <v>662</v>
      </c>
      <c r="F1" s="364" t="s">
        <v>670</v>
      </c>
      <c r="G1" s="362" t="s">
        <v>672</v>
      </c>
    </row>
    <row r="2" spans="1:7" ht="30" customHeight="1">
      <c r="A2" s="365" t="s">
        <v>400</v>
      </c>
      <c r="B2" s="372">
        <v>3</v>
      </c>
      <c r="C2" s="334">
        <f>SUM(編集!H2:H4)</f>
        <v>145200</v>
      </c>
      <c r="D2" s="334">
        <f>SUM(編集!I2:I4)</f>
        <v>130200</v>
      </c>
      <c r="E2" s="366">
        <f>SUM(編集!J2:J4)</f>
        <v>-15000</v>
      </c>
      <c r="F2" s="367">
        <f>SUM(Sheet1!T6:T14)</f>
        <v>85200</v>
      </c>
      <c r="G2" s="368">
        <f>F2-C2</f>
        <v>-60000</v>
      </c>
    </row>
    <row r="3" spans="1:7" ht="30" customHeight="1">
      <c r="A3" s="365" t="s">
        <v>9</v>
      </c>
      <c r="B3" s="372">
        <v>7</v>
      </c>
      <c r="C3" s="334">
        <f>SUM(編集!H5:H11)</f>
        <v>372500</v>
      </c>
      <c r="D3" s="334">
        <f>SUM(編集!I5:I11)</f>
        <v>411700</v>
      </c>
      <c r="E3" s="366">
        <f>SUM(編集!J5:J11)</f>
        <v>39200</v>
      </c>
      <c r="F3" s="367">
        <f>SUM(Sheet1!T19:T58)</f>
        <v>262800</v>
      </c>
      <c r="G3" s="368">
        <f t="shared" ref="G3:G17" si="0">F3-C3</f>
        <v>-109700</v>
      </c>
    </row>
    <row r="4" spans="1:7" ht="30" customHeight="1">
      <c r="A4" s="365" t="s">
        <v>651</v>
      </c>
      <c r="B4" s="372">
        <v>1</v>
      </c>
      <c r="C4" s="334">
        <f>SUM(編集!H12:H12)</f>
        <v>58000</v>
      </c>
      <c r="D4" s="334">
        <f>SUM(編集!I12:I12)</f>
        <v>63000</v>
      </c>
      <c r="E4" s="366">
        <f>SUM(編集!J12:J12)</f>
        <v>5000</v>
      </c>
      <c r="F4" s="367" t="e">
        <f>SUM(Sheet1!#REF!)</f>
        <v>#REF!</v>
      </c>
      <c r="G4" s="368" t="e">
        <f t="shared" si="0"/>
        <v>#REF!</v>
      </c>
    </row>
    <row r="5" spans="1:7" ht="30" customHeight="1">
      <c r="A5" s="365" t="s">
        <v>652</v>
      </c>
      <c r="B5" s="372">
        <v>5</v>
      </c>
      <c r="C5" s="334">
        <f>SUM(編集!H13:H18)</f>
        <v>286980</v>
      </c>
      <c r="D5" s="334">
        <f>SUM(編集!I13:I18)</f>
        <v>318300</v>
      </c>
      <c r="E5" s="366">
        <f>SUM(編集!J13:J18)</f>
        <v>31320</v>
      </c>
      <c r="F5" s="367">
        <f>SUM(Sheet1!T61:T85)</f>
        <v>225800</v>
      </c>
      <c r="G5" s="368">
        <f t="shared" si="0"/>
        <v>-61180</v>
      </c>
    </row>
    <row r="6" spans="1:7" ht="30" customHeight="1">
      <c r="A6" s="365" t="s">
        <v>667</v>
      </c>
      <c r="B6" s="372">
        <v>23</v>
      </c>
      <c r="C6" s="334">
        <f>SUM(編集!H19:H46)</f>
        <v>1494530</v>
      </c>
      <c r="D6" s="334">
        <f>SUM(編集!I19:I46)</f>
        <v>1602340</v>
      </c>
      <c r="E6" s="366">
        <f>SUM(編集!J19:J46)</f>
        <v>107810</v>
      </c>
      <c r="F6" s="367">
        <f>SUM(Sheet1!T91:T247)</f>
        <v>1310633</v>
      </c>
      <c r="G6" s="368">
        <f t="shared" si="0"/>
        <v>-183897</v>
      </c>
    </row>
    <row r="7" spans="1:7" ht="30" customHeight="1">
      <c r="A7" s="365" t="s">
        <v>668</v>
      </c>
      <c r="B7" s="372">
        <v>29</v>
      </c>
      <c r="C7" s="334">
        <f>SUM(編集!H47:H74)</f>
        <v>1327450</v>
      </c>
      <c r="D7" s="334">
        <f>SUM(編集!I47:I74)</f>
        <v>1466830</v>
      </c>
      <c r="E7" s="366">
        <f>SUM(編集!J47:J74)</f>
        <v>139380</v>
      </c>
      <c r="F7" s="367">
        <f>SUM(Sheet1!T254:T447)</f>
        <v>1297613</v>
      </c>
      <c r="G7" s="368">
        <f>F7-C7</f>
        <v>-29837</v>
      </c>
    </row>
    <row r="8" spans="1:7" ht="30" customHeight="1">
      <c r="A8" s="365" t="s">
        <v>669</v>
      </c>
      <c r="B8" s="372">
        <v>69</v>
      </c>
      <c r="C8" s="334">
        <f>SUM(編集!H75:H142)</f>
        <v>2736500</v>
      </c>
      <c r="D8" s="334">
        <f>SUM(編集!I75:I142)</f>
        <v>2909397</v>
      </c>
      <c r="E8" s="366">
        <f>SUM(編集!J75:J142)</f>
        <v>172897</v>
      </c>
      <c r="F8" s="367">
        <f>SUM(Sheet1!T455:T831)</f>
        <v>2151648</v>
      </c>
      <c r="G8" s="368">
        <f t="shared" si="0"/>
        <v>-584852</v>
      </c>
    </row>
    <row r="9" spans="1:7" ht="30" customHeight="1">
      <c r="A9" s="365" t="s">
        <v>671</v>
      </c>
      <c r="B9" s="372">
        <v>3</v>
      </c>
      <c r="C9" s="334">
        <f>SUM(編集!H143:H145)</f>
        <v>128300</v>
      </c>
      <c r="D9" s="334">
        <f>SUM(編集!I143:I145)</f>
        <v>138000</v>
      </c>
      <c r="E9" s="366">
        <f>SUM(編集!J143:J145)</f>
        <v>9700</v>
      </c>
      <c r="F9" s="367">
        <f>SUM(Sheet1!T840:T844)</f>
        <v>26500</v>
      </c>
      <c r="G9" s="368">
        <f t="shared" si="0"/>
        <v>-101800</v>
      </c>
    </row>
    <row r="10" spans="1:7" ht="30" customHeight="1">
      <c r="A10" s="365" t="s">
        <v>659</v>
      </c>
      <c r="B10" s="372">
        <v>14</v>
      </c>
      <c r="C10" s="334">
        <f>SUM(編集!H146:H159)</f>
        <v>755006</v>
      </c>
      <c r="D10" s="334">
        <f>SUM(編集!I146:I159)</f>
        <v>820500</v>
      </c>
      <c r="E10" s="366">
        <f>SUM(編集!J146:J159)</f>
        <v>65494</v>
      </c>
      <c r="F10" s="367">
        <f>SUM(Sheet1!T846:T930)</f>
        <v>470100</v>
      </c>
      <c r="G10" s="368">
        <f t="shared" si="0"/>
        <v>-284906</v>
      </c>
    </row>
    <row r="11" spans="1:7" ht="30" customHeight="1">
      <c r="A11" s="365" t="s">
        <v>658</v>
      </c>
      <c r="B11" s="372">
        <v>10</v>
      </c>
      <c r="C11" s="334">
        <f>SUM(編集!H160:H169)</f>
        <v>497000</v>
      </c>
      <c r="D11" s="334">
        <f>SUM(編集!I160:I169)</f>
        <v>542000</v>
      </c>
      <c r="E11" s="366">
        <f>SUM(編集!J160:J169)</f>
        <v>45000</v>
      </c>
      <c r="F11" s="367">
        <f>SUM(Sheet1!T933:T996)</f>
        <v>510000</v>
      </c>
      <c r="G11" s="368">
        <f t="shared" si="0"/>
        <v>13000</v>
      </c>
    </row>
    <row r="12" spans="1:7" ht="30" customHeight="1">
      <c r="A12" s="365" t="s">
        <v>19</v>
      </c>
      <c r="B12" s="372">
        <v>13</v>
      </c>
      <c r="C12" s="334">
        <f>SUM(編集!H170:H182)</f>
        <v>542860</v>
      </c>
      <c r="D12" s="334">
        <f>SUM(編集!I170:I182)</f>
        <v>607200</v>
      </c>
      <c r="E12" s="366">
        <f>SUM(編集!J170:J182)</f>
        <v>64340</v>
      </c>
      <c r="F12" s="367">
        <f>SUM(Sheet1!T1001:T1065)</f>
        <v>571779</v>
      </c>
      <c r="G12" s="368">
        <f t="shared" si="0"/>
        <v>28919</v>
      </c>
    </row>
    <row r="13" spans="1:7" ht="30" customHeight="1">
      <c r="A13" s="365" t="s">
        <v>655</v>
      </c>
      <c r="B13" s="372">
        <v>1</v>
      </c>
      <c r="C13" s="334">
        <f>SUM(編集!H183:H183)</f>
        <v>71000</v>
      </c>
      <c r="D13" s="334">
        <f>SUM(編集!I183:I183)</f>
        <v>76200</v>
      </c>
      <c r="E13" s="366">
        <f>SUM(編集!J183:J183)</f>
        <v>5200</v>
      </c>
      <c r="F13" s="367">
        <f>SUM(Sheet1!T1068:T1070)</f>
        <v>50800</v>
      </c>
      <c r="G13" s="368">
        <f t="shared" si="0"/>
        <v>-20200</v>
      </c>
    </row>
    <row r="14" spans="1:7" ht="30" customHeight="1">
      <c r="A14" s="365" t="s">
        <v>656</v>
      </c>
      <c r="B14" s="372">
        <v>5</v>
      </c>
      <c r="C14" s="334">
        <f>SUM(編集!H184:H188)</f>
        <v>188000</v>
      </c>
      <c r="D14" s="334">
        <f>SUM(編集!I184:I188)</f>
        <v>204000</v>
      </c>
      <c r="E14" s="366">
        <f>SUM(編集!J184:J188)</f>
        <v>16000</v>
      </c>
      <c r="F14" s="367">
        <f>SUM(Sheet1!T1087:T1107)</f>
        <v>154241</v>
      </c>
      <c r="G14" s="368">
        <f t="shared" si="0"/>
        <v>-33759</v>
      </c>
    </row>
    <row r="15" spans="1:7" ht="30" customHeight="1">
      <c r="A15" s="365" t="s">
        <v>657</v>
      </c>
      <c r="B15" s="372">
        <v>2</v>
      </c>
      <c r="C15" s="334">
        <f>SUM(編集!H189:H190)</f>
        <v>109000</v>
      </c>
      <c r="D15" s="334">
        <f>SUM(編集!I189:I190)</f>
        <v>122000</v>
      </c>
      <c r="E15" s="366">
        <f>SUM(編集!J189:J190)</f>
        <v>13000</v>
      </c>
      <c r="F15" s="367">
        <f>SUM(Sheet1!T1109:T1114)</f>
        <v>70000</v>
      </c>
      <c r="G15" s="368">
        <f t="shared" si="0"/>
        <v>-39000</v>
      </c>
    </row>
    <row r="16" spans="1:7" ht="30" customHeight="1">
      <c r="A16" s="365" t="s">
        <v>565</v>
      </c>
      <c r="B16" s="372">
        <v>12</v>
      </c>
      <c r="C16" s="334">
        <f>SUM(編集!H191:H202)</f>
        <v>596337</v>
      </c>
      <c r="D16" s="334">
        <f>SUM(編集!I191:I202)</f>
        <v>632440</v>
      </c>
      <c r="E16" s="366">
        <f>SUM(編集!J191:J202)</f>
        <v>36103</v>
      </c>
      <c r="F16" s="367">
        <f>SUM(Sheet1!T1122:T1193)</f>
        <v>499700</v>
      </c>
      <c r="G16" s="368">
        <f t="shared" si="0"/>
        <v>-96637</v>
      </c>
    </row>
    <row r="17" spans="1:7" ht="30" customHeight="1">
      <c r="A17" s="365" t="s">
        <v>549</v>
      </c>
      <c r="B17" s="372">
        <v>2</v>
      </c>
      <c r="C17" s="334">
        <f>SUM(編集!H203:H204)</f>
        <v>53000</v>
      </c>
      <c r="D17" s="334">
        <f>SUM(編集!I203:I204)</f>
        <v>63000</v>
      </c>
      <c r="E17" s="366">
        <f>SUM(編集!J203:J204)</f>
        <v>10000</v>
      </c>
      <c r="F17" s="367">
        <f>SUM(Sheet1!T1202:T1205)</f>
        <v>30000</v>
      </c>
      <c r="G17" s="368">
        <f t="shared" si="0"/>
        <v>-23000</v>
      </c>
    </row>
    <row r="18" spans="1:7" ht="49.5" customHeight="1">
      <c r="A18" s="369"/>
      <c r="B18" s="369">
        <f t="shared" ref="B18:G18" si="1">SUM(B2:B17)</f>
        <v>199</v>
      </c>
      <c r="C18" s="356">
        <f t="shared" si="1"/>
        <v>9361663</v>
      </c>
      <c r="D18" s="356">
        <f t="shared" si="1"/>
        <v>10107107</v>
      </c>
      <c r="E18" s="370">
        <f t="shared" si="1"/>
        <v>745444</v>
      </c>
      <c r="F18" s="371" t="e">
        <f t="shared" si="1"/>
        <v>#REF!</v>
      </c>
      <c r="G18" s="356" t="e">
        <f t="shared" si="1"/>
        <v>#REF!</v>
      </c>
    </row>
  </sheetData>
  <phoneticPr fontId="2"/>
  <pageMargins left="0.7" right="0.7" top="0.75" bottom="0.75" header="0.3" footer="0.3"/>
  <pageSetup paperSize="9" scale="87"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E592D-B5F0-4E5A-812F-01EA0225BFD3}">
  <sheetPr codeName="Sheet2"/>
  <dimension ref="A1:L383"/>
  <sheetViews>
    <sheetView workbookViewId="0">
      <selection activeCell="H26" sqref="H26"/>
    </sheetView>
  </sheetViews>
  <sheetFormatPr defaultRowHeight="18.75"/>
  <cols>
    <col min="1" max="1" width="10.25" customWidth="1"/>
    <col min="2" max="2" width="21.875" bestFit="1" customWidth="1"/>
    <col min="3" max="3" width="44.25" bestFit="1" customWidth="1"/>
    <col min="4" max="4" width="9.625" bestFit="1" customWidth="1"/>
    <col min="12" max="12" width="8.5" bestFit="1" customWidth="1"/>
  </cols>
  <sheetData>
    <row r="1" spans="1:12">
      <c r="A1" t="s">
        <v>2</v>
      </c>
      <c r="B1" t="s">
        <v>2905</v>
      </c>
      <c r="C1" t="s">
        <v>2906</v>
      </c>
      <c r="D1" t="s">
        <v>2907</v>
      </c>
    </row>
    <row r="2" spans="1:12">
      <c r="A2">
        <v>220501</v>
      </c>
      <c r="B2" t="s">
        <v>1875</v>
      </c>
      <c r="C2" t="s">
        <v>1704</v>
      </c>
      <c r="D2">
        <v>46000</v>
      </c>
      <c r="K2">
        <f>D383</f>
        <v>9299241</v>
      </c>
      <c r="L2">
        <v>9304273</v>
      </c>
    </row>
    <row r="3" spans="1:12">
      <c r="A3">
        <v>15</v>
      </c>
      <c r="B3" t="s">
        <v>428</v>
      </c>
      <c r="C3" t="s">
        <v>430</v>
      </c>
      <c r="D3">
        <v>49200</v>
      </c>
    </row>
    <row r="4" spans="1:12">
      <c r="A4">
        <v>220921</v>
      </c>
      <c r="B4" t="s">
        <v>1079</v>
      </c>
      <c r="C4" t="s">
        <v>1824</v>
      </c>
      <c r="D4">
        <v>22400</v>
      </c>
      <c r="K4">
        <f>K2-L2</f>
        <v>-5032</v>
      </c>
    </row>
    <row r="5" spans="1:12">
      <c r="A5">
        <v>230205</v>
      </c>
      <c r="B5" t="s">
        <v>1079</v>
      </c>
      <c r="C5" t="s">
        <v>222</v>
      </c>
    </row>
    <row r="6" spans="1:12">
      <c r="A6">
        <v>251101</v>
      </c>
      <c r="B6" t="s">
        <v>1079</v>
      </c>
      <c r="C6" t="s">
        <v>2620</v>
      </c>
      <c r="D6">
        <v>22400</v>
      </c>
    </row>
    <row r="7" spans="1:12">
      <c r="A7">
        <v>200901</v>
      </c>
      <c r="B7" t="s">
        <v>1079</v>
      </c>
      <c r="C7" t="s">
        <v>1093</v>
      </c>
      <c r="D7">
        <v>29500</v>
      </c>
    </row>
    <row r="8" spans="1:12">
      <c r="A8">
        <v>240319</v>
      </c>
      <c r="B8" t="s">
        <v>1079</v>
      </c>
      <c r="C8" t="s">
        <v>2113</v>
      </c>
      <c r="D8">
        <v>29500</v>
      </c>
    </row>
    <row r="9" spans="1:12">
      <c r="A9">
        <v>230109</v>
      </c>
      <c r="B9" t="s">
        <v>1079</v>
      </c>
      <c r="C9" t="s">
        <v>200</v>
      </c>
    </row>
    <row r="10" spans="1:12">
      <c r="A10">
        <v>250705</v>
      </c>
      <c r="B10" t="s">
        <v>1079</v>
      </c>
      <c r="C10" t="s">
        <v>2542</v>
      </c>
      <c r="D10">
        <v>20000</v>
      </c>
    </row>
    <row r="11" spans="1:12">
      <c r="A11">
        <v>251008</v>
      </c>
      <c r="B11" t="s">
        <v>1079</v>
      </c>
      <c r="C11" t="s">
        <v>2613</v>
      </c>
      <c r="D11">
        <v>29500</v>
      </c>
    </row>
    <row r="12" spans="1:12">
      <c r="A12">
        <v>220314</v>
      </c>
      <c r="B12" t="s">
        <v>1079</v>
      </c>
      <c r="C12" t="s">
        <v>322</v>
      </c>
      <c r="D12">
        <v>111826</v>
      </c>
    </row>
    <row r="13" spans="1:12">
      <c r="A13">
        <v>240701</v>
      </c>
      <c r="B13" t="s">
        <v>1079</v>
      </c>
      <c r="C13" t="s">
        <v>2156</v>
      </c>
      <c r="D13">
        <v>29500</v>
      </c>
    </row>
    <row r="14" spans="1:12">
      <c r="A14">
        <v>231007</v>
      </c>
      <c r="B14" t="s">
        <v>1079</v>
      </c>
      <c r="C14" t="s">
        <v>416</v>
      </c>
      <c r="D14">
        <v>29500</v>
      </c>
    </row>
    <row r="15" spans="1:12">
      <c r="A15">
        <v>231001</v>
      </c>
      <c r="B15" t="s">
        <v>1079</v>
      </c>
      <c r="C15" t="s">
        <v>397</v>
      </c>
      <c r="D15">
        <v>19000</v>
      </c>
    </row>
    <row r="16" spans="1:12">
      <c r="A16">
        <v>231101</v>
      </c>
      <c r="B16" t="s">
        <v>1079</v>
      </c>
      <c r="C16" t="s">
        <v>885</v>
      </c>
      <c r="D16">
        <v>19000</v>
      </c>
    </row>
    <row r="17" spans="1:4">
      <c r="A17">
        <v>251102</v>
      </c>
      <c r="B17" t="s">
        <v>1079</v>
      </c>
      <c r="C17" t="s">
        <v>2622</v>
      </c>
      <c r="D17">
        <v>19000</v>
      </c>
    </row>
    <row r="18" spans="1:4">
      <c r="A18">
        <v>231111</v>
      </c>
      <c r="B18" t="s">
        <v>1079</v>
      </c>
      <c r="C18" t="s">
        <v>399</v>
      </c>
      <c r="D18">
        <v>25750</v>
      </c>
    </row>
    <row r="19" spans="1:4">
      <c r="A19">
        <v>240605</v>
      </c>
      <c r="B19" t="s">
        <v>1079</v>
      </c>
      <c r="C19" t="s">
        <v>536</v>
      </c>
      <c r="D19">
        <v>45750</v>
      </c>
    </row>
    <row r="20" spans="1:4">
      <c r="A20">
        <v>220130</v>
      </c>
      <c r="B20" t="s">
        <v>264</v>
      </c>
      <c r="C20" t="s">
        <v>31</v>
      </c>
      <c r="D20">
        <v>29000</v>
      </c>
    </row>
    <row r="21" spans="1:4">
      <c r="A21">
        <v>230405</v>
      </c>
      <c r="B21" t="s">
        <v>264</v>
      </c>
      <c r="C21" t="s">
        <v>266</v>
      </c>
    </row>
    <row r="22" spans="1:4">
      <c r="A22">
        <v>231119</v>
      </c>
      <c r="B22" t="s">
        <v>264</v>
      </c>
      <c r="C22" t="s">
        <v>436</v>
      </c>
      <c r="D22">
        <v>28150</v>
      </c>
    </row>
    <row r="23" spans="1:4">
      <c r="A23">
        <v>231202</v>
      </c>
      <c r="B23" t="s">
        <v>264</v>
      </c>
      <c r="C23" t="s">
        <v>433</v>
      </c>
    </row>
    <row r="24" spans="1:4">
      <c r="A24">
        <v>240204</v>
      </c>
      <c r="B24" t="s">
        <v>264</v>
      </c>
      <c r="C24" t="s">
        <v>509</v>
      </c>
    </row>
    <row r="25" spans="1:4">
      <c r="A25">
        <v>250303</v>
      </c>
      <c r="B25" t="s">
        <v>264</v>
      </c>
      <c r="C25" t="s">
        <v>987</v>
      </c>
    </row>
    <row r="26" spans="1:4">
      <c r="A26">
        <v>231006</v>
      </c>
      <c r="B26" t="s">
        <v>264</v>
      </c>
      <c r="C26" t="s">
        <v>412</v>
      </c>
      <c r="D26">
        <v>56500</v>
      </c>
    </row>
    <row r="27" spans="1:4">
      <c r="A27">
        <v>240302</v>
      </c>
      <c r="B27" t="s">
        <v>264</v>
      </c>
      <c r="C27" t="s">
        <v>2087</v>
      </c>
      <c r="D27">
        <v>25000</v>
      </c>
    </row>
    <row r="28" spans="1:4">
      <c r="A28">
        <v>240710</v>
      </c>
      <c r="B28" t="s">
        <v>264</v>
      </c>
      <c r="C28" t="s">
        <v>1074</v>
      </c>
      <c r="D28">
        <v>25000</v>
      </c>
    </row>
    <row r="29" spans="1:4">
      <c r="A29">
        <v>251004</v>
      </c>
      <c r="B29" t="s">
        <v>264</v>
      </c>
      <c r="C29" t="s">
        <v>2605</v>
      </c>
    </row>
    <row r="30" spans="1:4">
      <c r="A30">
        <v>210910</v>
      </c>
      <c r="B30" t="s">
        <v>1106</v>
      </c>
      <c r="C30" t="s">
        <v>1416</v>
      </c>
      <c r="D30">
        <v>-9500</v>
      </c>
    </row>
    <row r="31" spans="1:4">
      <c r="A31">
        <v>211011</v>
      </c>
      <c r="B31" t="s">
        <v>1106</v>
      </c>
      <c r="C31" t="s">
        <v>1443</v>
      </c>
      <c r="D31">
        <v>28500</v>
      </c>
    </row>
    <row r="32" spans="1:4">
      <c r="A32">
        <v>240306</v>
      </c>
      <c r="B32" t="s">
        <v>1106</v>
      </c>
      <c r="C32" t="s">
        <v>2095</v>
      </c>
      <c r="D32">
        <v>28500</v>
      </c>
    </row>
    <row r="33" spans="1:4">
      <c r="A33">
        <v>220121</v>
      </c>
      <c r="B33" t="s">
        <v>1103</v>
      </c>
      <c r="C33" t="s">
        <v>104</v>
      </c>
      <c r="D33">
        <v>47000</v>
      </c>
    </row>
    <row r="34" spans="1:4">
      <c r="A34">
        <v>210712</v>
      </c>
      <c r="B34" t="s">
        <v>1356</v>
      </c>
      <c r="C34" t="s">
        <v>1358</v>
      </c>
      <c r="D34">
        <v>44000</v>
      </c>
    </row>
    <row r="35" spans="1:4">
      <c r="A35">
        <v>211010</v>
      </c>
      <c r="B35" t="s">
        <v>1106</v>
      </c>
      <c r="C35" t="s">
        <v>1442</v>
      </c>
      <c r="D35">
        <v>23500</v>
      </c>
    </row>
    <row r="36" spans="1:4">
      <c r="A36">
        <v>231108</v>
      </c>
      <c r="B36" t="s">
        <v>1106</v>
      </c>
      <c r="C36" t="s">
        <v>2040</v>
      </c>
      <c r="D36">
        <v>23500</v>
      </c>
    </row>
    <row r="37" spans="1:4">
      <c r="A37">
        <v>211020</v>
      </c>
      <c r="B37" t="s">
        <v>1106</v>
      </c>
      <c r="C37" t="s">
        <v>1461</v>
      </c>
      <c r="D37">
        <v>25500</v>
      </c>
    </row>
    <row r="38" spans="1:4">
      <c r="A38">
        <v>240712</v>
      </c>
      <c r="B38" t="s">
        <v>1106</v>
      </c>
      <c r="C38" t="s">
        <v>2170</v>
      </c>
      <c r="D38">
        <v>25500</v>
      </c>
    </row>
    <row r="39" spans="1:4">
      <c r="A39">
        <v>201001</v>
      </c>
      <c r="B39" t="s">
        <v>1356</v>
      </c>
      <c r="C39" t="s">
        <v>1098</v>
      </c>
      <c r="D39">
        <v>55120</v>
      </c>
    </row>
    <row r="40" spans="1:4">
      <c r="A40">
        <v>210110</v>
      </c>
      <c r="B40" t="s">
        <v>1106</v>
      </c>
      <c r="C40" t="s">
        <v>475</v>
      </c>
      <c r="D40">
        <v>53000</v>
      </c>
    </row>
    <row r="41" spans="1:4">
      <c r="A41">
        <v>221102</v>
      </c>
      <c r="B41" t="s">
        <v>1103</v>
      </c>
      <c r="C41" t="s">
        <v>1848</v>
      </c>
    </row>
    <row r="42" spans="1:4">
      <c r="A42">
        <v>250603</v>
      </c>
      <c r="B42" t="s">
        <v>1103</v>
      </c>
      <c r="C42" t="s">
        <v>2287</v>
      </c>
      <c r="D42">
        <v>27500</v>
      </c>
    </row>
    <row r="43" spans="1:4">
      <c r="A43">
        <v>251206</v>
      </c>
      <c r="B43" t="s">
        <v>1103</v>
      </c>
      <c r="C43" t="s">
        <v>2667</v>
      </c>
      <c r="D43">
        <v>44355</v>
      </c>
    </row>
    <row r="44" spans="1:4">
      <c r="A44">
        <v>220505</v>
      </c>
      <c r="B44" t="s">
        <v>1103</v>
      </c>
      <c r="C44" t="s">
        <v>66</v>
      </c>
      <c r="D44">
        <v>43000</v>
      </c>
    </row>
    <row r="45" spans="1:4">
      <c r="A45">
        <v>220503</v>
      </c>
      <c r="B45" t="s">
        <v>1103</v>
      </c>
      <c r="C45" t="s">
        <v>68</v>
      </c>
      <c r="D45">
        <v>23000</v>
      </c>
    </row>
    <row r="46" spans="1:4">
      <c r="A46">
        <v>250608</v>
      </c>
      <c r="B46" t="s">
        <v>1103</v>
      </c>
      <c r="C46" t="s">
        <v>2425</v>
      </c>
      <c r="D46">
        <v>23000</v>
      </c>
    </row>
    <row r="47" spans="1:4">
      <c r="A47">
        <v>230505</v>
      </c>
      <c r="B47" t="s">
        <v>1103</v>
      </c>
      <c r="C47" t="s">
        <v>290</v>
      </c>
      <c r="D47">
        <v>28100</v>
      </c>
    </row>
    <row r="48" spans="1:4">
      <c r="A48">
        <v>250404</v>
      </c>
      <c r="B48" t="s">
        <v>1106</v>
      </c>
      <c r="C48" t="s">
        <v>1028</v>
      </c>
      <c r="D48">
        <v>28100</v>
      </c>
    </row>
    <row r="49" spans="1:4">
      <c r="A49">
        <v>210911</v>
      </c>
      <c r="B49" t="s">
        <v>1106</v>
      </c>
      <c r="C49" t="s">
        <v>165</v>
      </c>
      <c r="D49">
        <v>51500</v>
      </c>
    </row>
    <row r="50" spans="1:4">
      <c r="A50">
        <v>221202</v>
      </c>
      <c r="B50" t="s">
        <v>1103</v>
      </c>
      <c r="C50" t="s">
        <v>1868</v>
      </c>
    </row>
    <row r="51" spans="1:4">
      <c r="A51">
        <v>250117</v>
      </c>
      <c r="B51" t="s">
        <v>1103</v>
      </c>
      <c r="C51" t="s">
        <v>893</v>
      </c>
      <c r="D51">
        <v>22000</v>
      </c>
    </row>
    <row r="52" spans="1:4">
      <c r="A52">
        <v>241205</v>
      </c>
      <c r="B52" t="s">
        <v>1106</v>
      </c>
      <c r="C52" t="s">
        <v>866</v>
      </c>
      <c r="D52">
        <v>22000</v>
      </c>
    </row>
    <row r="53" spans="1:4">
      <c r="A53">
        <v>251211</v>
      </c>
      <c r="B53" t="s">
        <v>1103</v>
      </c>
      <c r="C53" t="s">
        <v>2686</v>
      </c>
      <c r="D53">
        <v>32645</v>
      </c>
    </row>
    <row r="54" spans="1:4">
      <c r="A54">
        <v>220116</v>
      </c>
      <c r="B54" t="s">
        <v>1106</v>
      </c>
      <c r="C54" t="s">
        <v>1582</v>
      </c>
    </row>
    <row r="55" spans="1:4">
      <c r="A55">
        <v>220603</v>
      </c>
      <c r="B55" t="s">
        <v>1106</v>
      </c>
      <c r="C55" t="s">
        <v>85</v>
      </c>
      <c r="D55">
        <v>53000</v>
      </c>
    </row>
    <row r="56" spans="1:4">
      <c r="A56">
        <v>240305</v>
      </c>
      <c r="B56" t="s">
        <v>1106</v>
      </c>
      <c r="C56" t="s">
        <v>2093</v>
      </c>
      <c r="D56">
        <v>56000</v>
      </c>
    </row>
    <row r="57" spans="1:4">
      <c r="A57">
        <v>210205</v>
      </c>
      <c r="B57" t="s">
        <v>1106</v>
      </c>
      <c r="C57" t="s">
        <v>288</v>
      </c>
    </row>
    <row r="58" spans="1:4">
      <c r="A58">
        <v>251002</v>
      </c>
      <c r="B58" t="s">
        <v>1356</v>
      </c>
      <c r="C58" t="s">
        <v>2600</v>
      </c>
      <c r="D58">
        <v>24250</v>
      </c>
    </row>
    <row r="59" spans="1:4">
      <c r="A59">
        <v>220209</v>
      </c>
      <c r="B59" t="s">
        <v>1103</v>
      </c>
      <c r="C59" t="s">
        <v>34</v>
      </c>
      <c r="D59">
        <v>22000</v>
      </c>
    </row>
    <row r="60" spans="1:4">
      <c r="A60">
        <v>210610</v>
      </c>
      <c r="B60" t="s">
        <v>1106</v>
      </c>
      <c r="C60" t="s">
        <v>220</v>
      </c>
      <c r="D60">
        <v>22000</v>
      </c>
    </row>
    <row r="61" spans="1:4">
      <c r="A61">
        <v>220609</v>
      </c>
      <c r="B61" t="s">
        <v>1183</v>
      </c>
      <c r="C61" t="s">
        <v>90</v>
      </c>
      <c r="D61">
        <v>22000</v>
      </c>
    </row>
    <row r="62" spans="1:4">
      <c r="A62">
        <v>241202</v>
      </c>
      <c r="B62" t="s">
        <v>1103</v>
      </c>
      <c r="C62" t="s">
        <v>864</v>
      </c>
      <c r="D62">
        <v>22000</v>
      </c>
    </row>
    <row r="63" spans="1:4">
      <c r="A63">
        <v>250224</v>
      </c>
      <c r="B63" t="s">
        <v>1103</v>
      </c>
      <c r="C63" t="s">
        <v>934</v>
      </c>
      <c r="D63">
        <v>22000</v>
      </c>
    </row>
    <row r="64" spans="1:4">
      <c r="A64">
        <v>230811</v>
      </c>
      <c r="B64" t="s">
        <v>1103</v>
      </c>
      <c r="C64" t="s">
        <v>338</v>
      </c>
      <c r="D64">
        <v>21500</v>
      </c>
    </row>
    <row r="65" spans="1:4">
      <c r="A65">
        <v>241101</v>
      </c>
      <c r="B65" t="s">
        <v>1106</v>
      </c>
      <c r="C65" t="s">
        <v>2228</v>
      </c>
      <c r="D65">
        <v>21500</v>
      </c>
    </row>
    <row r="66" spans="1:4">
      <c r="A66">
        <v>250310</v>
      </c>
      <c r="B66" t="s">
        <v>1183</v>
      </c>
      <c r="C66" t="s">
        <v>2266</v>
      </c>
      <c r="D66">
        <v>21500</v>
      </c>
    </row>
    <row r="67" spans="1:4">
      <c r="A67">
        <v>241217</v>
      </c>
      <c r="B67" t="s">
        <v>1106</v>
      </c>
      <c r="C67" t="s">
        <v>862</v>
      </c>
      <c r="D67">
        <v>21500</v>
      </c>
    </row>
    <row r="68" spans="1:4">
      <c r="A68">
        <v>241215</v>
      </c>
      <c r="B68" t="s">
        <v>1183</v>
      </c>
      <c r="C68" t="s">
        <v>2242</v>
      </c>
      <c r="D68">
        <v>21500</v>
      </c>
    </row>
    <row r="69" spans="1:4">
      <c r="A69">
        <v>241007</v>
      </c>
      <c r="B69" t="s">
        <v>1183</v>
      </c>
      <c r="C69" t="s">
        <v>2225</v>
      </c>
      <c r="D69">
        <v>21500</v>
      </c>
    </row>
    <row r="70" spans="1:4">
      <c r="A70">
        <v>250107</v>
      </c>
      <c r="B70" t="s">
        <v>1106</v>
      </c>
      <c r="C70" t="s">
        <v>887</v>
      </c>
      <c r="D70">
        <v>23400</v>
      </c>
    </row>
    <row r="71" spans="1:4">
      <c r="A71">
        <v>250108</v>
      </c>
      <c r="B71" t="s">
        <v>1183</v>
      </c>
      <c r="C71" t="s">
        <v>889</v>
      </c>
      <c r="D71">
        <v>23400</v>
      </c>
    </row>
    <row r="72" spans="1:4">
      <c r="A72">
        <v>250109</v>
      </c>
      <c r="B72" t="s">
        <v>1183</v>
      </c>
      <c r="C72" t="s">
        <v>891</v>
      </c>
      <c r="D72">
        <v>23400</v>
      </c>
    </row>
    <row r="73" spans="1:4">
      <c r="A73">
        <v>231102</v>
      </c>
      <c r="B73" t="s">
        <v>1103</v>
      </c>
      <c r="C73" t="s">
        <v>406</v>
      </c>
      <c r="D73">
        <v>21500</v>
      </c>
    </row>
    <row r="74" spans="1:4">
      <c r="A74">
        <v>231103</v>
      </c>
      <c r="B74" t="s">
        <v>1103</v>
      </c>
      <c r="C74" t="s">
        <v>408</v>
      </c>
      <c r="D74">
        <v>21500</v>
      </c>
    </row>
    <row r="75" spans="1:4">
      <c r="A75">
        <v>231107</v>
      </c>
      <c r="B75" t="s">
        <v>1106</v>
      </c>
      <c r="C75" t="s">
        <v>410</v>
      </c>
      <c r="D75">
        <v>21500</v>
      </c>
    </row>
    <row r="76" spans="1:4">
      <c r="A76">
        <v>231206</v>
      </c>
      <c r="B76" t="s">
        <v>1103</v>
      </c>
      <c r="C76" t="s">
        <v>441</v>
      </c>
      <c r="D76">
        <v>27940</v>
      </c>
    </row>
    <row r="77" spans="1:4">
      <c r="A77">
        <v>251202</v>
      </c>
      <c r="B77" t="s">
        <v>1103</v>
      </c>
      <c r="C77" t="s">
        <v>2626</v>
      </c>
      <c r="D77">
        <v>27940</v>
      </c>
    </row>
    <row r="78" spans="1:4">
      <c r="A78">
        <v>240318</v>
      </c>
      <c r="B78" t="s">
        <v>1103</v>
      </c>
      <c r="C78" t="s">
        <v>1804</v>
      </c>
    </row>
    <row r="79" spans="1:4">
      <c r="A79">
        <v>240317</v>
      </c>
      <c r="B79" t="s">
        <v>1103</v>
      </c>
      <c r="C79" t="s">
        <v>1226</v>
      </c>
      <c r="D79">
        <v>27700</v>
      </c>
    </row>
    <row r="80" spans="1:4">
      <c r="A80">
        <v>240315</v>
      </c>
      <c r="B80" t="s">
        <v>1106</v>
      </c>
      <c r="C80" t="s">
        <v>2111</v>
      </c>
      <c r="D80">
        <v>25000</v>
      </c>
    </row>
    <row r="81" spans="1:4">
      <c r="A81">
        <v>240314</v>
      </c>
      <c r="B81" t="s">
        <v>1106</v>
      </c>
      <c r="C81" t="s">
        <v>2109</v>
      </c>
      <c r="D81">
        <v>25000</v>
      </c>
    </row>
    <row r="82" spans="1:4">
      <c r="A82">
        <v>240401</v>
      </c>
      <c r="B82" t="s">
        <v>1106</v>
      </c>
      <c r="C82" t="s">
        <v>2125</v>
      </c>
      <c r="D82">
        <v>25000</v>
      </c>
    </row>
    <row r="83" spans="1:4">
      <c r="A83">
        <v>240504</v>
      </c>
      <c r="B83" t="s">
        <v>1103</v>
      </c>
      <c r="C83" t="s">
        <v>2146</v>
      </c>
      <c r="D83">
        <v>31000</v>
      </c>
    </row>
    <row r="84" spans="1:4">
      <c r="A84">
        <v>240711</v>
      </c>
      <c r="B84" t="s">
        <v>1106</v>
      </c>
      <c r="C84" t="s">
        <v>2168</v>
      </c>
      <c r="D84">
        <v>31000</v>
      </c>
    </row>
    <row r="85" spans="1:4">
      <c r="A85">
        <v>250205</v>
      </c>
      <c r="B85" t="s">
        <v>1183</v>
      </c>
      <c r="C85" t="s">
        <v>928</v>
      </c>
      <c r="D85">
        <v>19500</v>
      </c>
    </row>
    <row r="86" spans="1:4">
      <c r="A86">
        <v>250206</v>
      </c>
      <c r="B86" t="s">
        <v>1106</v>
      </c>
      <c r="C86" t="s">
        <v>930</v>
      </c>
      <c r="D86">
        <v>19500</v>
      </c>
    </row>
    <row r="87" spans="1:4">
      <c r="A87">
        <v>250223</v>
      </c>
      <c r="B87" t="s">
        <v>1103</v>
      </c>
      <c r="C87" t="s">
        <v>932</v>
      </c>
      <c r="D87">
        <v>19500</v>
      </c>
    </row>
    <row r="88" spans="1:4">
      <c r="A88">
        <v>230812</v>
      </c>
      <c r="B88" t="s">
        <v>1103</v>
      </c>
      <c r="C88" t="s">
        <v>340</v>
      </c>
      <c r="D88">
        <v>58530</v>
      </c>
    </row>
    <row r="89" spans="1:4">
      <c r="A89">
        <v>221209</v>
      </c>
      <c r="B89" t="s">
        <v>1103</v>
      </c>
      <c r="C89" t="s">
        <v>182</v>
      </c>
      <c r="D89">
        <v>50720</v>
      </c>
    </row>
    <row r="90" spans="1:4">
      <c r="A90">
        <v>250904</v>
      </c>
      <c r="B90" t="s">
        <v>1183</v>
      </c>
      <c r="C90" t="s">
        <v>2589</v>
      </c>
      <c r="D90">
        <v>55000</v>
      </c>
    </row>
    <row r="91" spans="1:4">
      <c r="A91">
        <v>231216</v>
      </c>
      <c r="B91" t="s">
        <v>1130</v>
      </c>
      <c r="C91" t="s">
        <v>459</v>
      </c>
      <c r="D91">
        <v>25000</v>
      </c>
    </row>
    <row r="92" spans="1:4">
      <c r="A92">
        <v>250802</v>
      </c>
      <c r="B92" t="s">
        <v>1130</v>
      </c>
      <c r="C92" t="s">
        <v>2558</v>
      </c>
      <c r="D92">
        <v>25000</v>
      </c>
    </row>
    <row r="93" spans="1:4">
      <c r="A93">
        <v>210416</v>
      </c>
      <c r="B93" t="s">
        <v>1130</v>
      </c>
      <c r="C93" t="s">
        <v>1259</v>
      </c>
      <c r="D93">
        <v>48000</v>
      </c>
    </row>
    <row r="94" spans="1:4">
      <c r="A94">
        <v>250219</v>
      </c>
      <c r="B94" t="s">
        <v>1130</v>
      </c>
      <c r="C94" t="s">
        <v>956</v>
      </c>
      <c r="D94">
        <v>27600</v>
      </c>
    </row>
    <row r="95" spans="1:4">
      <c r="A95">
        <v>221207</v>
      </c>
      <c r="B95" t="s">
        <v>1130</v>
      </c>
      <c r="C95" t="s">
        <v>184</v>
      </c>
      <c r="D95">
        <v>46500</v>
      </c>
    </row>
    <row r="96" spans="1:4">
      <c r="A96">
        <v>221211</v>
      </c>
      <c r="B96" t="s">
        <v>1130</v>
      </c>
      <c r="C96" t="s">
        <v>186</v>
      </c>
      <c r="D96">
        <v>26500</v>
      </c>
    </row>
    <row r="97" spans="1:4">
      <c r="A97">
        <v>260110</v>
      </c>
      <c r="B97" t="s">
        <v>1130</v>
      </c>
      <c r="C97" t="s">
        <v>2843</v>
      </c>
      <c r="D97">
        <v>13700</v>
      </c>
    </row>
    <row r="98" spans="1:4">
      <c r="A98">
        <v>230613</v>
      </c>
      <c r="B98" t="s">
        <v>1130</v>
      </c>
      <c r="C98" t="s">
        <v>158</v>
      </c>
      <c r="D98">
        <v>32000</v>
      </c>
    </row>
    <row r="99" spans="1:4">
      <c r="A99">
        <v>210406</v>
      </c>
      <c r="B99" t="s">
        <v>1130</v>
      </c>
      <c r="C99" t="s">
        <v>1244</v>
      </c>
      <c r="D99">
        <v>32000</v>
      </c>
    </row>
    <row r="100" spans="1:4">
      <c r="A100">
        <v>240108</v>
      </c>
      <c r="B100" t="s">
        <v>1130</v>
      </c>
      <c r="C100" t="s">
        <v>418</v>
      </c>
      <c r="D100">
        <v>20000</v>
      </c>
    </row>
    <row r="101" spans="1:4">
      <c r="A101">
        <v>240107</v>
      </c>
      <c r="B101" t="s">
        <v>1130</v>
      </c>
      <c r="C101" t="s">
        <v>484</v>
      </c>
      <c r="D101">
        <v>20000</v>
      </c>
    </row>
    <row r="102" spans="1:4">
      <c r="A102">
        <v>250803</v>
      </c>
      <c r="B102" t="s">
        <v>1130</v>
      </c>
      <c r="C102" t="s">
        <v>2560</v>
      </c>
      <c r="D102">
        <v>20000</v>
      </c>
    </row>
    <row r="103" spans="1:4">
      <c r="A103">
        <v>231109</v>
      </c>
      <c r="B103" t="s">
        <v>1130</v>
      </c>
      <c r="C103" t="s">
        <v>418</v>
      </c>
      <c r="D103">
        <v>25000</v>
      </c>
    </row>
    <row r="104" spans="1:4">
      <c r="A104">
        <v>250216</v>
      </c>
      <c r="B104" t="s">
        <v>1130</v>
      </c>
      <c r="C104" t="s">
        <v>951</v>
      </c>
      <c r="D104">
        <v>25000</v>
      </c>
    </row>
    <row r="105" spans="1:4">
      <c r="A105">
        <v>250218</v>
      </c>
      <c r="B105" t="s">
        <v>1130</v>
      </c>
      <c r="C105" t="s">
        <v>949</v>
      </c>
      <c r="D105">
        <v>27500</v>
      </c>
    </row>
    <row r="106" spans="1:4">
      <c r="A106">
        <v>241212</v>
      </c>
      <c r="B106" t="s">
        <v>1130</v>
      </c>
      <c r="C106" t="s">
        <v>874</v>
      </c>
      <c r="D106">
        <v>27500</v>
      </c>
    </row>
    <row r="107" spans="1:4">
      <c r="A107">
        <v>240113</v>
      </c>
      <c r="B107" t="s">
        <v>1130</v>
      </c>
      <c r="C107" t="s">
        <v>491</v>
      </c>
      <c r="D107">
        <v>37453</v>
      </c>
    </row>
    <row r="108" spans="1:4">
      <c r="A108">
        <v>250215</v>
      </c>
      <c r="B108" t="s">
        <v>1130</v>
      </c>
      <c r="C108" t="s">
        <v>954</v>
      </c>
      <c r="D108">
        <v>26050</v>
      </c>
    </row>
    <row r="109" spans="1:4">
      <c r="A109">
        <v>220707</v>
      </c>
      <c r="B109" t="s">
        <v>1130</v>
      </c>
      <c r="C109" t="s">
        <v>56</v>
      </c>
      <c r="D109">
        <v>43000</v>
      </c>
    </row>
    <row r="110" spans="1:4">
      <c r="A110">
        <v>230901</v>
      </c>
      <c r="B110" t="s">
        <v>1130</v>
      </c>
      <c r="C110" t="s">
        <v>1364</v>
      </c>
      <c r="D110">
        <v>43000</v>
      </c>
    </row>
    <row r="111" spans="1:4">
      <c r="A111">
        <v>230106</v>
      </c>
      <c r="B111" t="s">
        <v>1130</v>
      </c>
      <c r="C111" t="s">
        <v>202</v>
      </c>
      <c r="D111">
        <v>46000</v>
      </c>
    </row>
    <row r="112" spans="1:4">
      <c r="A112">
        <v>250307</v>
      </c>
      <c r="B112" t="s">
        <v>1130</v>
      </c>
      <c r="C112" t="s">
        <v>995</v>
      </c>
      <c r="D112">
        <v>26000</v>
      </c>
    </row>
    <row r="113" spans="1:4">
      <c r="A113">
        <v>251010</v>
      </c>
      <c r="B113" t="s">
        <v>1130</v>
      </c>
      <c r="C113" t="s">
        <v>2616</v>
      </c>
      <c r="D113">
        <v>21842</v>
      </c>
    </row>
    <row r="114" spans="1:4">
      <c r="A114">
        <v>230504</v>
      </c>
      <c r="B114" t="s">
        <v>1130</v>
      </c>
      <c r="C114" t="s">
        <v>292</v>
      </c>
    </row>
    <row r="115" spans="1:4">
      <c r="A115">
        <v>230902</v>
      </c>
      <c r="B115" t="s">
        <v>1130</v>
      </c>
      <c r="C115" t="s">
        <v>2017</v>
      </c>
    </row>
    <row r="116" spans="1:4">
      <c r="A116">
        <v>231215</v>
      </c>
      <c r="B116" t="s">
        <v>1130</v>
      </c>
      <c r="C116" t="s">
        <v>457</v>
      </c>
    </row>
    <row r="117" spans="1:4">
      <c r="A117">
        <v>250906</v>
      </c>
      <c r="B117" t="s">
        <v>1130</v>
      </c>
      <c r="C117" t="s">
        <v>2593</v>
      </c>
      <c r="D117">
        <v>20000</v>
      </c>
    </row>
    <row r="118" spans="1:4">
      <c r="A118">
        <v>250905</v>
      </c>
      <c r="B118" t="s">
        <v>1130</v>
      </c>
      <c r="C118" t="s">
        <v>2591</v>
      </c>
      <c r="D118">
        <v>20000</v>
      </c>
    </row>
    <row r="119" spans="1:4">
      <c r="A119">
        <v>230808</v>
      </c>
      <c r="B119" t="s">
        <v>1130</v>
      </c>
      <c r="C119" t="s">
        <v>329</v>
      </c>
    </row>
    <row r="120" spans="1:4">
      <c r="A120">
        <v>241211</v>
      </c>
      <c r="B120" t="s">
        <v>1130</v>
      </c>
      <c r="C120" t="s">
        <v>868</v>
      </c>
      <c r="D120">
        <v>20000</v>
      </c>
    </row>
    <row r="121" spans="1:4">
      <c r="A121">
        <v>241214</v>
      </c>
      <c r="B121" t="s">
        <v>1130</v>
      </c>
      <c r="C121" t="s">
        <v>870</v>
      </c>
      <c r="D121">
        <v>20000</v>
      </c>
    </row>
    <row r="122" spans="1:4">
      <c r="A122">
        <v>250111</v>
      </c>
      <c r="B122" t="s">
        <v>1130</v>
      </c>
      <c r="C122" t="s">
        <v>924</v>
      </c>
      <c r="D122">
        <v>28250</v>
      </c>
    </row>
    <row r="123" spans="1:4">
      <c r="A123">
        <v>250110</v>
      </c>
      <c r="B123" t="s">
        <v>1130</v>
      </c>
      <c r="C123" t="s">
        <v>896</v>
      </c>
      <c r="D123">
        <v>28250</v>
      </c>
    </row>
    <row r="124" spans="1:4">
      <c r="A124">
        <v>230318</v>
      </c>
      <c r="B124" t="s">
        <v>1130</v>
      </c>
      <c r="C124" t="s">
        <v>303</v>
      </c>
      <c r="D124">
        <v>28400</v>
      </c>
    </row>
    <row r="125" spans="1:4">
      <c r="A125">
        <v>240803</v>
      </c>
      <c r="B125" t="s">
        <v>1130</v>
      </c>
      <c r="C125" t="s">
        <v>306</v>
      </c>
      <c r="D125">
        <v>28400</v>
      </c>
    </row>
    <row r="126" spans="1:4">
      <c r="A126">
        <v>240104</v>
      </c>
      <c r="B126" t="s">
        <v>1130</v>
      </c>
      <c r="C126" t="s">
        <v>478</v>
      </c>
      <c r="D126">
        <v>28400</v>
      </c>
    </row>
    <row r="127" spans="1:4">
      <c r="A127">
        <v>241213</v>
      </c>
      <c r="B127" t="s">
        <v>1130</v>
      </c>
      <c r="C127" t="s">
        <v>872</v>
      </c>
      <c r="D127">
        <v>28400</v>
      </c>
    </row>
    <row r="128" spans="1:4">
      <c r="A128">
        <v>240112</v>
      </c>
      <c r="B128" t="s">
        <v>1130</v>
      </c>
      <c r="C128" t="s">
        <v>496</v>
      </c>
      <c r="D128">
        <v>28250</v>
      </c>
    </row>
    <row r="129" spans="1:4">
      <c r="A129">
        <v>240111</v>
      </c>
      <c r="B129" t="s">
        <v>1130</v>
      </c>
      <c r="C129" t="s">
        <v>489</v>
      </c>
      <c r="D129">
        <v>28250</v>
      </c>
    </row>
    <row r="130" spans="1:4">
      <c r="A130">
        <v>220508</v>
      </c>
      <c r="B130" t="s">
        <v>1130</v>
      </c>
      <c r="C130" t="s">
        <v>73</v>
      </c>
      <c r="D130">
        <v>20000</v>
      </c>
    </row>
    <row r="131" spans="1:4">
      <c r="A131">
        <v>240105</v>
      </c>
      <c r="B131" t="s">
        <v>1130</v>
      </c>
      <c r="C131" t="s">
        <v>480</v>
      </c>
      <c r="D131">
        <v>20000</v>
      </c>
    </row>
    <row r="132" spans="1:4">
      <c r="A132">
        <v>250607</v>
      </c>
      <c r="B132" t="s">
        <v>1130</v>
      </c>
      <c r="C132" t="s">
        <v>1061</v>
      </c>
      <c r="D132">
        <v>20000</v>
      </c>
    </row>
    <row r="133" spans="1:4">
      <c r="A133">
        <v>241003</v>
      </c>
      <c r="B133" t="s">
        <v>1130</v>
      </c>
      <c r="C133" t="s">
        <v>2220</v>
      </c>
      <c r="D133">
        <v>22000</v>
      </c>
    </row>
    <row r="134" spans="1:4">
      <c r="A134">
        <v>240311</v>
      </c>
      <c r="B134" t="s">
        <v>1130</v>
      </c>
      <c r="C134" t="s">
        <v>2105</v>
      </c>
      <c r="D134">
        <v>22000</v>
      </c>
    </row>
    <row r="135" spans="1:4">
      <c r="A135">
        <v>250406</v>
      </c>
      <c r="B135" t="s">
        <v>1130</v>
      </c>
      <c r="C135" t="s">
        <v>2275</v>
      </c>
      <c r="D135">
        <v>22000</v>
      </c>
    </row>
    <row r="136" spans="1:4">
      <c r="A136">
        <v>230503</v>
      </c>
      <c r="B136" t="s">
        <v>1130</v>
      </c>
      <c r="C136" t="s">
        <v>294</v>
      </c>
      <c r="D136">
        <v>23000</v>
      </c>
    </row>
    <row r="137" spans="1:4">
      <c r="A137">
        <v>240106</v>
      </c>
      <c r="B137" t="s">
        <v>1130</v>
      </c>
      <c r="C137" t="s">
        <v>482</v>
      </c>
      <c r="D137">
        <v>23000</v>
      </c>
    </row>
    <row r="138" spans="1:4">
      <c r="A138">
        <v>230909</v>
      </c>
      <c r="B138" t="s">
        <v>1130</v>
      </c>
      <c r="C138" t="s">
        <v>365</v>
      </c>
      <c r="D138">
        <v>17000</v>
      </c>
    </row>
    <row r="139" spans="1:4">
      <c r="A139">
        <v>230912</v>
      </c>
      <c r="B139" t="s">
        <v>1130</v>
      </c>
      <c r="C139" t="s">
        <v>367</v>
      </c>
      <c r="D139">
        <v>17000</v>
      </c>
    </row>
    <row r="140" spans="1:4">
      <c r="A140">
        <v>230913</v>
      </c>
      <c r="B140" t="s">
        <v>1130</v>
      </c>
      <c r="C140" t="s">
        <v>372</v>
      </c>
      <c r="D140">
        <v>17000</v>
      </c>
    </row>
    <row r="141" spans="1:4">
      <c r="A141">
        <v>250308</v>
      </c>
      <c r="B141" t="s">
        <v>1130</v>
      </c>
      <c r="C141" t="s">
        <v>991</v>
      </c>
      <c r="D141">
        <v>23250</v>
      </c>
    </row>
    <row r="142" spans="1:4">
      <c r="A142">
        <v>250309</v>
      </c>
      <c r="B142" t="s">
        <v>1130</v>
      </c>
      <c r="C142" t="s">
        <v>992</v>
      </c>
      <c r="D142">
        <v>23250</v>
      </c>
    </row>
    <row r="143" spans="1:4">
      <c r="A143">
        <v>230914</v>
      </c>
      <c r="B143" t="s">
        <v>1130</v>
      </c>
      <c r="C143" t="s">
        <v>375</v>
      </c>
      <c r="D143">
        <v>24000</v>
      </c>
    </row>
    <row r="144" spans="1:4">
      <c r="A144">
        <v>230915</v>
      </c>
      <c r="B144" t="s">
        <v>1130</v>
      </c>
      <c r="C144" t="s">
        <v>377</v>
      </c>
      <c r="D144">
        <v>24000</v>
      </c>
    </row>
    <row r="145" spans="1:4">
      <c r="A145">
        <v>231115</v>
      </c>
      <c r="B145" t="s">
        <v>1130</v>
      </c>
      <c r="C145" t="s">
        <v>443</v>
      </c>
      <c r="D145">
        <v>28000</v>
      </c>
    </row>
    <row r="146" spans="1:4">
      <c r="A146">
        <v>240804</v>
      </c>
      <c r="B146" t="s">
        <v>1130</v>
      </c>
      <c r="C146" t="s">
        <v>2175</v>
      </c>
      <c r="D146">
        <v>28000</v>
      </c>
    </row>
    <row r="147" spans="1:4">
      <c r="A147">
        <v>231116</v>
      </c>
      <c r="B147" t="s">
        <v>1130</v>
      </c>
      <c r="C147" t="s">
        <v>445</v>
      </c>
      <c r="D147">
        <v>28000</v>
      </c>
    </row>
    <row r="148" spans="1:4">
      <c r="A148">
        <v>220522</v>
      </c>
      <c r="B148" t="s">
        <v>1130</v>
      </c>
      <c r="C148" t="s">
        <v>70</v>
      </c>
      <c r="D148">
        <v>28000</v>
      </c>
    </row>
    <row r="149" spans="1:4">
      <c r="A149">
        <v>231212</v>
      </c>
      <c r="B149" t="s">
        <v>1130</v>
      </c>
      <c r="C149" t="s">
        <v>451</v>
      </c>
      <c r="D149">
        <v>41000</v>
      </c>
    </row>
    <row r="150" spans="1:4">
      <c r="A150">
        <v>231209</v>
      </c>
      <c r="B150" t="s">
        <v>1130</v>
      </c>
      <c r="C150" t="s">
        <v>54</v>
      </c>
      <c r="D150">
        <v>21000</v>
      </c>
    </row>
    <row r="151" spans="1:4">
      <c r="A151">
        <v>250605</v>
      </c>
      <c r="B151" t="s">
        <v>1130</v>
      </c>
      <c r="C151" t="s">
        <v>1063</v>
      </c>
      <c r="D151">
        <v>21000</v>
      </c>
    </row>
    <row r="152" spans="1:4">
      <c r="A152">
        <v>240117</v>
      </c>
      <c r="B152" t="s">
        <v>1130</v>
      </c>
      <c r="C152" t="s">
        <v>487</v>
      </c>
      <c r="D152">
        <v>23815</v>
      </c>
    </row>
    <row r="153" spans="1:4">
      <c r="A153">
        <v>251107</v>
      </c>
      <c r="B153" t="s">
        <v>1130</v>
      </c>
      <c r="C153" t="s">
        <v>2636</v>
      </c>
      <c r="D153">
        <v>23815</v>
      </c>
    </row>
    <row r="154" spans="1:4">
      <c r="A154">
        <v>250708</v>
      </c>
      <c r="B154" t="s">
        <v>1130</v>
      </c>
      <c r="C154" t="s">
        <v>2544</v>
      </c>
      <c r="D154">
        <v>25050</v>
      </c>
    </row>
    <row r="155" spans="1:4">
      <c r="A155">
        <v>260109</v>
      </c>
      <c r="B155" t="s">
        <v>1130</v>
      </c>
      <c r="C155" t="s">
        <v>2846</v>
      </c>
      <c r="D155">
        <v>12930</v>
      </c>
    </row>
    <row r="156" spans="1:4">
      <c r="A156">
        <v>250202</v>
      </c>
      <c r="B156" t="s">
        <v>1130</v>
      </c>
      <c r="C156" t="s">
        <v>940</v>
      </c>
      <c r="D156">
        <v>27500</v>
      </c>
    </row>
    <row r="157" spans="1:4">
      <c r="A157">
        <v>250217</v>
      </c>
      <c r="B157" t="s">
        <v>1130</v>
      </c>
      <c r="C157" t="s">
        <v>942</v>
      </c>
      <c r="D157">
        <v>27500</v>
      </c>
    </row>
    <row r="158" spans="1:4">
      <c r="A158">
        <v>250204</v>
      </c>
      <c r="B158" t="s">
        <v>1130</v>
      </c>
      <c r="C158" t="s">
        <v>946</v>
      </c>
      <c r="D158">
        <v>27500</v>
      </c>
    </row>
    <row r="159" spans="1:4">
      <c r="A159">
        <v>250804</v>
      </c>
      <c r="B159" t="s">
        <v>1130</v>
      </c>
      <c r="C159" t="s">
        <v>2562</v>
      </c>
      <c r="D159">
        <v>27500</v>
      </c>
    </row>
    <row r="160" spans="1:4">
      <c r="A160">
        <v>251105</v>
      </c>
      <c r="B160" t="s">
        <v>1130</v>
      </c>
      <c r="C160" t="s">
        <v>2632</v>
      </c>
      <c r="D160">
        <v>26825</v>
      </c>
    </row>
    <row r="161" spans="1:4">
      <c r="A161">
        <v>251106</v>
      </c>
      <c r="B161" t="s">
        <v>1130</v>
      </c>
      <c r="C161" t="s">
        <v>2634</v>
      </c>
      <c r="D161">
        <v>26825</v>
      </c>
    </row>
    <row r="162" spans="1:4">
      <c r="A162">
        <v>220710</v>
      </c>
      <c r="B162" t="s">
        <v>178</v>
      </c>
      <c r="C162" t="s">
        <v>110</v>
      </c>
      <c r="D162">
        <v>42000</v>
      </c>
    </row>
    <row r="163" spans="1:4">
      <c r="A163">
        <v>231221</v>
      </c>
      <c r="B163" t="s">
        <v>178</v>
      </c>
      <c r="C163" t="s">
        <v>94</v>
      </c>
      <c r="D163">
        <v>42000</v>
      </c>
    </row>
    <row r="164" spans="1:4">
      <c r="A164">
        <v>220714</v>
      </c>
      <c r="B164" t="s">
        <v>178</v>
      </c>
      <c r="C164" t="s">
        <v>108</v>
      </c>
      <c r="D164">
        <v>42000</v>
      </c>
    </row>
    <row r="165" spans="1:4">
      <c r="A165">
        <v>220711</v>
      </c>
      <c r="B165" t="s">
        <v>178</v>
      </c>
      <c r="C165" t="s">
        <v>114</v>
      </c>
      <c r="D165">
        <v>42000</v>
      </c>
    </row>
    <row r="166" spans="1:4">
      <c r="A166">
        <v>210117</v>
      </c>
      <c r="B166" t="s">
        <v>178</v>
      </c>
      <c r="C166" t="s">
        <v>1166</v>
      </c>
      <c r="D166">
        <v>52000</v>
      </c>
    </row>
    <row r="167" spans="1:4">
      <c r="A167" s="562" t="s">
        <v>2909</v>
      </c>
      <c r="B167" t="s">
        <v>124</v>
      </c>
      <c r="C167" t="s">
        <v>908</v>
      </c>
      <c r="D167">
        <v>32000</v>
      </c>
    </row>
    <row r="168" spans="1:4">
      <c r="A168">
        <v>220702</v>
      </c>
      <c r="B168" t="s">
        <v>178</v>
      </c>
      <c r="C168" t="s">
        <v>102</v>
      </c>
    </row>
    <row r="169" spans="1:4">
      <c r="A169">
        <v>250301</v>
      </c>
      <c r="B169" t="s">
        <v>178</v>
      </c>
      <c r="C169" t="s">
        <v>621</v>
      </c>
      <c r="D169">
        <v>26000</v>
      </c>
    </row>
    <row r="170" spans="1:4">
      <c r="A170">
        <v>241206</v>
      </c>
      <c r="B170" t="s">
        <v>178</v>
      </c>
      <c r="C170" t="s">
        <v>882</v>
      </c>
      <c r="D170">
        <v>26000</v>
      </c>
    </row>
    <row r="171" spans="1:4">
      <c r="A171">
        <v>220502</v>
      </c>
      <c r="B171" t="s">
        <v>178</v>
      </c>
      <c r="C171" t="s">
        <v>49</v>
      </c>
    </row>
    <row r="172" spans="1:4">
      <c r="A172">
        <v>250212</v>
      </c>
      <c r="B172" t="s">
        <v>178</v>
      </c>
      <c r="C172" t="s">
        <v>971</v>
      </c>
      <c r="D172">
        <v>26000</v>
      </c>
    </row>
    <row r="173" spans="1:4">
      <c r="A173">
        <v>250211</v>
      </c>
      <c r="B173" t="s">
        <v>178</v>
      </c>
      <c r="C173" t="s">
        <v>973</v>
      </c>
      <c r="D173">
        <v>26000</v>
      </c>
    </row>
    <row r="174" spans="1:4">
      <c r="A174">
        <v>220806</v>
      </c>
      <c r="B174" t="s">
        <v>178</v>
      </c>
      <c r="C174" t="s">
        <v>1783</v>
      </c>
    </row>
    <row r="175" spans="1:4">
      <c r="A175">
        <v>231214</v>
      </c>
      <c r="B175" t="s">
        <v>178</v>
      </c>
      <c r="C175" t="s">
        <v>469</v>
      </c>
      <c r="D175">
        <v>23500</v>
      </c>
    </row>
    <row r="176" spans="1:4">
      <c r="A176">
        <v>251108</v>
      </c>
      <c r="B176" t="s">
        <v>178</v>
      </c>
      <c r="C176" t="s">
        <v>2638</v>
      </c>
      <c r="D176">
        <v>23500</v>
      </c>
    </row>
    <row r="177" spans="1:4">
      <c r="A177">
        <v>220606</v>
      </c>
      <c r="B177" t="s">
        <v>178</v>
      </c>
      <c r="C177" t="s">
        <v>29</v>
      </c>
      <c r="D177">
        <v>47000</v>
      </c>
    </row>
    <row r="178" spans="1:4">
      <c r="A178">
        <v>241104</v>
      </c>
      <c r="B178" t="s">
        <v>178</v>
      </c>
      <c r="C178" t="s">
        <v>618</v>
      </c>
      <c r="D178">
        <v>26000</v>
      </c>
    </row>
    <row r="179" spans="1:4">
      <c r="A179">
        <v>241102</v>
      </c>
      <c r="B179" t="s">
        <v>178</v>
      </c>
      <c r="C179" t="s">
        <v>616</v>
      </c>
      <c r="D179">
        <v>26000</v>
      </c>
    </row>
    <row r="180" spans="1:4">
      <c r="A180">
        <v>230322</v>
      </c>
      <c r="B180" t="s">
        <v>178</v>
      </c>
      <c r="C180" t="s">
        <v>260</v>
      </c>
      <c r="D180">
        <v>26000</v>
      </c>
    </row>
    <row r="181" spans="1:4">
      <c r="A181">
        <v>240905</v>
      </c>
      <c r="B181" t="s">
        <v>178</v>
      </c>
      <c r="C181" t="s">
        <v>606</v>
      </c>
      <c r="D181">
        <v>26000</v>
      </c>
    </row>
    <row r="182" spans="1:4">
      <c r="A182">
        <v>60102</v>
      </c>
      <c r="B182" t="s">
        <v>92</v>
      </c>
      <c r="C182" t="s">
        <v>2418</v>
      </c>
    </row>
    <row r="183" spans="1:4">
      <c r="A183">
        <v>230321</v>
      </c>
      <c r="B183" t="s">
        <v>178</v>
      </c>
      <c r="C183" t="s">
        <v>258</v>
      </c>
      <c r="D183">
        <v>32000</v>
      </c>
    </row>
    <row r="184" spans="1:4">
      <c r="A184">
        <v>70201</v>
      </c>
      <c r="B184" t="s">
        <v>92</v>
      </c>
      <c r="C184" t="s">
        <v>2423</v>
      </c>
      <c r="D184">
        <v>32000</v>
      </c>
    </row>
    <row r="185" spans="1:4">
      <c r="A185">
        <v>230325</v>
      </c>
      <c r="B185" t="s">
        <v>178</v>
      </c>
      <c r="C185" t="s">
        <v>254</v>
      </c>
      <c r="D185">
        <v>32000</v>
      </c>
    </row>
    <row r="186" spans="1:4">
      <c r="A186">
        <v>220317</v>
      </c>
      <c r="B186" t="s">
        <v>178</v>
      </c>
      <c r="C186" t="s">
        <v>959</v>
      </c>
      <c r="D186">
        <v>20000</v>
      </c>
    </row>
    <row r="187" spans="1:4">
      <c r="A187">
        <v>210501</v>
      </c>
      <c r="B187" t="s">
        <v>178</v>
      </c>
      <c r="C187" t="s">
        <v>356</v>
      </c>
      <c r="D187">
        <v>30000</v>
      </c>
    </row>
    <row r="188" spans="1:4">
      <c r="A188">
        <v>250103</v>
      </c>
      <c r="B188" t="s">
        <v>178</v>
      </c>
      <c r="C188" t="s">
        <v>899</v>
      </c>
      <c r="D188">
        <v>26000</v>
      </c>
    </row>
    <row r="189" spans="1:4">
      <c r="A189">
        <v>250104</v>
      </c>
      <c r="B189" t="s">
        <v>178</v>
      </c>
      <c r="C189" t="s">
        <v>901</v>
      </c>
      <c r="D189">
        <v>26000</v>
      </c>
    </row>
    <row r="190" spans="1:4">
      <c r="A190">
        <v>241106</v>
      </c>
      <c r="B190" t="s">
        <v>178</v>
      </c>
      <c r="C190" t="s">
        <v>2230</v>
      </c>
      <c r="D190">
        <v>26000</v>
      </c>
    </row>
    <row r="191" spans="1:4">
      <c r="A191">
        <v>250302</v>
      </c>
      <c r="B191" t="s">
        <v>178</v>
      </c>
      <c r="C191" t="s">
        <v>2260</v>
      </c>
      <c r="D191">
        <v>26000</v>
      </c>
    </row>
    <row r="192" spans="1:4">
      <c r="A192">
        <v>230604</v>
      </c>
      <c r="B192" t="s">
        <v>178</v>
      </c>
      <c r="C192" t="s">
        <v>311</v>
      </c>
      <c r="D192">
        <v>26000</v>
      </c>
    </row>
    <row r="193" spans="1:4">
      <c r="A193">
        <v>230608</v>
      </c>
      <c r="B193" t="s">
        <v>178</v>
      </c>
      <c r="C193" t="s">
        <v>320</v>
      </c>
      <c r="D193">
        <v>26000</v>
      </c>
    </row>
    <row r="194" spans="1:4">
      <c r="A194">
        <v>230917</v>
      </c>
      <c r="B194" t="s">
        <v>178</v>
      </c>
      <c r="C194" t="s">
        <v>381</v>
      </c>
      <c r="D194">
        <v>26000</v>
      </c>
    </row>
    <row r="195" spans="1:4">
      <c r="A195">
        <v>230919</v>
      </c>
      <c r="B195" t="s">
        <v>178</v>
      </c>
      <c r="C195" t="s">
        <v>385</v>
      </c>
      <c r="D195">
        <v>26000</v>
      </c>
    </row>
    <row r="196" spans="1:4">
      <c r="A196">
        <v>70801</v>
      </c>
      <c r="B196" t="s">
        <v>2585</v>
      </c>
      <c r="C196" t="s">
        <v>967</v>
      </c>
      <c r="D196">
        <v>26000</v>
      </c>
    </row>
    <row r="197" spans="1:4">
      <c r="A197">
        <v>250207</v>
      </c>
      <c r="B197" t="s">
        <v>178</v>
      </c>
      <c r="C197" t="s">
        <v>969</v>
      </c>
      <c r="D197">
        <v>26000</v>
      </c>
    </row>
    <row r="198" spans="1:4">
      <c r="A198">
        <v>220104</v>
      </c>
      <c r="B198" t="s">
        <v>178</v>
      </c>
      <c r="C198" t="s">
        <v>1550</v>
      </c>
      <c r="D198">
        <v>26000</v>
      </c>
    </row>
    <row r="199" spans="1:4">
      <c r="A199">
        <v>240606</v>
      </c>
      <c r="B199" t="s">
        <v>178</v>
      </c>
      <c r="C199" t="s">
        <v>544</v>
      </c>
      <c r="D199">
        <v>26000</v>
      </c>
    </row>
    <row r="200" spans="1:4">
      <c r="A200">
        <v>241103</v>
      </c>
      <c r="B200" t="s">
        <v>178</v>
      </c>
      <c r="C200" t="s">
        <v>623</v>
      </c>
      <c r="D200">
        <v>46000</v>
      </c>
    </row>
    <row r="201" spans="1:4">
      <c r="A201">
        <v>241105</v>
      </c>
      <c r="B201" t="s">
        <v>178</v>
      </c>
      <c r="C201" t="s">
        <v>624</v>
      </c>
      <c r="D201">
        <v>26000</v>
      </c>
    </row>
    <row r="202" spans="1:4">
      <c r="A202">
        <v>240304</v>
      </c>
      <c r="B202" t="s">
        <v>1773</v>
      </c>
      <c r="C202" t="s">
        <v>2091</v>
      </c>
      <c r="D202">
        <v>26000</v>
      </c>
    </row>
    <row r="203" spans="1:4">
      <c r="A203">
        <v>250709</v>
      </c>
      <c r="B203" t="s">
        <v>178</v>
      </c>
      <c r="C203" t="s">
        <v>2554</v>
      </c>
      <c r="D203">
        <v>26000</v>
      </c>
    </row>
    <row r="204" spans="1:4">
      <c r="A204">
        <v>250407</v>
      </c>
      <c r="B204" t="s">
        <v>178</v>
      </c>
      <c r="C204" t="s">
        <v>1034</v>
      </c>
      <c r="D204">
        <v>26000</v>
      </c>
    </row>
    <row r="205" spans="1:4">
      <c r="A205">
        <v>70402</v>
      </c>
      <c r="B205" t="s">
        <v>92</v>
      </c>
      <c r="C205" t="s">
        <v>1036</v>
      </c>
      <c r="D205">
        <v>26000</v>
      </c>
    </row>
    <row r="206" spans="1:4">
      <c r="A206">
        <v>240506</v>
      </c>
      <c r="B206" t="s">
        <v>178</v>
      </c>
      <c r="C206" t="s">
        <v>2148</v>
      </c>
      <c r="D206">
        <v>32000</v>
      </c>
    </row>
    <row r="207" spans="1:4">
      <c r="A207">
        <v>230611</v>
      </c>
      <c r="B207" t="s">
        <v>178</v>
      </c>
      <c r="C207" t="s">
        <v>70</v>
      </c>
      <c r="D207">
        <v>32000</v>
      </c>
    </row>
    <row r="208" spans="1:4">
      <c r="A208">
        <v>240406</v>
      </c>
      <c r="B208" t="s">
        <v>178</v>
      </c>
      <c r="C208" t="s">
        <v>410</v>
      </c>
      <c r="D208">
        <v>26000</v>
      </c>
    </row>
    <row r="209" spans="1:4">
      <c r="A209">
        <v>251109</v>
      </c>
      <c r="B209" t="s">
        <v>178</v>
      </c>
      <c r="C209" t="s">
        <v>2640</v>
      </c>
      <c r="D209">
        <v>26000</v>
      </c>
    </row>
    <row r="210" spans="1:4">
      <c r="A210">
        <v>251005</v>
      </c>
      <c r="B210" t="s">
        <v>178</v>
      </c>
      <c r="C210" t="s">
        <v>2607</v>
      </c>
      <c r="D210">
        <v>26000</v>
      </c>
    </row>
    <row r="211" spans="1:4">
      <c r="A211">
        <v>251006</v>
      </c>
      <c r="B211" t="s">
        <v>178</v>
      </c>
      <c r="C211" t="s">
        <v>2609</v>
      </c>
      <c r="D211">
        <v>26000</v>
      </c>
    </row>
    <row r="212" spans="1:4">
      <c r="A212">
        <v>70502</v>
      </c>
      <c r="B212" t="s">
        <v>92</v>
      </c>
      <c r="C212" t="s">
        <v>2430</v>
      </c>
      <c r="D212">
        <v>26000</v>
      </c>
    </row>
    <row r="213" spans="1:4">
      <c r="A213">
        <v>70504</v>
      </c>
      <c r="B213" t="s">
        <v>92</v>
      </c>
      <c r="C213" t="s">
        <v>2432</v>
      </c>
      <c r="D213">
        <v>26000</v>
      </c>
    </row>
    <row r="214" spans="1:4">
      <c r="A214">
        <v>250209</v>
      </c>
      <c r="B214" t="s">
        <v>178</v>
      </c>
      <c r="C214" t="s">
        <v>975</v>
      </c>
      <c r="D214">
        <v>26000</v>
      </c>
    </row>
    <row r="215" spans="1:4">
      <c r="A215">
        <v>250210</v>
      </c>
      <c r="B215" t="s">
        <v>178</v>
      </c>
      <c r="C215" t="s">
        <v>977</v>
      </c>
      <c r="D215">
        <v>26000</v>
      </c>
    </row>
    <row r="216" spans="1:4">
      <c r="A216">
        <v>70503</v>
      </c>
      <c r="B216" t="s">
        <v>92</v>
      </c>
      <c r="C216" t="s">
        <v>1065</v>
      </c>
      <c r="D216">
        <v>26000</v>
      </c>
    </row>
    <row r="217" spans="1:4">
      <c r="A217">
        <v>250501</v>
      </c>
      <c r="B217" t="s">
        <v>178</v>
      </c>
      <c r="C217" t="s">
        <v>2281</v>
      </c>
      <c r="D217">
        <v>26000</v>
      </c>
    </row>
    <row r="218" spans="1:4">
      <c r="A218">
        <v>60501</v>
      </c>
      <c r="B218" t="s">
        <v>2361</v>
      </c>
      <c r="C218" t="s">
        <v>1432</v>
      </c>
      <c r="D218">
        <v>40000</v>
      </c>
    </row>
    <row r="219" spans="1:4">
      <c r="A219">
        <v>220812</v>
      </c>
      <c r="B219" t="s">
        <v>178</v>
      </c>
      <c r="C219" t="s">
        <v>156</v>
      </c>
      <c r="D219">
        <v>26000</v>
      </c>
    </row>
    <row r="220" spans="1:4">
      <c r="A220">
        <v>241218</v>
      </c>
      <c r="B220" t="s">
        <v>1773</v>
      </c>
      <c r="C220" t="s">
        <v>2243</v>
      </c>
      <c r="D220">
        <v>26000</v>
      </c>
    </row>
    <row r="221" spans="1:4">
      <c r="A221">
        <v>250105</v>
      </c>
      <c r="B221" t="s">
        <v>178</v>
      </c>
      <c r="C221" t="s">
        <v>903</v>
      </c>
      <c r="D221">
        <v>26000</v>
      </c>
    </row>
    <row r="222" spans="1:4">
      <c r="A222">
        <v>250410</v>
      </c>
      <c r="B222" t="s">
        <v>1773</v>
      </c>
      <c r="C222" t="s">
        <v>1038</v>
      </c>
      <c r="D222">
        <v>26000</v>
      </c>
    </row>
    <row r="223" spans="1:4">
      <c r="A223">
        <v>230706</v>
      </c>
      <c r="B223" t="s">
        <v>178</v>
      </c>
      <c r="C223" t="s">
        <v>500</v>
      </c>
      <c r="D223">
        <v>58000</v>
      </c>
    </row>
    <row r="224" spans="1:4">
      <c r="A224">
        <v>70403</v>
      </c>
      <c r="B224" t="s">
        <v>92</v>
      </c>
      <c r="C224" t="s">
        <v>2428</v>
      </c>
      <c r="D224">
        <v>33000</v>
      </c>
    </row>
    <row r="225" spans="1:4">
      <c r="A225">
        <v>240906</v>
      </c>
      <c r="B225" t="s">
        <v>178</v>
      </c>
      <c r="C225" t="s">
        <v>2209</v>
      </c>
      <c r="D225">
        <v>46000</v>
      </c>
    </row>
    <row r="226" spans="1:4">
      <c r="A226">
        <v>240907</v>
      </c>
      <c r="B226" t="s">
        <v>178</v>
      </c>
      <c r="C226" t="s">
        <v>2211</v>
      </c>
      <c r="D226">
        <v>46000</v>
      </c>
    </row>
    <row r="227" spans="1:4">
      <c r="A227">
        <v>250118</v>
      </c>
      <c r="B227" t="s">
        <v>178</v>
      </c>
      <c r="C227" t="s">
        <v>2250</v>
      </c>
      <c r="D227">
        <v>26000</v>
      </c>
    </row>
    <row r="228" spans="1:4">
      <c r="A228">
        <v>250119</v>
      </c>
      <c r="B228" t="s">
        <v>178</v>
      </c>
      <c r="C228" t="s">
        <v>909</v>
      </c>
      <c r="D228">
        <v>20700</v>
      </c>
    </row>
    <row r="229" spans="1:4">
      <c r="A229">
        <v>260106</v>
      </c>
      <c r="B229" t="s">
        <v>178</v>
      </c>
      <c r="C229" t="s">
        <v>2894</v>
      </c>
      <c r="D229">
        <v>10603</v>
      </c>
    </row>
    <row r="230" spans="1:4">
      <c r="A230">
        <v>260108</v>
      </c>
      <c r="B230" t="s">
        <v>178</v>
      </c>
      <c r="C230" t="s">
        <v>2896</v>
      </c>
      <c r="D230">
        <v>10603</v>
      </c>
    </row>
    <row r="231" spans="1:4">
      <c r="A231">
        <v>240911</v>
      </c>
      <c r="B231" t="s">
        <v>178</v>
      </c>
      <c r="C231" t="s">
        <v>491</v>
      </c>
      <c r="D231">
        <v>33000</v>
      </c>
    </row>
    <row r="232" spans="1:4">
      <c r="A232">
        <v>241010</v>
      </c>
      <c r="B232" t="s">
        <v>178</v>
      </c>
      <c r="C232" t="s">
        <v>614</v>
      </c>
      <c r="D232">
        <v>32000</v>
      </c>
    </row>
    <row r="233" spans="1:4">
      <c r="A233">
        <v>241005</v>
      </c>
      <c r="B233" t="s">
        <v>178</v>
      </c>
      <c r="C233" t="s">
        <v>610</v>
      </c>
      <c r="D233">
        <v>52000</v>
      </c>
    </row>
    <row r="234" spans="1:4">
      <c r="A234">
        <v>240912</v>
      </c>
      <c r="B234" t="s">
        <v>178</v>
      </c>
      <c r="C234" t="s">
        <v>605</v>
      </c>
      <c r="D234">
        <v>33000</v>
      </c>
    </row>
    <row r="235" spans="1:4">
      <c r="A235">
        <v>70310</v>
      </c>
      <c r="B235" t="s">
        <v>92</v>
      </c>
      <c r="C235" t="s">
        <v>1041</v>
      </c>
      <c r="D235">
        <v>33000</v>
      </c>
    </row>
    <row r="236" spans="1:4">
      <c r="A236">
        <v>250119</v>
      </c>
      <c r="B236" t="s">
        <v>178</v>
      </c>
      <c r="C236" t="s">
        <v>909</v>
      </c>
      <c r="D236">
        <v>33000</v>
      </c>
    </row>
    <row r="237" spans="1:4">
      <c r="A237">
        <v>220709</v>
      </c>
      <c r="B237" t="s">
        <v>178</v>
      </c>
      <c r="C237" t="s">
        <v>112</v>
      </c>
      <c r="D237">
        <v>42000</v>
      </c>
    </row>
    <row r="238" spans="1:4">
      <c r="A238">
        <v>220605</v>
      </c>
      <c r="B238" t="s">
        <v>178</v>
      </c>
      <c r="C238" t="s">
        <v>27</v>
      </c>
      <c r="D238">
        <v>29000</v>
      </c>
    </row>
    <row r="239" spans="1:4">
      <c r="A239">
        <v>40507</v>
      </c>
      <c r="B239" t="s">
        <v>92</v>
      </c>
      <c r="C239" t="s">
        <v>96</v>
      </c>
      <c r="D239">
        <v>29000</v>
      </c>
    </row>
    <row r="240" spans="1:4">
      <c r="A240">
        <v>250112</v>
      </c>
      <c r="B240" t="s">
        <v>178</v>
      </c>
      <c r="C240" t="s">
        <v>905</v>
      </c>
      <c r="D240">
        <v>29000</v>
      </c>
    </row>
    <row r="241" spans="1:4">
      <c r="A241">
        <v>250113</v>
      </c>
      <c r="B241" t="s">
        <v>178</v>
      </c>
      <c r="C241" t="s">
        <v>907</v>
      </c>
      <c r="D241">
        <v>29000</v>
      </c>
    </row>
    <row r="242" spans="1:4">
      <c r="A242">
        <v>240706</v>
      </c>
      <c r="B242" t="s">
        <v>178</v>
      </c>
      <c r="C242" t="s">
        <v>2164</v>
      </c>
      <c r="D242">
        <v>28000</v>
      </c>
    </row>
    <row r="243" spans="1:4">
      <c r="A243">
        <v>260107</v>
      </c>
      <c r="B243" t="s">
        <v>178</v>
      </c>
      <c r="C243" t="s">
        <v>2899</v>
      </c>
      <c r="D243">
        <v>17160</v>
      </c>
    </row>
    <row r="244" spans="1:4">
      <c r="A244">
        <v>70301</v>
      </c>
      <c r="B244" t="s">
        <v>124</v>
      </c>
      <c r="C244" t="s">
        <v>1010</v>
      </c>
      <c r="D244">
        <v>13750</v>
      </c>
    </row>
    <row r="245" spans="1:4">
      <c r="A245">
        <v>70302</v>
      </c>
      <c r="B245" t="s">
        <v>124</v>
      </c>
      <c r="C245" t="s">
        <v>1012</v>
      </c>
      <c r="D245">
        <v>13750</v>
      </c>
    </row>
    <row r="246" spans="1:4">
      <c r="A246">
        <v>70303</v>
      </c>
      <c r="B246" t="s">
        <v>124</v>
      </c>
      <c r="C246" t="s">
        <v>1014</v>
      </c>
      <c r="D246">
        <v>13750</v>
      </c>
    </row>
    <row r="247" spans="1:4">
      <c r="A247">
        <v>71203</v>
      </c>
      <c r="B247" t="s">
        <v>2585</v>
      </c>
      <c r="C247" t="s">
        <v>2692</v>
      </c>
      <c r="D247">
        <v>14536</v>
      </c>
    </row>
    <row r="248" spans="1:4">
      <c r="A248">
        <v>70307</v>
      </c>
      <c r="B248" t="s">
        <v>124</v>
      </c>
      <c r="C248" t="s">
        <v>1022</v>
      </c>
      <c r="D248">
        <v>13750</v>
      </c>
    </row>
    <row r="249" spans="1:4">
      <c r="A249">
        <v>70308</v>
      </c>
      <c r="B249" t="s">
        <v>124</v>
      </c>
      <c r="C249" t="s">
        <v>1024</v>
      </c>
      <c r="D249">
        <v>13750</v>
      </c>
    </row>
    <row r="250" spans="1:4">
      <c r="A250">
        <v>70309</v>
      </c>
      <c r="B250" t="s">
        <v>124</v>
      </c>
      <c r="C250" t="s">
        <v>1026</v>
      </c>
      <c r="D250">
        <v>13750</v>
      </c>
    </row>
    <row r="251" spans="1:4">
      <c r="A251">
        <v>71202</v>
      </c>
      <c r="B251" t="s">
        <v>2585</v>
      </c>
      <c r="C251" t="s">
        <v>2690</v>
      </c>
      <c r="D251">
        <v>14536</v>
      </c>
    </row>
    <row r="252" spans="1:4">
      <c r="A252">
        <v>70304</v>
      </c>
      <c r="B252" t="s">
        <v>124</v>
      </c>
      <c r="C252" t="s">
        <v>1016</v>
      </c>
      <c r="D252">
        <v>13750</v>
      </c>
    </row>
    <row r="253" spans="1:4">
      <c r="A253">
        <v>70305</v>
      </c>
      <c r="B253" t="s">
        <v>124</v>
      </c>
      <c r="C253" t="s">
        <v>1018</v>
      </c>
      <c r="D253">
        <v>13750</v>
      </c>
    </row>
    <row r="254" spans="1:4">
      <c r="A254">
        <v>70306</v>
      </c>
      <c r="B254" t="s">
        <v>124</v>
      </c>
      <c r="C254" t="s">
        <v>1020</v>
      </c>
      <c r="D254">
        <v>13750</v>
      </c>
    </row>
    <row r="255" spans="1:4">
      <c r="A255">
        <v>71201</v>
      </c>
      <c r="B255" t="s">
        <v>2585</v>
      </c>
      <c r="C255" t="s">
        <v>2688</v>
      </c>
      <c r="D255">
        <v>14536</v>
      </c>
    </row>
    <row r="256" spans="1:4">
      <c r="A256">
        <v>60301</v>
      </c>
      <c r="B256" t="s">
        <v>124</v>
      </c>
      <c r="C256" t="s">
        <v>518</v>
      </c>
      <c r="D256">
        <v>16000</v>
      </c>
    </row>
    <row r="257" spans="1:4">
      <c r="A257">
        <v>60302</v>
      </c>
      <c r="B257" t="s">
        <v>124</v>
      </c>
      <c r="C257" t="s">
        <v>520</v>
      </c>
      <c r="D257">
        <v>16000</v>
      </c>
    </row>
    <row r="258" spans="1:4">
      <c r="A258">
        <v>60303</v>
      </c>
      <c r="B258" t="s">
        <v>124</v>
      </c>
      <c r="C258" t="s">
        <v>522</v>
      </c>
      <c r="D258">
        <v>16000</v>
      </c>
    </row>
    <row r="259" spans="1:4">
      <c r="A259">
        <v>60304</v>
      </c>
      <c r="B259" t="s">
        <v>124</v>
      </c>
      <c r="C259" t="s">
        <v>524</v>
      </c>
      <c r="D259">
        <v>24000</v>
      </c>
    </row>
    <row r="260" spans="1:4">
      <c r="A260">
        <v>60305</v>
      </c>
      <c r="B260" t="s">
        <v>124</v>
      </c>
      <c r="C260" t="s">
        <v>526</v>
      </c>
      <c r="D260">
        <v>24000</v>
      </c>
    </row>
    <row r="261" spans="1:4">
      <c r="A261">
        <v>50402</v>
      </c>
      <c r="B261" t="s">
        <v>124</v>
      </c>
      <c r="C261" t="s">
        <v>272</v>
      </c>
      <c r="D261">
        <v>36000</v>
      </c>
    </row>
    <row r="262" spans="1:4">
      <c r="A262">
        <v>50405</v>
      </c>
      <c r="B262" t="s">
        <v>124</v>
      </c>
      <c r="C262" t="s">
        <v>274</v>
      </c>
      <c r="D262">
        <v>36000</v>
      </c>
    </row>
    <row r="263" spans="1:4">
      <c r="A263">
        <v>71103</v>
      </c>
      <c r="B263" t="s">
        <v>2585</v>
      </c>
      <c r="C263" t="s">
        <v>2652</v>
      </c>
      <c r="D263">
        <v>14113</v>
      </c>
    </row>
    <row r="264" spans="1:4">
      <c r="A264">
        <v>71104</v>
      </c>
      <c r="B264" t="s">
        <v>2585</v>
      </c>
      <c r="C264" t="s">
        <v>2656</v>
      </c>
      <c r="D264">
        <v>14113</v>
      </c>
    </row>
    <row r="265" spans="1:4">
      <c r="A265">
        <v>71105</v>
      </c>
      <c r="B265" t="s">
        <v>2585</v>
      </c>
      <c r="C265" t="s">
        <v>2654</v>
      </c>
      <c r="D265">
        <v>14113</v>
      </c>
    </row>
    <row r="266" spans="1:4">
      <c r="A266">
        <v>50403</v>
      </c>
      <c r="B266" t="s">
        <v>124</v>
      </c>
      <c r="C266" t="s">
        <v>277</v>
      </c>
      <c r="D266">
        <v>3929</v>
      </c>
    </row>
    <row r="267" spans="1:4">
      <c r="A267">
        <v>50404</v>
      </c>
      <c r="B267" t="s">
        <v>124</v>
      </c>
      <c r="C267" t="s">
        <v>279</v>
      </c>
      <c r="D267">
        <v>3929</v>
      </c>
    </row>
    <row r="268" spans="1:4">
      <c r="A268">
        <v>50406</v>
      </c>
      <c r="B268" t="s">
        <v>124</v>
      </c>
      <c r="C268" t="s">
        <v>281</v>
      </c>
      <c r="D268">
        <v>3929</v>
      </c>
    </row>
    <row r="269" spans="1:4">
      <c r="A269">
        <v>50401</v>
      </c>
      <c r="B269" t="s">
        <v>124</v>
      </c>
      <c r="C269" t="s">
        <v>270</v>
      </c>
      <c r="D269">
        <v>14760</v>
      </c>
    </row>
    <row r="270" spans="1:4">
      <c r="A270">
        <v>51201</v>
      </c>
      <c r="B270" t="s">
        <v>124</v>
      </c>
      <c r="C270" t="s">
        <v>505</v>
      </c>
      <c r="D270">
        <v>21500</v>
      </c>
    </row>
    <row r="271" spans="1:4">
      <c r="A271">
        <v>51202</v>
      </c>
      <c r="B271" t="s">
        <v>124</v>
      </c>
      <c r="C271" t="s">
        <v>507</v>
      </c>
      <c r="D271">
        <v>21500</v>
      </c>
    </row>
    <row r="272" spans="1:4">
      <c r="A272">
        <v>50202</v>
      </c>
      <c r="B272" t="s">
        <v>124</v>
      </c>
      <c r="C272" t="s">
        <v>249</v>
      </c>
      <c r="D272">
        <v>34000</v>
      </c>
    </row>
    <row r="273" spans="1:4">
      <c r="A273">
        <v>251207</v>
      </c>
      <c r="B273" t="s">
        <v>178</v>
      </c>
      <c r="C273" t="s">
        <v>2670</v>
      </c>
      <c r="D273">
        <v>23032</v>
      </c>
    </row>
    <row r="274" spans="1:4">
      <c r="A274">
        <v>251208</v>
      </c>
      <c r="B274" t="s">
        <v>178</v>
      </c>
      <c r="C274" t="s">
        <v>2672</v>
      </c>
      <c r="D274">
        <v>23032</v>
      </c>
    </row>
    <row r="275" spans="1:4">
      <c r="A275">
        <v>251209</v>
      </c>
      <c r="B275" t="s">
        <v>178</v>
      </c>
      <c r="C275" t="s">
        <v>2674</v>
      </c>
      <c r="D275">
        <v>23032</v>
      </c>
    </row>
    <row r="276" spans="1:4">
      <c r="A276">
        <v>251210</v>
      </c>
      <c r="B276" t="s">
        <v>178</v>
      </c>
      <c r="C276" t="s">
        <v>2676</v>
      </c>
      <c r="D276">
        <v>23032</v>
      </c>
    </row>
    <row r="277" spans="1:4">
      <c r="A277">
        <v>210801</v>
      </c>
      <c r="B277" t="s">
        <v>1197</v>
      </c>
      <c r="C277" t="s">
        <v>1364</v>
      </c>
      <c r="D277">
        <v>26500</v>
      </c>
    </row>
    <row r="278" spans="1:4">
      <c r="A278">
        <v>250401</v>
      </c>
      <c r="B278" t="s">
        <v>1198</v>
      </c>
      <c r="C278" t="s">
        <v>2271</v>
      </c>
      <c r="D278">
        <v>26500</v>
      </c>
    </row>
    <row r="279" spans="1:4">
      <c r="A279">
        <v>210608</v>
      </c>
      <c r="B279" t="s">
        <v>206</v>
      </c>
      <c r="C279" t="s">
        <v>1320</v>
      </c>
      <c r="D279">
        <v>27000</v>
      </c>
    </row>
    <row r="280" spans="1:4">
      <c r="A280">
        <v>250505</v>
      </c>
      <c r="B280" t="s">
        <v>206</v>
      </c>
      <c r="C280" t="s">
        <v>1049</v>
      </c>
      <c r="D280">
        <v>0</v>
      </c>
    </row>
    <row r="281" spans="1:4">
      <c r="A281">
        <v>250503</v>
      </c>
      <c r="B281" t="s">
        <v>1192</v>
      </c>
      <c r="C281" t="s">
        <v>1054</v>
      </c>
      <c r="D281">
        <v>30000</v>
      </c>
    </row>
    <row r="282" spans="1:4">
      <c r="A282">
        <v>220321</v>
      </c>
      <c r="B282" t="s">
        <v>206</v>
      </c>
      <c r="C282" t="s">
        <v>208</v>
      </c>
      <c r="D282">
        <v>18700</v>
      </c>
    </row>
    <row r="283" spans="1:4">
      <c r="A283">
        <v>231113</v>
      </c>
      <c r="B283" t="s">
        <v>239</v>
      </c>
      <c r="C283" t="s">
        <v>2042</v>
      </c>
      <c r="D283">
        <v>18700</v>
      </c>
    </row>
    <row r="284" spans="1:4">
      <c r="A284">
        <v>250504</v>
      </c>
      <c r="B284" t="s">
        <v>206</v>
      </c>
      <c r="C284" t="s">
        <v>1047</v>
      </c>
      <c r="D284">
        <v>20000</v>
      </c>
    </row>
    <row r="285" spans="1:4">
      <c r="A285">
        <v>231002</v>
      </c>
      <c r="B285" t="s">
        <v>239</v>
      </c>
      <c r="C285" t="s">
        <v>422</v>
      </c>
      <c r="D285">
        <v>20000</v>
      </c>
    </row>
    <row r="286" spans="1:4">
      <c r="A286">
        <v>250409</v>
      </c>
      <c r="B286" t="s">
        <v>206</v>
      </c>
      <c r="C286" t="s">
        <v>1030</v>
      </c>
      <c r="D286">
        <v>20000</v>
      </c>
    </row>
    <row r="287" spans="1:4">
      <c r="A287">
        <v>230402</v>
      </c>
      <c r="B287" t="s">
        <v>239</v>
      </c>
      <c r="C287" t="s">
        <v>1944</v>
      </c>
      <c r="D287">
        <v>20000</v>
      </c>
    </row>
    <row r="288" spans="1:4">
      <c r="A288">
        <v>240502</v>
      </c>
      <c r="B288" t="s">
        <v>239</v>
      </c>
      <c r="C288" t="s">
        <v>2142</v>
      </c>
      <c r="D288">
        <v>20000</v>
      </c>
    </row>
    <row r="289" spans="1:4">
      <c r="A289">
        <v>240408</v>
      </c>
      <c r="B289" t="s">
        <v>239</v>
      </c>
      <c r="C289" t="s">
        <v>562</v>
      </c>
      <c r="D289">
        <v>-10000</v>
      </c>
    </row>
    <row r="290" spans="1:4">
      <c r="A290">
        <v>250502</v>
      </c>
      <c r="B290" t="s">
        <v>1116</v>
      </c>
      <c r="C290" t="s">
        <v>1052</v>
      </c>
      <c r="D290">
        <v>20000</v>
      </c>
    </row>
    <row r="291" spans="1:4">
      <c r="A291">
        <v>240810</v>
      </c>
      <c r="B291" t="s">
        <v>1116</v>
      </c>
      <c r="C291" t="s">
        <v>360</v>
      </c>
      <c r="D291">
        <v>20000</v>
      </c>
    </row>
    <row r="292" spans="1:4">
      <c r="A292">
        <v>220802</v>
      </c>
      <c r="B292" t="s">
        <v>239</v>
      </c>
      <c r="C292" t="s">
        <v>54</v>
      </c>
      <c r="D292">
        <v>20000</v>
      </c>
    </row>
    <row r="293" spans="1:4">
      <c r="A293">
        <v>250805</v>
      </c>
      <c r="B293" t="s">
        <v>206</v>
      </c>
      <c r="C293" t="s">
        <v>2566</v>
      </c>
      <c r="D293">
        <v>20000</v>
      </c>
    </row>
    <row r="294" spans="1:4">
      <c r="A294">
        <v>250402</v>
      </c>
      <c r="B294" t="s">
        <v>1192</v>
      </c>
      <c r="C294" t="s">
        <v>1058</v>
      </c>
      <c r="D294">
        <v>29500</v>
      </c>
    </row>
    <row r="295" spans="1:4">
      <c r="A295">
        <v>260101</v>
      </c>
      <c r="B295" t="s">
        <v>1192</v>
      </c>
      <c r="C295" t="s">
        <v>2694</v>
      </c>
      <c r="D295">
        <v>30965</v>
      </c>
    </row>
    <row r="296" spans="1:4">
      <c r="A296">
        <v>230802</v>
      </c>
      <c r="B296" t="s">
        <v>1192</v>
      </c>
      <c r="C296" t="s">
        <v>350</v>
      </c>
      <c r="D296">
        <v>33000</v>
      </c>
    </row>
    <row r="297" spans="1:4">
      <c r="A297">
        <v>231112</v>
      </c>
      <c r="B297" t="s">
        <v>1192</v>
      </c>
      <c r="C297" t="s">
        <v>463</v>
      </c>
      <c r="D297">
        <v>16500</v>
      </c>
    </row>
    <row r="298" spans="1:4">
      <c r="A298">
        <v>231217</v>
      </c>
      <c r="B298" t="s">
        <v>1192</v>
      </c>
      <c r="C298" t="s">
        <v>461</v>
      </c>
      <c r="D298">
        <v>16500</v>
      </c>
    </row>
    <row r="299" spans="1:4">
      <c r="A299">
        <v>230906</v>
      </c>
      <c r="B299" t="s">
        <v>1192</v>
      </c>
      <c r="C299" t="s">
        <v>2023</v>
      </c>
      <c r="D299">
        <v>16500</v>
      </c>
    </row>
    <row r="300" spans="1:4">
      <c r="A300">
        <v>210404</v>
      </c>
      <c r="B300" t="s">
        <v>1192</v>
      </c>
      <c r="C300" t="s">
        <v>241</v>
      </c>
      <c r="D300">
        <v>16500</v>
      </c>
    </row>
    <row r="301" spans="1:4">
      <c r="A301">
        <v>210305</v>
      </c>
      <c r="B301" t="s">
        <v>1192</v>
      </c>
      <c r="C301" t="s">
        <v>876</v>
      </c>
      <c r="D301">
        <v>26000</v>
      </c>
    </row>
    <row r="302" spans="1:4">
      <c r="A302">
        <v>240505</v>
      </c>
      <c r="B302" t="s">
        <v>1116</v>
      </c>
      <c r="C302" t="s">
        <v>2150</v>
      </c>
      <c r="D302">
        <v>30000</v>
      </c>
    </row>
    <row r="303" spans="1:4">
      <c r="A303">
        <v>241203</v>
      </c>
      <c r="B303" t="s">
        <v>1116</v>
      </c>
      <c r="C303" t="s">
        <v>879</v>
      </c>
      <c r="D303">
        <v>30000</v>
      </c>
    </row>
    <row r="304" spans="1:4">
      <c r="A304">
        <v>210507</v>
      </c>
      <c r="B304" t="s">
        <v>76</v>
      </c>
      <c r="C304" t="s">
        <v>1292</v>
      </c>
      <c r="D304">
        <v>45000</v>
      </c>
    </row>
    <row r="305" spans="1:4">
      <c r="A305">
        <v>210811</v>
      </c>
      <c r="B305" t="s">
        <v>76</v>
      </c>
      <c r="C305" t="s">
        <v>1380</v>
      </c>
      <c r="D305">
        <v>25000</v>
      </c>
    </row>
    <row r="306" spans="1:4">
      <c r="A306">
        <v>221005</v>
      </c>
      <c r="B306" t="s">
        <v>76</v>
      </c>
      <c r="C306" t="s">
        <v>1836</v>
      </c>
      <c r="D306">
        <v>25000</v>
      </c>
    </row>
    <row r="307" spans="1:4">
      <c r="A307">
        <v>250601</v>
      </c>
      <c r="B307" t="s">
        <v>76</v>
      </c>
      <c r="C307" t="s">
        <v>1067</v>
      </c>
      <c r="D307">
        <v>0</v>
      </c>
    </row>
    <row r="308" spans="1:4">
      <c r="A308">
        <v>250602</v>
      </c>
      <c r="B308" t="s">
        <v>76</v>
      </c>
      <c r="C308" t="s">
        <v>1069</v>
      </c>
      <c r="D308">
        <v>45000</v>
      </c>
    </row>
    <row r="309" spans="1:4">
      <c r="A309">
        <v>251203</v>
      </c>
      <c r="B309" t="s">
        <v>76</v>
      </c>
      <c r="C309" t="s">
        <v>2679</v>
      </c>
      <c r="D309">
        <v>22419</v>
      </c>
    </row>
    <row r="310" spans="1:4">
      <c r="A310">
        <v>251205</v>
      </c>
      <c r="B310" t="s">
        <v>76</v>
      </c>
      <c r="C310" t="s">
        <v>2683</v>
      </c>
      <c r="D310">
        <v>22419</v>
      </c>
    </row>
    <row r="311" spans="1:4">
      <c r="A311">
        <v>231208</v>
      </c>
      <c r="B311" t="s">
        <v>76</v>
      </c>
      <c r="C311" t="s">
        <v>467</v>
      </c>
      <c r="D311">
        <v>25000</v>
      </c>
    </row>
    <row r="312" spans="1:4">
      <c r="A312">
        <v>241216</v>
      </c>
      <c r="B312" t="s">
        <v>76</v>
      </c>
      <c r="C312" t="s">
        <v>914</v>
      </c>
      <c r="D312">
        <v>25000</v>
      </c>
    </row>
    <row r="313" spans="1:4">
      <c r="A313">
        <v>220718</v>
      </c>
      <c r="B313" t="s">
        <v>76</v>
      </c>
      <c r="C313" t="s">
        <v>91</v>
      </c>
      <c r="D313">
        <v>0</v>
      </c>
    </row>
    <row r="314" spans="1:4">
      <c r="A314">
        <v>220521</v>
      </c>
      <c r="B314" t="s">
        <v>76</v>
      </c>
      <c r="C314" t="s">
        <v>78</v>
      </c>
      <c r="D314">
        <v>22419</v>
      </c>
    </row>
    <row r="315" spans="1:4">
      <c r="A315">
        <v>230507</v>
      </c>
      <c r="B315" t="s">
        <v>76</v>
      </c>
      <c r="C315" t="s">
        <v>298</v>
      </c>
      <c r="D315">
        <v>25000</v>
      </c>
    </row>
    <row r="316" spans="1:4">
      <c r="A316">
        <v>251204</v>
      </c>
      <c r="B316" t="s">
        <v>76</v>
      </c>
      <c r="C316" t="s">
        <v>2681</v>
      </c>
      <c r="D316">
        <v>25000</v>
      </c>
    </row>
    <row r="317" spans="1:4">
      <c r="A317">
        <v>230508</v>
      </c>
      <c r="B317" t="s">
        <v>76</v>
      </c>
      <c r="C317" t="s">
        <v>300</v>
      </c>
      <c r="D317">
        <v>42000</v>
      </c>
    </row>
    <row r="318" spans="1:4">
      <c r="A318">
        <v>220903</v>
      </c>
      <c r="B318" t="s">
        <v>76</v>
      </c>
      <c r="C318" t="s">
        <v>1803</v>
      </c>
      <c r="D318">
        <v>25000</v>
      </c>
    </row>
    <row r="319" spans="1:4">
      <c r="A319">
        <v>221203</v>
      </c>
      <c r="B319" t="s">
        <v>76</v>
      </c>
      <c r="C319" t="s">
        <v>175</v>
      </c>
      <c r="D319">
        <v>25000</v>
      </c>
    </row>
    <row r="320" spans="1:4">
      <c r="A320">
        <v>230714</v>
      </c>
      <c r="B320" t="s">
        <v>76</v>
      </c>
      <c r="C320" t="s">
        <v>333</v>
      </c>
      <c r="D320">
        <v>25000</v>
      </c>
    </row>
    <row r="321" spans="1:4">
      <c r="A321">
        <v>221212</v>
      </c>
      <c r="B321" t="s">
        <v>76</v>
      </c>
      <c r="C321" t="s">
        <v>189</v>
      </c>
      <c r="D321">
        <v>44000</v>
      </c>
    </row>
    <row r="322" spans="1:4">
      <c r="A322">
        <v>240702</v>
      </c>
      <c r="B322" t="s">
        <v>76</v>
      </c>
      <c r="C322" t="s">
        <v>546</v>
      </c>
      <c r="D322">
        <v>25000</v>
      </c>
    </row>
    <row r="323" spans="1:4">
      <c r="A323">
        <v>221213</v>
      </c>
      <c r="B323" t="s">
        <v>76</v>
      </c>
      <c r="C323" t="s">
        <v>191</v>
      </c>
      <c r="D323">
        <v>25000</v>
      </c>
    </row>
    <row r="324" spans="1:4">
      <c r="A324">
        <v>241004</v>
      </c>
      <c r="B324" t="s">
        <v>76</v>
      </c>
      <c r="C324" t="s">
        <v>2221</v>
      </c>
      <c r="D324">
        <v>25000</v>
      </c>
    </row>
    <row r="325" spans="1:4">
      <c r="A325">
        <v>241204</v>
      </c>
      <c r="B325" t="s">
        <v>76</v>
      </c>
      <c r="C325" t="s">
        <v>880</v>
      </c>
    </row>
    <row r="326" spans="1:4">
      <c r="A326">
        <v>221216</v>
      </c>
      <c r="B326" t="s">
        <v>76</v>
      </c>
      <c r="C326" t="s">
        <v>195</v>
      </c>
      <c r="D326">
        <v>25000</v>
      </c>
    </row>
    <row r="327" spans="1:4">
      <c r="A327">
        <v>210908</v>
      </c>
      <c r="B327" t="s">
        <v>50</v>
      </c>
      <c r="C327" t="s">
        <v>1410</v>
      </c>
      <c r="D327">
        <v>20000</v>
      </c>
    </row>
    <row r="328" spans="1:4">
      <c r="A328">
        <v>240812</v>
      </c>
      <c r="B328" t="s">
        <v>50</v>
      </c>
      <c r="C328" t="s">
        <v>2188</v>
      </c>
      <c r="D328">
        <v>0</v>
      </c>
    </row>
    <row r="329" spans="1:4">
      <c r="A329">
        <v>260105</v>
      </c>
      <c r="B329" t="s">
        <v>50</v>
      </c>
      <c r="C329" t="s">
        <v>2156</v>
      </c>
      <c r="D329">
        <v>10000</v>
      </c>
    </row>
    <row r="330" spans="1:4">
      <c r="A330">
        <v>240709</v>
      </c>
      <c r="B330" t="s">
        <v>50</v>
      </c>
      <c r="C330" t="s">
        <v>542</v>
      </c>
      <c r="D330">
        <v>20000</v>
      </c>
    </row>
    <row r="331" spans="1:4">
      <c r="A331">
        <v>260104</v>
      </c>
      <c r="B331" t="s">
        <v>50</v>
      </c>
      <c r="C331" t="s">
        <v>1474</v>
      </c>
      <c r="D331">
        <v>10000</v>
      </c>
    </row>
    <row r="332" spans="1:4">
      <c r="A332">
        <v>221009</v>
      </c>
      <c r="B332" t="s">
        <v>50</v>
      </c>
      <c r="C332" t="s">
        <v>163</v>
      </c>
      <c r="D332">
        <v>40000</v>
      </c>
    </row>
    <row r="333" spans="1:4">
      <c r="A333">
        <v>240808</v>
      </c>
      <c r="B333" t="s">
        <v>50</v>
      </c>
      <c r="C333" t="s">
        <v>2183</v>
      </c>
    </row>
    <row r="334" spans="1:4">
      <c r="A334">
        <v>220908</v>
      </c>
      <c r="B334" t="s">
        <v>50</v>
      </c>
      <c r="C334" t="s">
        <v>151</v>
      </c>
      <c r="D334">
        <v>20000</v>
      </c>
    </row>
    <row r="335" spans="1:4">
      <c r="A335">
        <v>230316</v>
      </c>
      <c r="B335" t="s">
        <v>50</v>
      </c>
      <c r="C335" t="s">
        <v>262</v>
      </c>
      <c r="D335">
        <v>20000</v>
      </c>
    </row>
    <row r="336" spans="1:4">
      <c r="A336">
        <v>230209</v>
      </c>
      <c r="B336" t="s">
        <v>50</v>
      </c>
      <c r="C336" t="s">
        <v>245</v>
      </c>
      <c r="D336">
        <v>18400</v>
      </c>
    </row>
    <row r="337" spans="1:4">
      <c r="A337">
        <v>240809</v>
      </c>
      <c r="B337" t="s">
        <v>50</v>
      </c>
      <c r="C337" t="s">
        <v>2184</v>
      </c>
      <c r="D337">
        <v>18400</v>
      </c>
    </row>
    <row r="338" spans="1:4">
      <c r="A338">
        <v>211109</v>
      </c>
      <c r="B338" t="s">
        <v>50</v>
      </c>
      <c r="C338" t="s">
        <v>1499</v>
      </c>
      <c r="D338">
        <v>18400</v>
      </c>
    </row>
    <row r="339" spans="1:4">
      <c r="A339">
        <v>220801</v>
      </c>
      <c r="B339" t="s">
        <v>50</v>
      </c>
      <c r="C339" t="s">
        <v>210</v>
      </c>
    </row>
    <row r="340" spans="1:4">
      <c r="A340">
        <v>240818</v>
      </c>
      <c r="B340" t="s">
        <v>50</v>
      </c>
      <c r="C340" t="s">
        <v>2199</v>
      </c>
      <c r="D340">
        <v>29000</v>
      </c>
    </row>
    <row r="341" spans="1:4">
      <c r="A341">
        <v>240817</v>
      </c>
      <c r="B341" t="s">
        <v>50</v>
      </c>
      <c r="C341" t="s">
        <v>2197</v>
      </c>
    </row>
    <row r="342" spans="1:4">
      <c r="A342">
        <v>240708</v>
      </c>
      <c r="B342" t="s">
        <v>50</v>
      </c>
      <c r="C342" t="s">
        <v>540</v>
      </c>
      <c r="D342">
        <v>30000</v>
      </c>
    </row>
    <row r="343" spans="1:4">
      <c r="A343">
        <v>240807</v>
      </c>
      <c r="B343" t="s">
        <v>50</v>
      </c>
      <c r="C343" t="s">
        <v>2181</v>
      </c>
      <c r="D343">
        <v>30000</v>
      </c>
    </row>
    <row r="344" spans="1:4">
      <c r="A344">
        <v>211022</v>
      </c>
      <c r="B344" t="s">
        <v>211</v>
      </c>
      <c r="C344" t="s">
        <v>1464</v>
      </c>
      <c r="D344">
        <v>0</v>
      </c>
    </row>
    <row r="345" spans="1:4">
      <c r="A345">
        <v>230110</v>
      </c>
      <c r="B345" t="s">
        <v>211</v>
      </c>
      <c r="C345" t="s">
        <v>1886</v>
      </c>
      <c r="D345">
        <v>0</v>
      </c>
    </row>
    <row r="346" spans="1:4">
      <c r="A346">
        <v>231003</v>
      </c>
      <c r="B346" t="s">
        <v>211</v>
      </c>
      <c r="C346" t="s">
        <v>1072</v>
      </c>
      <c r="D346">
        <v>25400</v>
      </c>
    </row>
    <row r="347" spans="1:4">
      <c r="A347">
        <v>211217</v>
      </c>
      <c r="B347" t="s">
        <v>211</v>
      </c>
      <c r="C347" t="s">
        <v>1540</v>
      </c>
      <c r="D347">
        <v>26000</v>
      </c>
    </row>
    <row r="348" spans="1:4">
      <c r="A348">
        <v>250809</v>
      </c>
      <c r="B348" t="s">
        <v>211</v>
      </c>
      <c r="C348" t="s">
        <v>2564</v>
      </c>
      <c r="D348">
        <v>0</v>
      </c>
    </row>
    <row r="349" spans="1:4">
      <c r="A349">
        <v>250411</v>
      </c>
      <c r="B349" t="s">
        <v>211</v>
      </c>
      <c r="C349" t="s">
        <v>2280</v>
      </c>
    </row>
    <row r="350" spans="1:4">
      <c r="A350">
        <v>250701</v>
      </c>
      <c r="B350" t="s">
        <v>211</v>
      </c>
      <c r="C350" t="s">
        <v>2536</v>
      </c>
      <c r="D350">
        <v>36000</v>
      </c>
    </row>
    <row r="351" spans="1:4">
      <c r="A351">
        <v>220309</v>
      </c>
      <c r="B351" t="s">
        <v>1593</v>
      </c>
      <c r="C351" t="s">
        <v>38</v>
      </c>
      <c r="D351">
        <v>32000</v>
      </c>
    </row>
    <row r="352" spans="1:4">
      <c r="A352">
        <v>240403</v>
      </c>
      <c r="B352" t="s">
        <v>1593</v>
      </c>
      <c r="C352" t="s">
        <v>210</v>
      </c>
      <c r="D352">
        <v>28500</v>
      </c>
    </row>
    <row r="353" spans="1:4">
      <c r="A353">
        <v>240404</v>
      </c>
      <c r="B353" t="s">
        <v>1593</v>
      </c>
      <c r="C353" t="s">
        <v>2127</v>
      </c>
    </row>
    <row r="354" spans="1:4">
      <c r="A354">
        <v>250801</v>
      </c>
      <c r="B354" t="s">
        <v>1593</v>
      </c>
      <c r="C354" t="s">
        <v>2556</v>
      </c>
      <c r="D354">
        <v>28500</v>
      </c>
    </row>
    <row r="355" spans="1:4">
      <c r="A355">
        <v>220524</v>
      </c>
      <c r="B355" t="s">
        <v>1518</v>
      </c>
      <c r="C355" t="s">
        <v>81</v>
      </c>
      <c r="D355">
        <v>27500</v>
      </c>
    </row>
    <row r="356" spans="1:4">
      <c r="A356">
        <v>230701</v>
      </c>
      <c r="B356" t="s">
        <v>212</v>
      </c>
      <c r="C356" t="s">
        <v>308</v>
      </c>
      <c r="D356">
        <v>25000</v>
      </c>
    </row>
    <row r="357" spans="1:4">
      <c r="A357">
        <v>221001</v>
      </c>
      <c r="B357" t="s">
        <v>212</v>
      </c>
      <c r="C357" t="s">
        <v>512</v>
      </c>
      <c r="D357">
        <v>25000</v>
      </c>
    </row>
    <row r="358" spans="1:4">
      <c r="A358">
        <v>221002</v>
      </c>
      <c r="B358" t="s">
        <v>212</v>
      </c>
      <c r="C358" t="s">
        <v>1829</v>
      </c>
      <c r="D358">
        <v>25000</v>
      </c>
    </row>
    <row r="359" spans="1:4">
      <c r="A359">
        <v>250807</v>
      </c>
      <c r="B359" t="s">
        <v>1705</v>
      </c>
      <c r="C359" t="s">
        <v>2570</v>
      </c>
      <c r="D359">
        <v>19700</v>
      </c>
    </row>
    <row r="360" spans="1:4">
      <c r="A360">
        <v>250115</v>
      </c>
      <c r="B360" t="s">
        <v>1705</v>
      </c>
      <c r="C360" t="s">
        <v>920</v>
      </c>
      <c r="D360">
        <v>19700</v>
      </c>
    </row>
    <row r="361" spans="1:4">
      <c r="A361">
        <v>250902</v>
      </c>
      <c r="B361" t="s">
        <v>2596</v>
      </c>
      <c r="C361" t="s">
        <v>2583</v>
      </c>
      <c r="D361">
        <v>19700</v>
      </c>
    </row>
    <row r="362" spans="1:4">
      <c r="A362">
        <v>230815</v>
      </c>
      <c r="B362" t="s">
        <v>1875</v>
      </c>
      <c r="C362" t="s">
        <v>355</v>
      </c>
      <c r="D362">
        <v>19700</v>
      </c>
    </row>
    <row r="363" spans="1:4">
      <c r="A363">
        <v>230203</v>
      </c>
      <c r="B363" t="s">
        <v>1875</v>
      </c>
      <c r="C363" t="s">
        <v>216</v>
      </c>
      <c r="D363">
        <v>19700</v>
      </c>
    </row>
    <row r="364" spans="1:4">
      <c r="A364">
        <v>251009</v>
      </c>
      <c r="B364" t="s">
        <v>1875</v>
      </c>
      <c r="C364" t="s">
        <v>2614</v>
      </c>
      <c r="D364">
        <v>19700</v>
      </c>
    </row>
    <row r="365" spans="1:4">
      <c r="A365">
        <v>251011</v>
      </c>
      <c r="B365" t="s">
        <v>1875</v>
      </c>
      <c r="C365" t="s">
        <v>2618</v>
      </c>
      <c r="D365">
        <v>19700</v>
      </c>
    </row>
    <row r="366" spans="1:4">
      <c r="A366">
        <v>250116</v>
      </c>
      <c r="B366" t="s">
        <v>1705</v>
      </c>
      <c r="C366" t="s">
        <v>922</v>
      </c>
      <c r="D366">
        <v>28500</v>
      </c>
    </row>
    <row r="367" spans="1:4">
      <c r="A367">
        <v>250806</v>
      </c>
      <c r="B367" t="s">
        <v>1705</v>
      </c>
      <c r="C367" t="s">
        <v>2568</v>
      </c>
      <c r="D367">
        <v>28500</v>
      </c>
    </row>
    <row r="368" spans="1:4">
      <c r="A368">
        <v>250214</v>
      </c>
      <c r="B368" t="s">
        <v>1705</v>
      </c>
      <c r="C368" t="s">
        <v>959</v>
      </c>
      <c r="D368">
        <v>28500</v>
      </c>
    </row>
    <row r="369" spans="1:4">
      <c r="A369">
        <v>250222</v>
      </c>
      <c r="B369" t="s">
        <v>1705</v>
      </c>
      <c r="C369" t="s">
        <v>962</v>
      </c>
      <c r="D369">
        <v>28500</v>
      </c>
    </row>
    <row r="370" spans="1:4">
      <c r="A370">
        <v>230602</v>
      </c>
      <c r="B370" t="s">
        <v>1875</v>
      </c>
      <c r="C370" t="s">
        <v>309</v>
      </c>
      <c r="D370">
        <v>53400</v>
      </c>
    </row>
    <row r="371" spans="1:4">
      <c r="A371">
        <v>221010</v>
      </c>
      <c r="B371" t="s">
        <v>1705</v>
      </c>
      <c r="C371" t="s">
        <v>169</v>
      </c>
      <c r="D371">
        <v>42900</v>
      </c>
    </row>
    <row r="372" spans="1:4">
      <c r="A372">
        <v>230101</v>
      </c>
      <c r="B372" t="s">
        <v>1705</v>
      </c>
      <c r="C372" t="s">
        <v>218</v>
      </c>
      <c r="D372">
        <v>55000</v>
      </c>
    </row>
    <row r="373" spans="1:4">
      <c r="A373">
        <v>220511</v>
      </c>
      <c r="B373" t="s">
        <v>1705</v>
      </c>
      <c r="C373" t="s">
        <v>58</v>
      </c>
      <c r="D373">
        <v>20400</v>
      </c>
    </row>
    <row r="374" spans="1:4">
      <c r="A374">
        <v>220504</v>
      </c>
      <c r="B374" t="s">
        <v>1705</v>
      </c>
      <c r="C374" t="s">
        <v>64</v>
      </c>
      <c r="D374">
        <v>20400</v>
      </c>
    </row>
    <row r="375" spans="1:4">
      <c r="A375">
        <v>230910</v>
      </c>
      <c r="B375" t="s">
        <v>1705</v>
      </c>
      <c r="C375" t="s">
        <v>379</v>
      </c>
      <c r="D375">
        <v>20000</v>
      </c>
    </row>
    <row r="376" spans="1:4">
      <c r="A376">
        <v>250706</v>
      </c>
      <c r="B376" t="s">
        <v>1705</v>
      </c>
      <c r="C376" t="s">
        <v>2552</v>
      </c>
      <c r="D376">
        <v>20000</v>
      </c>
    </row>
    <row r="377" spans="1:4">
      <c r="A377">
        <v>240815</v>
      </c>
      <c r="B377" t="s">
        <v>1705</v>
      </c>
      <c r="C377" t="s">
        <v>2194</v>
      </c>
      <c r="D377">
        <v>22000</v>
      </c>
    </row>
    <row r="378" spans="1:4">
      <c r="A378">
        <v>240902</v>
      </c>
      <c r="B378" t="s">
        <v>1875</v>
      </c>
      <c r="C378" t="s">
        <v>2203</v>
      </c>
      <c r="D378">
        <v>22000</v>
      </c>
    </row>
    <row r="379" spans="1:4">
      <c r="A379">
        <v>240904</v>
      </c>
      <c r="B379" t="s">
        <v>1705</v>
      </c>
      <c r="C379" t="s">
        <v>2207</v>
      </c>
      <c r="D379">
        <v>22000</v>
      </c>
    </row>
    <row r="380" spans="1:4">
      <c r="A380">
        <v>240801</v>
      </c>
      <c r="B380" t="s">
        <v>1705</v>
      </c>
      <c r="C380" t="s">
        <v>2172</v>
      </c>
      <c r="D380">
        <v>25500</v>
      </c>
    </row>
    <row r="381" spans="1:4">
      <c r="A381">
        <v>250221</v>
      </c>
      <c r="B381" t="s">
        <v>1705</v>
      </c>
      <c r="C381" t="s">
        <v>960</v>
      </c>
    </row>
    <row r="382" spans="1:4">
      <c r="A382">
        <v>240602</v>
      </c>
      <c r="B382" t="s">
        <v>1875</v>
      </c>
      <c r="C382" t="s">
        <v>538</v>
      </c>
      <c r="D382">
        <v>25500</v>
      </c>
    </row>
    <row r="383" spans="1:4">
      <c r="D383">
        <f>SUBTOTAL(109,テーブル5[家賃])</f>
        <v>9299241</v>
      </c>
    </row>
  </sheetData>
  <phoneticPr fontId="2"/>
  <conditionalFormatting sqref="A1:A382">
    <cfRule type="duplicateValues" dxfId="0" priority="207"/>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B8FD62-8ECD-40B1-8555-BB4A614097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8</vt:i4>
      </vt:variant>
    </vt:vector>
  </HeadingPairs>
  <TitlesOfParts>
    <vt:vector size="16" baseType="lpstr">
      <vt:lpstr>UkeoiT</vt:lpstr>
      <vt:lpstr>DBStaff</vt:lpstr>
      <vt:lpstr>DBGenzai</vt:lpstr>
      <vt:lpstr>社員台帳</vt:lpstr>
      <vt:lpstr>Sheet1</vt:lpstr>
      <vt:lpstr>編集</vt:lpstr>
      <vt:lpstr>Sheet4</vt:lpstr>
      <vt:lpstr>FilteredCopy</vt:lpstr>
      <vt:lpstr>Sheet1!Print_Area</vt:lpstr>
      <vt:lpstr>編集!Print_Area</vt:lpstr>
      <vt:lpstr>Sheet1!Print_Titles</vt:lpstr>
      <vt:lpstr>編集!Print_Titles</vt:lpstr>
      <vt:lpstr>カナ</vt:lpstr>
      <vt:lpstr>氏名</vt:lpstr>
      <vt:lpstr>社員№</vt:lpstr>
      <vt:lpstr>派遣先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VU THI SAU</dc:creator>
  <cp:lastModifiedBy>M Hara</cp:lastModifiedBy>
  <cp:lastPrinted>2026-02-03T01:41:18Z</cp:lastPrinted>
  <dcterms:created xsi:type="dcterms:W3CDTF">2020-09-09T00:48:23Z</dcterms:created>
  <dcterms:modified xsi:type="dcterms:W3CDTF">2026-02-05T02:00:33Z</dcterms:modified>
</cp:coreProperties>
</file>